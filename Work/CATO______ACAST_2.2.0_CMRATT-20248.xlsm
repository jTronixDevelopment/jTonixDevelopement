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029" codeName="{320AAD7A-AEEB-3B57-35EE-6C7AAB037B02}"/>
  <workbookPr codeName="ThisWorkbook"/>
  <mc:AlternateContent xmlns:mc="http://schemas.openxmlformats.org/markup-compatibility/2006">
    <mc:Choice Requires="x15">
      <x15ac:absPath xmlns:x15ac="http://schemas.microsoft.com/office/spreadsheetml/2010/11/ac" url="C:\Users\ryan.johnson\Desktop\Work\"/>
    </mc:Choice>
  </mc:AlternateContent>
  <xr:revisionPtr revIDLastSave="0" documentId="8_{E267FB25-7606-429A-8180-42ACEDA2BC08}" xr6:coauthVersionLast="28" xr6:coauthVersionMax="28" xr10:uidLastSave="{00000000-0000-0000-0000-000000000000}"/>
  <bookViews>
    <workbookView xWindow="0" yWindow="0" windowWidth="28800" windowHeight="12210" activeTab="4" xr2:uid="{00000000-000D-0000-FFFF-FFFF00000000}"/>
  </bookViews>
  <sheets>
    <sheet name="Cover Page" sheetId="3" r:id="rId1"/>
    <sheet name="Project Features" sheetId="12" r:id="rId2"/>
    <sheet name="ModalTaxonomy" sheetId="14" r:id="rId3"/>
    <sheet name="Guide - Desktop" sheetId="1" state="hidden" r:id="rId4"/>
    <sheet name="Guide - Mobile (M.dot)" sheetId="8" r:id="rId5"/>
    <sheet name="Guide - Native App" sheetId="9" state="hidden" r:id="rId6"/>
    <sheet name="Known JAWS Issues" sheetId="13" r:id="rId7"/>
    <sheet name="Guide - Base Content" sheetId="6" state="hidden" r:id="rId8"/>
    <sheet name="VersionInfo" sheetId="10" r:id="rId9"/>
  </sheets>
  <externalReferences>
    <externalReference r:id="rId10"/>
  </externalReferences>
  <definedNames>
    <definedName name="_Toc424652846" localSheetId="7">'Guide - Base Content'!$D$89</definedName>
    <definedName name="_Toc424652846" localSheetId="3">'Guide - Desktop'!#REF!</definedName>
    <definedName name="_Toc424652846" localSheetId="4">'Guide - Mobile (M.dot)'!#REF!</definedName>
    <definedName name="_Toc424652846" localSheetId="5">'Guide - Native App'!#REF!</definedName>
    <definedName name="arcTarget">[1]Data!$B$2</definedName>
    <definedName name="Compliance" localSheetId="7">#REF!</definedName>
    <definedName name="Compliance" localSheetId="4">#REF!</definedName>
    <definedName name="Compliance" localSheetId="5">#REF!</definedName>
    <definedName name="Compliance">#REF!</definedName>
    <definedName name="Deleteds">#REF!</definedName>
    <definedName name="dropVals">#REF!</definedName>
    <definedName name="Enhancements">#REF!</definedName>
    <definedName name="newtab">#REF!</definedName>
    <definedName name="_xlnm.Print_Titles" localSheetId="0">'Cover Page'!$4:$4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09" i="9" l="1"/>
  <c r="H109" i="9"/>
  <c r="G109" i="9"/>
  <c r="F109" i="9"/>
  <c r="E109" i="9"/>
  <c r="D109" i="9"/>
  <c r="C109" i="9"/>
  <c r="B109" i="9"/>
  <c r="A109" i="9"/>
  <c r="I108" i="9"/>
  <c r="H108" i="9"/>
  <c r="G108" i="9"/>
  <c r="F108" i="9"/>
  <c r="E108" i="9"/>
  <c r="D108" i="9"/>
  <c r="C108" i="9"/>
  <c r="B108" i="9"/>
  <c r="A108" i="9"/>
  <c r="I107" i="9"/>
  <c r="H107" i="9"/>
  <c r="G107" i="9"/>
  <c r="F107" i="9"/>
  <c r="E107" i="9"/>
  <c r="D107" i="9"/>
  <c r="C107" i="9"/>
  <c r="B107" i="9"/>
  <c r="A107" i="9"/>
  <c r="I106" i="9"/>
  <c r="H106" i="9"/>
  <c r="G106" i="9"/>
  <c r="F106" i="9"/>
  <c r="E106" i="9"/>
  <c r="D106" i="9"/>
  <c r="C106" i="9"/>
  <c r="B106" i="9"/>
  <c r="A106" i="9"/>
  <c r="I105" i="9"/>
  <c r="H105" i="9"/>
  <c r="G105" i="9"/>
  <c r="F105" i="9"/>
  <c r="E105" i="9"/>
  <c r="D105" i="9"/>
  <c r="C105" i="9"/>
  <c r="B105" i="9"/>
  <c r="A105" i="9"/>
  <c r="I104" i="9"/>
  <c r="H104" i="9"/>
  <c r="G104" i="9"/>
  <c r="F104" i="9"/>
  <c r="E104" i="9"/>
  <c r="D104" i="9"/>
  <c r="C104" i="9"/>
  <c r="B104" i="9"/>
  <c r="A104" i="9"/>
  <c r="I103" i="9"/>
  <c r="H103" i="9"/>
  <c r="G103" i="9"/>
  <c r="F103" i="9"/>
  <c r="E103" i="9"/>
  <c r="D103" i="9"/>
  <c r="C103" i="9"/>
  <c r="B103" i="9"/>
  <c r="A103" i="9"/>
  <c r="I102" i="9"/>
  <c r="H102" i="9"/>
  <c r="G102" i="9"/>
  <c r="F102" i="9"/>
  <c r="E102" i="9"/>
  <c r="D102" i="9"/>
  <c r="C102" i="9"/>
  <c r="B102" i="9"/>
  <c r="A102" i="9"/>
  <c r="I101" i="9"/>
  <c r="H101" i="9"/>
  <c r="G101" i="9"/>
  <c r="F101" i="9"/>
  <c r="E101" i="9"/>
  <c r="D101" i="9"/>
  <c r="C101" i="9"/>
  <c r="B101" i="9"/>
  <c r="A101" i="9"/>
  <c r="I100" i="9"/>
  <c r="H100" i="9"/>
  <c r="G100" i="9"/>
  <c r="F100" i="9"/>
  <c r="E100" i="9"/>
  <c r="D100" i="9"/>
  <c r="C100" i="9"/>
  <c r="B100" i="9"/>
  <c r="A100" i="9"/>
  <c r="I99" i="9"/>
  <c r="H99" i="9"/>
  <c r="G99" i="9"/>
  <c r="F99" i="9"/>
  <c r="E99" i="9"/>
  <c r="D99" i="9"/>
  <c r="C99" i="9"/>
  <c r="B99" i="9"/>
  <c r="A99" i="9"/>
  <c r="I98" i="9"/>
  <c r="H98" i="9"/>
  <c r="G98" i="9"/>
  <c r="F98" i="9"/>
  <c r="E98" i="9"/>
  <c r="D98" i="9"/>
  <c r="C98" i="9"/>
  <c r="B98" i="9"/>
  <c r="A98" i="9"/>
  <c r="I97" i="9"/>
  <c r="H97" i="9"/>
  <c r="G97" i="9"/>
  <c r="F97" i="9"/>
  <c r="E97" i="9"/>
  <c r="D97" i="9"/>
  <c r="C97" i="9"/>
  <c r="B97" i="9"/>
  <c r="A97" i="9"/>
  <c r="I96" i="9"/>
  <c r="H96" i="9"/>
  <c r="G96" i="9"/>
  <c r="F96" i="9"/>
  <c r="E96" i="9"/>
  <c r="D96" i="9"/>
  <c r="C96" i="9"/>
  <c r="B96" i="9"/>
  <c r="A96" i="9"/>
  <c r="I95" i="9"/>
  <c r="H95" i="9"/>
  <c r="G95" i="9"/>
  <c r="F95" i="9"/>
  <c r="E95" i="9"/>
  <c r="D95" i="9"/>
  <c r="C95" i="9"/>
  <c r="B95" i="9"/>
  <c r="A95" i="9"/>
  <c r="I94" i="9"/>
  <c r="H94" i="9"/>
  <c r="G94" i="9"/>
  <c r="F94" i="9"/>
  <c r="E94" i="9"/>
  <c r="D94" i="9"/>
  <c r="C94" i="9"/>
  <c r="B94" i="9"/>
  <c r="A94" i="9"/>
  <c r="I93" i="9"/>
  <c r="H93" i="9"/>
  <c r="G93" i="9"/>
  <c r="F93" i="9"/>
  <c r="E93" i="9"/>
  <c r="D93" i="9"/>
  <c r="C93" i="9"/>
  <c r="B93" i="9"/>
  <c r="A93" i="9"/>
  <c r="I92" i="9"/>
  <c r="H92" i="9"/>
  <c r="G92" i="9"/>
  <c r="F92" i="9"/>
  <c r="E92" i="9"/>
  <c r="D92" i="9"/>
  <c r="C92" i="9"/>
  <c r="B92" i="9"/>
  <c r="A92" i="9"/>
  <c r="I91" i="9"/>
  <c r="H91" i="9"/>
  <c r="G91" i="9"/>
  <c r="F91" i="9"/>
  <c r="E91" i="9"/>
  <c r="D91" i="9"/>
  <c r="C91" i="9"/>
  <c r="B91" i="9"/>
  <c r="A91" i="9"/>
  <c r="G109" i="8"/>
  <c r="F109" i="8"/>
  <c r="E109" i="8"/>
  <c r="D109" i="8"/>
  <c r="C109" i="8"/>
  <c r="B109" i="8"/>
  <c r="A109" i="8"/>
  <c r="G108" i="8"/>
  <c r="F108" i="8"/>
  <c r="E108" i="8"/>
  <c r="D108" i="8"/>
  <c r="C108" i="8"/>
  <c r="B108" i="8"/>
  <c r="A108" i="8"/>
  <c r="G107" i="8"/>
  <c r="F107" i="8"/>
  <c r="E107" i="8"/>
  <c r="D107" i="8"/>
  <c r="C107" i="8"/>
  <c r="B107" i="8"/>
  <c r="A107" i="8"/>
  <c r="G106" i="8"/>
  <c r="F106" i="8"/>
  <c r="E106" i="8"/>
  <c r="D106" i="8"/>
  <c r="C106" i="8"/>
  <c r="B106" i="8"/>
  <c r="A106" i="8"/>
  <c r="G105" i="8"/>
  <c r="F105" i="8"/>
  <c r="E105" i="8"/>
  <c r="D105" i="8"/>
  <c r="C105" i="8"/>
  <c r="B105" i="8"/>
  <c r="A105" i="8"/>
  <c r="G104" i="8"/>
  <c r="F104" i="8"/>
  <c r="E104" i="8"/>
  <c r="D104" i="8"/>
  <c r="C104" i="8"/>
  <c r="B104" i="8"/>
  <c r="A104" i="8"/>
  <c r="G103" i="8"/>
  <c r="F103" i="8"/>
  <c r="E103" i="8"/>
  <c r="D103" i="8"/>
  <c r="C103" i="8"/>
  <c r="B103" i="8"/>
  <c r="A103" i="8"/>
  <c r="G102" i="8"/>
  <c r="F102" i="8"/>
  <c r="E102" i="8"/>
  <c r="D102" i="8"/>
  <c r="C102" i="8"/>
  <c r="B102" i="8"/>
  <c r="A102" i="8"/>
  <c r="G101" i="8"/>
  <c r="F101" i="8"/>
  <c r="E101" i="8"/>
  <c r="D101" i="8"/>
  <c r="C101" i="8"/>
  <c r="B101" i="8"/>
  <c r="A101" i="8"/>
  <c r="G100" i="8"/>
  <c r="F100" i="8"/>
  <c r="E100" i="8"/>
  <c r="D100" i="8"/>
  <c r="C100" i="8"/>
  <c r="B100" i="8"/>
  <c r="A100" i="8"/>
  <c r="G99" i="8"/>
  <c r="F99" i="8"/>
  <c r="E99" i="8"/>
  <c r="D99" i="8"/>
  <c r="C99" i="8"/>
  <c r="B99" i="8"/>
  <c r="A99" i="8"/>
  <c r="G98" i="8"/>
  <c r="F98" i="8"/>
  <c r="E98" i="8"/>
  <c r="D98" i="8"/>
  <c r="C98" i="8"/>
  <c r="B98" i="8"/>
  <c r="A98" i="8"/>
  <c r="G97" i="8"/>
  <c r="F97" i="8"/>
  <c r="E97" i="8"/>
  <c r="D97" i="8"/>
  <c r="C97" i="8"/>
  <c r="B97" i="8"/>
  <c r="A97" i="8"/>
  <c r="G96" i="8"/>
  <c r="F96" i="8"/>
  <c r="E96" i="8"/>
  <c r="D96" i="8"/>
  <c r="C96" i="8"/>
  <c r="B96" i="8"/>
  <c r="A96" i="8"/>
  <c r="G95" i="8"/>
  <c r="F95" i="8"/>
  <c r="E95" i="8"/>
  <c r="D95" i="8"/>
  <c r="C95" i="8"/>
  <c r="B95" i="8"/>
  <c r="A95" i="8"/>
  <c r="G94" i="8"/>
  <c r="F94" i="8"/>
  <c r="E94" i="8"/>
  <c r="D94" i="8"/>
  <c r="C94" i="8"/>
  <c r="B94" i="8"/>
  <c r="A94" i="8"/>
  <c r="G93" i="8"/>
  <c r="F93" i="8"/>
  <c r="E93" i="8"/>
  <c r="D93" i="8"/>
  <c r="C93" i="8"/>
  <c r="B93" i="8"/>
  <c r="A93" i="8"/>
  <c r="G109" i="1"/>
  <c r="F109" i="1"/>
  <c r="E109" i="1"/>
  <c r="D109" i="1"/>
  <c r="C109" i="1"/>
  <c r="B109" i="1"/>
  <c r="A109" i="1"/>
  <c r="G108" i="1"/>
  <c r="F108" i="1"/>
  <c r="E108" i="1"/>
  <c r="D108" i="1"/>
  <c r="C108" i="1"/>
  <c r="B108" i="1"/>
  <c r="A108" i="1"/>
  <c r="G107" i="1"/>
  <c r="F107" i="1"/>
  <c r="E107" i="1"/>
  <c r="D107" i="1"/>
  <c r="C107" i="1"/>
  <c r="B107" i="1"/>
  <c r="A107" i="1"/>
  <c r="G106" i="1"/>
  <c r="F106" i="1"/>
  <c r="E106" i="1"/>
  <c r="D106" i="1"/>
  <c r="C106" i="1"/>
  <c r="B106" i="1"/>
  <c r="A106" i="1"/>
  <c r="G105" i="1"/>
  <c r="F105" i="1"/>
  <c r="E105" i="1"/>
  <c r="D105" i="1"/>
  <c r="C105" i="1"/>
  <c r="B105" i="1"/>
  <c r="A105" i="1"/>
  <c r="G104" i="1"/>
  <c r="F104" i="1"/>
  <c r="E104" i="1"/>
  <c r="D104" i="1"/>
  <c r="C104" i="1"/>
  <c r="B104" i="1"/>
  <c r="A104" i="1"/>
  <c r="G103" i="1"/>
  <c r="F103" i="1"/>
  <c r="E103" i="1"/>
  <c r="D103" i="1"/>
  <c r="C103" i="1"/>
  <c r="B103" i="1"/>
  <c r="A103" i="1"/>
  <c r="G102" i="1"/>
  <c r="F102" i="1"/>
  <c r="E102" i="1"/>
  <c r="D102" i="1"/>
  <c r="C102" i="1"/>
  <c r="B102" i="1"/>
  <c r="A102" i="1"/>
  <c r="G101" i="1"/>
  <c r="F101" i="1"/>
  <c r="E101" i="1"/>
  <c r="D101" i="1"/>
  <c r="C101" i="1"/>
  <c r="B101" i="1"/>
  <c r="A101" i="1"/>
  <c r="G100" i="1"/>
  <c r="F100" i="1"/>
  <c r="E100" i="1"/>
  <c r="D100" i="1"/>
  <c r="C100" i="1"/>
  <c r="B100" i="1"/>
  <c r="A100" i="1"/>
  <c r="G99" i="1"/>
  <c r="F99" i="1"/>
  <c r="E99" i="1"/>
  <c r="D99" i="1"/>
  <c r="C99" i="1"/>
  <c r="B99" i="1"/>
  <c r="A99" i="1"/>
  <c r="G98" i="1"/>
  <c r="F98" i="1"/>
  <c r="E98" i="1"/>
  <c r="D98" i="1"/>
  <c r="C98" i="1"/>
  <c r="B98" i="1"/>
  <c r="A98" i="1"/>
  <c r="G97" i="1"/>
  <c r="F97" i="1"/>
  <c r="E97" i="1"/>
  <c r="D97" i="1"/>
  <c r="C97" i="1"/>
  <c r="B97" i="1"/>
  <c r="A97" i="1"/>
  <c r="G96" i="1"/>
  <c r="F96" i="1"/>
  <c r="E96" i="1"/>
  <c r="D96" i="1"/>
  <c r="C96" i="1"/>
  <c r="B96" i="1"/>
  <c r="A96" i="1"/>
  <c r="G95" i="1"/>
  <c r="F95" i="1"/>
  <c r="E95" i="1"/>
  <c r="D95" i="1"/>
  <c r="C95" i="1"/>
  <c r="B95" i="1"/>
  <c r="A95" i="1"/>
  <c r="E2" i="1" l="1"/>
  <c r="A93" i="1" l="1"/>
  <c r="B93" i="1"/>
  <c r="C93" i="1"/>
  <c r="D93" i="1"/>
  <c r="E93" i="1"/>
  <c r="F93" i="1"/>
  <c r="G93" i="1"/>
  <c r="A94" i="1"/>
  <c r="B94" i="1"/>
  <c r="C94" i="1"/>
  <c r="D94" i="1"/>
  <c r="E94" i="1"/>
  <c r="F94" i="1"/>
  <c r="G94" i="1"/>
  <c r="B85" i="9" l="1"/>
  <c r="B86" i="9"/>
  <c r="B87" i="9"/>
  <c r="B88" i="9"/>
  <c r="B89" i="9"/>
  <c r="B90" i="9"/>
  <c r="C85" i="9"/>
  <c r="C86" i="9"/>
  <c r="C87" i="9"/>
  <c r="C88" i="9"/>
  <c r="C89" i="9"/>
  <c r="C90" i="9"/>
  <c r="D85" i="9"/>
  <c r="D86" i="9"/>
  <c r="D87" i="9"/>
  <c r="D88" i="9"/>
  <c r="D89" i="9"/>
  <c r="D90" i="9"/>
  <c r="E85" i="9"/>
  <c r="E86" i="9"/>
  <c r="E87" i="9"/>
  <c r="E88" i="9"/>
  <c r="E89" i="9"/>
  <c r="E90" i="9"/>
  <c r="F85" i="9"/>
  <c r="F86" i="9"/>
  <c r="F87" i="9"/>
  <c r="F88" i="9"/>
  <c r="F89" i="9"/>
  <c r="F90" i="9"/>
  <c r="G85" i="9"/>
  <c r="G86" i="9"/>
  <c r="G87" i="9"/>
  <c r="G88" i="9"/>
  <c r="G89" i="9"/>
  <c r="G90" i="9"/>
  <c r="H85" i="9"/>
  <c r="H86" i="9"/>
  <c r="H87" i="9"/>
  <c r="H88" i="9"/>
  <c r="H89" i="9"/>
  <c r="H90" i="9"/>
  <c r="I85" i="9"/>
  <c r="I86" i="9"/>
  <c r="I87" i="9"/>
  <c r="I88" i="9"/>
  <c r="I89" i="9"/>
  <c r="I90" i="9"/>
  <c r="A85" i="9"/>
  <c r="A86" i="9"/>
  <c r="A87" i="9"/>
  <c r="A88" i="9"/>
  <c r="A89" i="9"/>
  <c r="A90" i="9"/>
  <c r="A85" i="8"/>
  <c r="A86" i="8"/>
  <c r="A87" i="8"/>
  <c r="A88" i="8"/>
  <c r="A89" i="8"/>
  <c r="A90" i="8"/>
  <c r="A91" i="8"/>
  <c r="A92" i="8"/>
  <c r="B85" i="8"/>
  <c r="B86" i="8"/>
  <c r="B87" i="8"/>
  <c r="B88" i="8"/>
  <c r="B89" i="8"/>
  <c r="B90" i="8"/>
  <c r="B91" i="8"/>
  <c r="B92" i="8"/>
  <c r="C85" i="8"/>
  <c r="C86" i="8"/>
  <c r="C87" i="8"/>
  <c r="C88" i="8"/>
  <c r="C89" i="8"/>
  <c r="C90" i="8"/>
  <c r="C91" i="8"/>
  <c r="C92" i="8"/>
  <c r="D85" i="8"/>
  <c r="D86" i="8"/>
  <c r="D87" i="8"/>
  <c r="D88" i="8"/>
  <c r="D89" i="8"/>
  <c r="D90" i="8"/>
  <c r="D91" i="8"/>
  <c r="D92" i="8"/>
  <c r="E85" i="8"/>
  <c r="E86" i="8"/>
  <c r="E87" i="8"/>
  <c r="E88" i="8"/>
  <c r="E89" i="8"/>
  <c r="E90" i="8"/>
  <c r="E91" i="8"/>
  <c r="E92" i="8"/>
  <c r="F85" i="8"/>
  <c r="F86" i="8"/>
  <c r="F87" i="8"/>
  <c r="F88" i="8"/>
  <c r="F89" i="8"/>
  <c r="F90" i="8"/>
  <c r="F91" i="8"/>
  <c r="F92" i="8"/>
  <c r="G85" i="8"/>
  <c r="G86" i="8"/>
  <c r="G87" i="8"/>
  <c r="G88" i="8"/>
  <c r="G89" i="8"/>
  <c r="G90" i="8"/>
  <c r="G91" i="8"/>
  <c r="G92" i="8"/>
  <c r="A85" i="1"/>
  <c r="A86" i="1"/>
  <c r="A87" i="1"/>
  <c r="A88" i="1"/>
  <c r="A89" i="1"/>
  <c r="A90" i="1"/>
  <c r="A91" i="1"/>
  <c r="A92" i="1"/>
  <c r="B85" i="1"/>
  <c r="B86" i="1"/>
  <c r="B87" i="1"/>
  <c r="B88" i="1"/>
  <c r="B89" i="1"/>
  <c r="B90" i="1"/>
  <c r="B91" i="1"/>
  <c r="B92" i="1"/>
  <c r="C85" i="1"/>
  <c r="C86" i="1"/>
  <c r="C87" i="1"/>
  <c r="C88" i="1"/>
  <c r="C89" i="1"/>
  <c r="C90" i="1"/>
  <c r="C91" i="1"/>
  <c r="C92" i="1"/>
  <c r="D85" i="1"/>
  <c r="D86" i="1"/>
  <c r="D87" i="1"/>
  <c r="D88" i="1"/>
  <c r="D89" i="1"/>
  <c r="D90" i="1"/>
  <c r="D91" i="1"/>
  <c r="D92" i="1"/>
  <c r="E85" i="1"/>
  <c r="E86" i="1"/>
  <c r="E87" i="1"/>
  <c r="E88" i="1"/>
  <c r="E89" i="1"/>
  <c r="E90" i="1"/>
  <c r="E91" i="1"/>
  <c r="E92" i="1"/>
  <c r="F85" i="1"/>
  <c r="F86" i="1"/>
  <c r="F87" i="1"/>
  <c r="F88" i="1"/>
  <c r="F89" i="1"/>
  <c r="F90" i="1"/>
  <c r="F91" i="1"/>
  <c r="F92" i="1"/>
  <c r="G85" i="1"/>
  <c r="G86" i="1"/>
  <c r="G87" i="1"/>
  <c r="G88" i="1"/>
  <c r="G89" i="1"/>
  <c r="G90" i="1"/>
  <c r="G91" i="1"/>
  <c r="G92" i="1"/>
  <c r="E77" i="1" l="1"/>
  <c r="A78" i="9" l="1"/>
  <c r="B78" i="9"/>
  <c r="C78" i="9"/>
  <c r="D78" i="9"/>
  <c r="E78" i="9"/>
  <c r="F78" i="9"/>
  <c r="G78" i="9"/>
  <c r="H78" i="9"/>
  <c r="I78" i="9"/>
  <c r="A79" i="9"/>
  <c r="B79" i="9"/>
  <c r="C79" i="9"/>
  <c r="D79" i="9"/>
  <c r="E79" i="9"/>
  <c r="F79" i="9"/>
  <c r="G79" i="9"/>
  <c r="H79" i="9"/>
  <c r="I79" i="9"/>
  <c r="A80" i="9"/>
  <c r="B80" i="9"/>
  <c r="C80" i="9"/>
  <c r="D80" i="9"/>
  <c r="E80" i="9"/>
  <c r="F80" i="9"/>
  <c r="G80" i="9"/>
  <c r="H80" i="9"/>
  <c r="I80" i="9"/>
  <c r="A81" i="9"/>
  <c r="B81" i="9"/>
  <c r="C81" i="9"/>
  <c r="D81" i="9"/>
  <c r="E81" i="9"/>
  <c r="F81" i="9"/>
  <c r="G81" i="9"/>
  <c r="H81" i="9"/>
  <c r="I81" i="9"/>
  <c r="A82" i="9"/>
  <c r="B82" i="9"/>
  <c r="C82" i="9"/>
  <c r="D82" i="9"/>
  <c r="E82" i="9"/>
  <c r="F82" i="9"/>
  <c r="G82" i="9"/>
  <c r="H82" i="9"/>
  <c r="I82" i="9"/>
  <c r="A83" i="9"/>
  <c r="B83" i="9"/>
  <c r="C83" i="9"/>
  <c r="D83" i="9"/>
  <c r="E83" i="9"/>
  <c r="F83" i="9"/>
  <c r="G83" i="9"/>
  <c r="H83" i="9"/>
  <c r="I83" i="9"/>
  <c r="A84" i="9"/>
  <c r="B84" i="9"/>
  <c r="C84" i="9"/>
  <c r="D84" i="9"/>
  <c r="E84" i="9"/>
  <c r="F84" i="9"/>
  <c r="G84" i="9"/>
  <c r="H84" i="9"/>
  <c r="I84"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H3" i="9"/>
  <c r="I3" i="9"/>
  <c r="H4" i="9"/>
  <c r="I4"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1" i="9"/>
  <c r="I41" i="9"/>
  <c r="H42" i="9"/>
  <c r="I42" i="9"/>
  <c r="H43" i="9"/>
  <c r="I43" i="9"/>
  <c r="H44" i="9"/>
  <c r="I44" i="9"/>
  <c r="H45" i="9"/>
  <c r="I45" i="9"/>
  <c r="H46" i="9"/>
  <c r="I46" i="9"/>
  <c r="H47" i="9"/>
  <c r="I47" i="9"/>
  <c r="H48" i="9"/>
  <c r="I48" i="9"/>
  <c r="H49" i="9"/>
  <c r="I49" i="9"/>
  <c r="H50" i="9"/>
  <c r="I50" i="9"/>
  <c r="H51" i="9"/>
  <c r="I51" i="9"/>
  <c r="H52" i="9"/>
  <c r="I52" i="9"/>
  <c r="H53" i="9"/>
  <c r="I53" i="9"/>
  <c r="H54" i="9"/>
  <c r="I54" i="9"/>
  <c r="H55" i="9"/>
  <c r="I55" i="9"/>
  <c r="H56" i="9"/>
  <c r="I56" i="9"/>
  <c r="H57" i="9"/>
  <c r="I57" i="9"/>
  <c r="H58" i="9"/>
  <c r="I58" i="9"/>
  <c r="H59" i="9"/>
  <c r="I59" i="9"/>
  <c r="H60" i="9"/>
  <c r="I60" i="9"/>
  <c r="H61" i="9"/>
  <c r="I61" i="9"/>
  <c r="H62" i="9"/>
  <c r="I62" i="9"/>
  <c r="H63" i="9"/>
  <c r="I63" i="9"/>
  <c r="H64" i="9"/>
  <c r="I64" i="9"/>
  <c r="H65" i="9"/>
  <c r="I65" i="9"/>
  <c r="H66" i="9"/>
  <c r="I66" i="9"/>
  <c r="H67" i="9"/>
  <c r="I67" i="9"/>
  <c r="H68" i="9"/>
  <c r="I68" i="9"/>
  <c r="H69" i="9"/>
  <c r="I69" i="9"/>
  <c r="H70" i="9"/>
  <c r="I70" i="9"/>
  <c r="H71" i="9"/>
  <c r="I71" i="9"/>
  <c r="H72" i="9"/>
  <c r="I72" i="9"/>
  <c r="H73" i="9"/>
  <c r="I73" i="9"/>
  <c r="H74" i="9"/>
  <c r="I74" i="9"/>
  <c r="H75" i="9"/>
  <c r="I75" i="9"/>
  <c r="H76" i="9"/>
  <c r="I76" i="9"/>
  <c r="H77" i="9"/>
  <c r="I77" i="9"/>
  <c r="H2" i="9"/>
  <c r="I2" i="9"/>
  <c r="A78" i="8"/>
  <c r="B78" i="8"/>
  <c r="C78" i="8"/>
  <c r="D78" i="8"/>
  <c r="E78" i="8"/>
  <c r="F78" i="8"/>
  <c r="G78" i="8"/>
  <c r="H78" i="8"/>
  <c r="I78" i="8"/>
  <c r="A79" i="8"/>
  <c r="B79" i="8"/>
  <c r="C79" i="8"/>
  <c r="D79" i="8"/>
  <c r="E79" i="8"/>
  <c r="F79" i="8"/>
  <c r="G79" i="8"/>
  <c r="H79" i="8"/>
  <c r="I79" i="8"/>
  <c r="A80" i="8"/>
  <c r="B80" i="8"/>
  <c r="C80" i="8"/>
  <c r="D80" i="8"/>
  <c r="E80" i="8"/>
  <c r="F80" i="8"/>
  <c r="G80" i="8"/>
  <c r="H80" i="8"/>
  <c r="I80" i="8"/>
  <c r="A81" i="8"/>
  <c r="B81" i="8"/>
  <c r="C81" i="8"/>
  <c r="D81" i="8"/>
  <c r="E81" i="8"/>
  <c r="F81" i="8"/>
  <c r="G81" i="8"/>
  <c r="H81" i="8"/>
  <c r="I81" i="8"/>
  <c r="A82" i="8"/>
  <c r="B82" i="8"/>
  <c r="C82" i="8"/>
  <c r="D82" i="8"/>
  <c r="E82" i="8"/>
  <c r="F82" i="8"/>
  <c r="G82" i="8"/>
  <c r="H82" i="8"/>
  <c r="I82" i="8"/>
  <c r="A83" i="8"/>
  <c r="B83" i="8"/>
  <c r="C83" i="8"/>
  <c r="D83" i="8"/>
  <c r="E83" i="8"/>
  <c r="F83" i="8"/>
  <c r="G83" i="8"/>
  <c r="H83" i="8"/>
  <c r="I83" i="8"/>
  <c r="A84" i="8"/>
  <c r="B84" i="8"/>
  <c r="C84" i="8"/>
  <c r="D84" i="8"/>
  <c r="E84" i="8"/>
  <c r="F84" i="8"/>
  <c r="G84" i="8"/>
  <c r="H84" i="8"/>
  <c r="I84" i="8"/>
  <c r="I77" i="8"/>
  <c r="H77" i="8"/>
  <c r="I76" i="8"/>
  <c r="H76" i="8"/>
  <c r="I69" i="8"/>
  <c r="H69" i="8"/>
  <c r="I68" i="8"/>
  <c r="H68" i="8"/>
  <c r="I67" i="8"/>
  <c r="H67" i="8"/>
  <c r="I66" i="8"/>
  <c r="H66" i="8"/>
  <c r="I65" i="8"/>
  <c r="H65" i="8"/>
  <c r="I64" i="8"/>
  <c r="H64" i="8"/>
  <c r="I63" i="8"/>
  <c r="H63" i="8"/>
  <c r="I62" i="8"/>
  <c r="H62" i="8"/>
  <c r="I61" i="8"/>
  <c r="H61" i="8"/>
  <c r="I60" i="8"/>
  <c r="H60" i="8"/>
  <c r="I59" i="8"/>
  <c r="H59" i="8"/>
  <c r="I57" i="8"/>
  <c r="H57" i="8"/>
  <c r="I56" i="8"/>
  <c r="H56" i="8"/>
  <c r="I55" i="8"/>
  <c r="H55" i="8"/>
  <c r="I54" i="8"/>
  <c r="H54" i="8"/>
  <c r="I53" i="8"/>
  <c r="H53" i="8"/>
  <c r="I52" i="8"/>
  <c r="H52" i="8"/>
  <c r="I51" i="8"/>
  <c r="H51" i="8"/>
  <c r="I50" i="8"/>
  <c r="H50" i="8"/>
  <c r="I49" i="8"/>
  <c r="H49" i="8"/>
  <c r="I48" i="8"/>
  <c r="H48" i="8"/>
  <c r="I47" i="8"/>
  <c r="H47" i="8"/>
  <c r="I46" i="8"/>
  <c r="H46" i="8"/>
  <c r="I45" i="8"/>
  <c r="H45" i="8"/>
  <c r="I44" i="8"/>
  <c r="H44" i="8"/>
  <c r="I43" i="8"/>
  <c r="H43" i="8"/>
  <c r="I42" i="8"/>
  <c r="H42" i="8"/>
  <c r="I41" i="8"/>
  <c r="H41" i="8"/>
  <c r="I40" i="8"/>
  <c r="H40" i="8"/>
  <c r="I39" i="8"/>
  <c r="H39" i="8"/>
  <c r="I38" i="8"/>
  <c r="H38" i="8"/>
  <c r="I36" i="8"/>
  <c r="H36" i="8"/>
  <c r="I35" i="8"/>
  <c r="H35" i="8"/>
  <c r="I34" i="8"/>
  <c r="H34" i="8"/>
  <c r="I31" i="8"/>
  <c r="H31" i="8"/>
  <c r="I30" i="8"/>
  <c r="H30" i="8"/>
  <c r="I29" i="8"/>
  <c r="H29" i="8"/>
  <c r="I28" i="8"/>
  <c r="H28" i="8"/>
  <c r="I27" i="8"/>
  <c r="H27" i="8"/>
  <c r="I26" i="8"/>
  <c r="H26" i="8"/>
  <c r="I25" i="8"/>
  <c r="H25" i="8"/>
  <c r="I24" i="8"/>
  <c r="H24" i="8"/>
  <c r="I23" i="8"/>
  <c r="H23" i="8"/>
  <c r="I22" i="8"/>
  <c r="H22" i="8"/>
  <c r="I21" i="8"/>
  <c r="H21" i="8"/>
  <c r="I20" i="8"/>
  <c r="H20" i="8"/>
  <c r="I19" i="8"/>
  <c r="H19" i="8"/>
  <c r="I16" i="8"/>
  <c r="H16" i="8"/>
  <c r="I15" i="8"/>
  <c r="H15" i="8"/>
  <c r="I14" i="8"/>
  <c r="H14" i="8"/>
  <c r="I13" i="8"/>
  <c r="H13" i="8"/>
  <c r="I12" i="8"/>
  <c r="H12" i="8"/>
  <c r="I10" i="8"/>
  <c r="H10" i="8"/>
  <c r="I9" i="8"/>
  <c r="H9" i="8"/>
  <c r="I8" i="8"/>
  <c r="H8" i="8"/>
  <c r="I7" i="8"/>
  <c r="H7" i="8"/>
  <c r="I6" i="8"/>
  <c r="H6" i="8"/>
  <c r="I4" i="8"/>
  <c r="H4" i="8"/>
  <c r="I3" i="8"/>
  <c r="H3" i="8"/>
  <c r="I2" i="8"/>
  <c r="H2" i="8"/>
  <c r="G77" i="8"/>
  <c r="G76" i="8"/>
  <c r="G69" i="8"/>
  <c r="G68" i="8"/>
  <c r="G67" i="8"/>
  <c r="G66" i="8"/>
  <c r="G65" i="8"/>
  <c r="G64" i="8"/>
  <c r="G63" i="8"/>
  <c r="G62" i="8"/>
  <c r="G61" i="8"/>
  <c r="G60" i="8"/>
  <c r="G59" i="8"/>
  <c r="G57" i="8"/>
  <c r="G56" i="8"/>
  <c r="G55" i="8"/>
  <c r="G54" i="8"/>
  <c r="G53" i="8"/>
  <c r="G52" i="8"/>
  <c r="G51" i="8"/>
  <c r="G50" i="8"/>
  <c r="G49" i="8"/>
  <c r="G48" i="8"/>
  <c r="G47" i="8"/>
  <c r="G46" i="8"/>
  <c r="G45" i="8"/>
  <c r="G44" i="8"/>
  <c r="G43" i="8"/>
  <c r="G42" i="8"/>
  <c r="G41" i="8"/>
  <c r="G40" i="8"/>
  <c r="G39" i="8"/>
  <c r="G38" i="8"/>
  <c r="G36" i="8"/>
  <c r="G35" i="8"/>
  <c r="G34" i="8"/>
  <c r="G31" i="8"/>
  <c r="G30" i="8"/>
  <c r="G29" i="8"/>
  <c r="G28" i="8"/>
  <c r="G27" i="8"/>
  <c r="G26" i="8"/>
  <c r="G25" i="8"/>
  <c r="G24" i="8"/>
  <c r="G23" i="8"/>
  <c r="G22" i="8"/>
  <c r="G21" i="8"/>
  <c r="G20" i="8"/>
  <c r="G19" i="8"/>
  <c r="G16" i="8"/>
  <c r="G15" i="8"/>
  <c r="G14" i="8"/>
  <c r="G13" i="8"/>
  <c r="G12" i="8"/>
  <c r="G10" i="8"/>
  <c r="G8" i="8"/>
  <c r="F7" i="8"/>
  <c r="F6" i="8"/>
  <c r="F4" i="8"/>
  <c r="F3" i="8"/>
  <c r="F2" i="8"/>
  <c r="A78" i="1"/>
  <c r="B78" i="1"/>
  <c r="C78" i="1"/>
  <c r="D78" i="1"/>
  <c r="F78" i="1"/>
  <c r="G78" i="1"/>
  <c r="A79" i="1"/>
  <c r="B79" i="1"/>
  <c r="C79" i="1"/>
  <c r="D79" i="1"/>
  <c r="E79" i="1"/>
  <c r="F79" i="1"/>
  <c r="G79" i="1"/>
  <c r="A80" i="1"/>
  <c r="B80" i="1"/>
  <c r="C80" i="1"/>
  <c r="D80" i="1"/>
  <c r="E80" i="1"/>
  <c r="F80" i="1"/>
  <c r="G80" i="1"/>
  <c r="A81" i="1"/>
  <c r="B81" i="1"/>
  <c r="C81" i="1"/>
  <c r="D81" i="1"/>
  <c r="E81" i="1"/>
  <c r="F81" i="1"/>
  <c r="G81" i="1"/>
  <c r="A82" i="1"/>
  <c r="B82" i="1"/>
  <c r="C82" i="1"/>
  <c r="D82" i="1"/>
  <c r="E82" i="1"/>
  <c r="F82" i="1"/>
  <c r="G82" i="1"/>
  <c r="A83" i="1"/>
  <c r="B83" i="1"/>
  <c r="C83" i="1"/>
  <c r="D83" i="1"/>
  <c r="E83" i="1"/>
  <c r="F83" i="1"/>
  <c r="G83" i="1"/>
  <c r="A84" i="1"/>
  <c r="B84" i="1"/>
  <c r="C84" i="1"/>
  <c r="D84" i="1"/>
  <c r="E84" i="1"/>
  <c r="F84" i="1"/>
  <c r="G84" i="1"/>
  <c r="E2" i="9" l="1"/>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7" i="8"/>
  <c r="E76" i="8"/>
  <c r="E69" i="8"/>
  <c r="E68" i="8"/>
  <c r="E67" i="8"/>
  <c r="E66" i="8"/>
  <c r="E65" i="8"/>
  <c r="E64" i="8"/>
  <c r="E63" i="8"/>
  <c r="E62" i="8"/>
  <c r="E61" i="8"/>
  <c r="E60" i="8"/>
  <c r="E59" i="8"/>
  <c r="E57" i="8"/>
  <c r="E56" i="8"/>
  <c r="E55" i="8"/>
  <c r="E54" i="8"/>
  <c r="E53" i="8"/>
  <c r="E52" i="8"/>
  <c r="E51" i="8"/>
  <c r="E50" i="8"/>
  <c r="E49" i="8"/>
  <c r="E48" i="8"/>
  <c r="E47" i="8"/>
  <c r="E46" i="8"/>
  <c r="E45" i="8"/>
  <c r="E44" i="8"/>
  <c r="E43" i="8"/>
  <c r="E42" i="8"/>
  <c r="E41" i="8"/>
  <c r="E40" i="8"/>
  <c r="E39" i="8"/>
  <c r="E38" i="8"/>
  <c r="E36" i="8"/>
  <c r="E35" i="8"/>
  <c r="E34" i="8"/>
  <c r="E31" i="8"/>
  <c r="E30" i="8"/>
  <c r="E29" i="8"/>
  <c r="E28" i="8"/>
  <c r="E27" i="8"/>
  <c r="E26" i="8"/>
  <c r="E25" i="8"/>
  <c r="E24" i="8"/>
  <c r="E23" i="8"/>
  <c r="E22" i="8"/>
  <c r="E21" i="8"/>
  <c r="E20" i="8"/>
  <c r="E19" i="8"/>
  <c r="E16" i="8"/>
  <c r="E15" i="8"/>
  <c r="E14" i="8"/>
  <c r="E13" i="8"/>
  <c r="E12" i="8"/>
  <c r="E10" i="8"/>
  <c r="E9" i="8"/>
  <c r="E8" i="8"/>
  <c r="E7" i="8"/>
  <c r="E6" i="8"/>
  <c r="E4" i="8"/>
  <c r="E3" i="8"/>
  <c r="E2" i="8"/>
  <c r="E5" i="8"/>
  <c r="E11" i="8"/>
  <c r="E17" i="8"/>
  <c r="E18" i="8"/>
  <c r="E32" i="8"/>
  <c r="E33" i="8"/>
  <c r="E37" i="8"/>
  <c r="E58" i="8"/>
  <c r="E70" i="8"/>
  <c r="E71" i="8"/>
  <c r="E72" i="8"/>
  <c r="E73" i="8"/>
  <c r="E74" i="8"/>
  <c r="E75" i="8"/>
  <c r="E76"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7" i="1"/>
  <c r="E16" i="1"/>
  <c r="E15" i="1"/>
  <c r="E14" i="1"/>
  <c r="E13" i="1"/>
  <c r="E12" i="1"/>
  <c r="E10" i="1"/>
  <c r="E9" i="1"/>
  <c r="E8" i="1"/>
  <c r="E7" i="1"/>
  <c r="E6" i="1"/>
  <c r="E4" i="1"/>
  <c r="E3" i="1"/>
  <c r="E5" i="1"/>
  <c r="E11" i="1"/>
  <c r="E18" i="1"/>
  <c r="E73" i="1"/>
  <c r="E74" i="1"/>
  <c r="E75" i="1"/>
  <c r="F3" i="9" l="1"/>
  <c r="F2"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G2" i="8" l="1"/>
  <c r="G11" i="8" l="1"/>
  <c r="G17" i="8"/>
  <c r="G18" i="8"/>
  <c r="G32" i="8"/>
  <c r="G33" i="8"/>
  <c r="G37" i="8"/>
  <c r="G58" i="8"/>
  <c r="G70" i="8"/>
  <c r="G71" i="8"/>
  <c r="G72" i="8"/>
  <c r="G73" i="8"/>
  <c r="G74" i="8"/>
  <c r="G75" i="8"/>
  <c r="F5" i="8" l="1"/>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D6" i="8" l="1"/>
  <c r="D77" i="9" l="1"/>
  <c r="C77" i="9"/>
  <c r="B77" i="9"/>
  <c r="A77" i="9"/>
  <c r="D76" i="9"/>
  <c r="C76" i="9"/>
  <c r="B76" i="9"/>
  <c r="A76" i="9"/>
  <c r="D75" i="9"/>
  <c r="C75" i="9"/>
  <c r="B75" i="9"/>
  <c r="A75" i="9"/>
  <c r="D74" i="9"/>
  <c r="C74" i="9"/>
  <c r="B74" i="9"/>
  <c r="A74" i="9"/>
  <c r="D73" i="9"/>
  <c r="C73" i="9"/>
  <c r="B73" i="9"/>
  <c r="A73" i="9"/>
  <c r="D72" i="9"/>
  <c r="C72" i="9"/>
  <c r="B72" i="9"/>
  <c r="A72" i="9"/>
  <c r="D71" i="9"/>
  <c r="C71" i="9"/>
  <c r="B71" i="9"/>
  <c r="A71" i="9"/>
  <c r="D70" i="9"/>
  <c r="C70" i="9"/>
  <c r="B70" i="9"/>
  <c r="A70" i="9"/>
  <c r="D69" i="9"/>
  <c r="C69" i="9"/>
  <c r="B69" i="9"/>
  <c r="A69" i="9"/>
  <c r="D68" i="9"/>
  <c r="C68" i="9"/>
  <c r="B68" i="9"/>
  <c r="A68" i="9"/>
  <c r="D67" i="9"/>
  <c r="C67" i="9"/>
  <c r="B67" i="9"/>
  <c r="A67" i="9"/>
  <c r="D66" i="9"/>
  <c r="C66" i="9"/>
  <c r="B66" i="9"/>
  <c r="A66" i="9"/>
  <c r="D65" i="9"/>
  <c r="C65" i="9"/>
  <c r="B65" i="9"/>
  <c r="A65" i="9"/>
  <c r="D64" i="9"/>
  <c r="C64" i="9"/>
  <c r="B64" i="9"/>
  <c r="A64" i="9"/>
  <c r="D63" i="9"/>
  <c r="C63" i="9"/>
  <c r="B63" i="9"/>
  <c r="A63" i="9"/>
  <c r="D62" i="9"/>
  <c r="C62" i="9"/>
  <c r="B62" i="9"/>
  <c r="A62" i="9"/>
  <c r="D61" i="9"/>
  <c r="C61" i="9"/>
  <c r="B61" i="9"/>
  <c r="A61" i="9"/>
  <c r="D60" i="9"/>
  <c r="C60" i="9"/>
  <c r="B60" i="9"/>
  <c r="A60" i="9"/>
  <c r="D59" i="9"/>
  <c r="C59" i="9"/>
  <c r="B59" i="9"/>
  <c r="A59" i="9"/>
  <c r="D58" i="9"/>
  <c r="C58" i="9"/>
  <c r="B58" i="9"/>
  <c r="A58" i="9"/>
  <c r="D57" i="9"/>
  <c r="C57" i="9"/>
  <c r="B57" i="9"/>
  <c r="A57" i="9"/>
  <c r="D56" i="9"/>
  <c r="C56" i="9"/>
  <c r="B56" i="9"/>
  <c r="A56" i="9"/>
  <c r="D55" i="9"/>
  <c r="C55" i="9"/>
  <c r="B55" i="9"/>
  <c r="A55" i="9"/>
  <c r="D54" i="9"/>
  <c r="C54" i="9"/>
  <c r="B54" i="9"/>
  <c r="A54" i="9"/>
  <c r="D53" i="9"/>
  <c r="C53" i="9"/>
  <c r="B53" i="9"/>
  <c r="A53" i="9"/>
  <c r="D52" i="9"/>
  <c r="C52" i="9"/>
  <c r="B52" i="9"/>
  <c r="A52" i="9"/>
  <c r="D51" i="9"/>
  <c r="C51" i="9"/>
  <c r="B51" i="9"/>
  <c r="A51" i="9"/>
  <c r="D50" i="9"/>
  <c r="C50" i="9"/>
  <c r="B50" i="9"/>
  <c r="A50" i="9"/>
  <c r="D49" i="9"/>
  <c r="C49" i="9"/>
  <c r="B49" i="9"/>
  <c r="A49" i="9"/>
  <c r="D48" i="9"/>
  <c r="C48" i="9"/>
  <c r="B48" i="9"/>
  <c r="A48" i="9"/>
  <c r="D47" i="9"/>
  <c r="C47" i="9"/>
  <c r="B47" i="9"/>
  <c r="A47" i="9"/>
  <c r="D46" i="9"/>
  <c r="C46" i="9"/>
  <c r="B46" i="9"/>
  <c r="A46" i="9"/>
  <c r="D45" i="9"/>
  <c r="C45" i="9"/>
  <c r="B45" i="9"/>
  <c r="A45" i="9"/>
  <c r="D44" i="9"/>
  <c r="C44" i="9"/>
  <c r="B44" i="9"/>
  <c r="A44" i="9"/>
  <c r="D43" i="9"/>
  <c r="C43" i="9"/>
  <c r="B43" i="9"/>
  <c r="A43" i="9"/>
  <c r="D42" i="9"/>
  <c r="C42" i="9"/>
  <c r="B42" i="9"/>
  <c r="A42" i="9"/>
  <c r="D41" i="9"/>
  <c r="C41" i="9"/>
  <c r="B41" i="9"/>
  <c r="A41" i="9"/>
  <c r="D40" i="9"/>
  <c r="C40" i="9"/>
  <c r="B40" i="9"/>
  <c r="A40" i="9"/>
  <c r="D39" i="9"/>
  <c r="C39" i="9"/>
  <c r="B39" i="9"/>
  <c r="A39" i="9"/>
  <c r="D38" i="9"/>
  <c r="C38" i="9"/>
  <c r="B38" i="9"/>
  <c r="A38" i="9"/>
  <c r="D37" i="9"/>
  <c r="C37" i="9"/>
  <c r="B37" i="9"/>
  <c r="A37" i="9"/>
  <c r="D36" i="9"/>
  <c r="C36" i="9"/>
  <c r="B36" i="9"/>
  <c r="A36" i="9"/>
  <c r="D35" i="9"/>
  <c r="C35" i="9"/>
  <c r="B35" i="9"/>
  <c r="A35" i="9"/>
  <c r="D34" i="9"/>
  <c r="C34" i="9"/>
  <c r="B34" i="9"/>
  <c r="A34" i="9"/>
  <c r="D33" i="9"/>
  <c r="C33" i="9"/>
  <c r="B33" i="9"/>
  <c r="A33" i="9"/>
  <c r="D32" i="9"/>
  <c r="C32" i="9"/>
  <c r="B32" i="9"/>
  <c r="A32" i="9"/>
  <c r="D31" i="9"/>
  <c r="C31" i="9"/>
  <c r="B31" i="9"/>
  <c r="A31" i="9"/>
  <c r="D30" i="9"/>
  <c r="C30" i="9"/>
  <c r="B30" i="9"/>
  <c r="A30" i="9"/>
  <c r="D29" i="9"/>
  <c r="C29" i="9"/>
  <c r="B29" i="9"/>
  <c r="A29" i="9"/>
  <c r="D28" i="9"/>
  <c r="C28" i="9"/>
  <c r="B28" i="9"/>
  <c r="A28" i="9"/>
  <c r="D27" i="9"/>
  <c r="C27" i="9"/>
  <c r="B27" i="9"/>
  <c r="A27" i="9"/>
  <c r="D26" i="9"/>
  <c r="C26" i="9"/>
  <c r="B26" i="9"/>
  <c r="A26" i="9"/>
  <c r="D25" i="9"/>
  <c r="C25" i="9"/>
  <c r="B25" i="9"/>
  <c r="A25" i="9"/>
  <c r="D24" i="9"/>
  <c r="C24" i="9"/>
  <c r="B24" i="9"/>
  <c r="A24" i="9"/>
  <c r="D23" i="9"/>
  <c r="C23" i="9"/>
  <c r="B23" i="9"/>
  <c r="A23" i="9"/>
  <c r="D22" i="9"/>
  <c r="C22" i="9"/>
  <c r="B22" i="9"/>
  <c r="A22" i="9"/>
  <c r="D21" i="9"/>
  <c r="C21" i="9"/>
  <c r="B21" i="9"/>
  <c r="A21" i="9"/>
  <c r="D20" i="9"/>
  <c r="C20" i="9"/>
  <c r="B20" i="9"/>
  <c r="A20" i="9"/>
  <c r="D19" i="9"/>
  <c r="C19" i="9"/>
  <c r="B19" i="9"/>
  <c r="A19" i="9"/>
  <c r="D18" i="9"/>
  <c r="C18" i="9"/>
  <c r="B18" i="9"/>
  <c r="A18" i="9"/>
  <c r="D17" i="9"/>
  <c r="C17" i="9"/>
  <c r="B17" i="9"/>
  <c r="A17" i="9"/>
  <c r="D16" i="9"/>
  <c r="C16" i="9"/>
  <c r="B16" i="9"/>
  <c r="A16" i="9"/>
  <c r="D15" i="9"/>
  <c r="C15" i="9"/>
  <c r="B15" i="9"/>
  <c r="A15" i="9"/>
  <c r="D14" i="9"/>
  <c r="C14" i="9"/>
  <c r="B14" i="9"/>
  <c r="A14" i="9"/>
  <c r="D13" i="9"/>
  <c r="C13" i="9"/>
  <c r="B13" i="9"/>
  <c r="A13" i="9"/>
  <c r="D12" i="9"/>
  <c r="C12" i="9"/>
  <c r="B12" i="9"/>
  <c r="A12" i="9"/>
  <c r="D11" i="9"/>
  <c r="C11" i="9"/>
  <c r="B11" i="9"/>
  <c r="A11" i="9"/>
  <c r="D10" i="9"/>
  <c r="C10" i="9"/>
  <c r="B10" i="9"/>
  <c r="A10" i="9"/>
  <c r="D9" i="9"/>
  <c r="C9" i="9"/>
  <c r="B9" i="9"/>
  <c r="A9" i="9"/>
  <c r="D8" i="9"/>
  <c r="C8" i="9"/>
  <c r="B8" i="9"/>
  <c r="A8" i="9"/>
  <c r="D7" i="9"/>
  <c r="C7" i="9"/>
  <c r="B7" i="9"/>
  <c r="A7" i="9"/>
  <c r="D6" i="9"/>
  <c r="C6" i="9"/>
  <c r="B6" i="9"/>
  <c r="A6" i="9"/>
  <c r="D5" i="9"/>
  <c r="C5" i="9"/>
  <c r="B5" i="9"/>
  <c r="A5" i="9"/>
  <c r="D4" i="9"/>
  <c r="C4" i="9"/>
  <c r="B4" i="9"/>
  <c r="A4" i="9"/>
  <c r="D3" i="9"/>
  <c r="C3" i="9"/>
  <c r="B3" i="9"/>
  <c r="A3" i="9"/>
  <c r="D2" i="9"/>
  <c r="C2" i="9"/>
  <c r="B2" i="9"/>
  <c r="A2" i="9"/>
  <c r="D77" i="8"/>
  <c r="C77" i="8"/>
  <c r="B77" i="8"/>
  <c r="A77" i="8"/>
  <c r="D76" i="8"/>
  <c r="C76" i="8"/>
  <c r="B76" i="8"/>
  <c r="A76" i="8"/>
  <c r="D75" i="8"/>
  <c r="C75" i="8"/>
  <c r="B75" i="8"/>
  <c r="A75" i="8"/>
  <c r="D74" i="8"/>
  <c r="C74" i="8"/>
  <c r="B74" i="8"/>
  <c r="A74" i="8"/>
  <c r="D73" i="8"/>
  <c r="C73" i="8"/>
  <c r="B73" i="8"/>
  <c r="A73" i="8"/>
  <c r="D72" i="8"/>
  <c r="C72" i="8"/>
  <c r="B72" i="8"/>
  <c r="A72" i="8"/>
  <c r="D71" i="8"/>
  <c r="C71" i="8"/>
  <c r="B71" i="8"/>
  <c r="A71" i="8"/>
  <c r="D70" i="8"/>
  <c r="C70" i="8"/>
  <c r="B70" i="8"/>
  <c r="A70" i="8"/>
  <c r="D69" i="8"/>
  <c r="C69" i="8"/>
  <c r="B69" i="8"/>
  <c r="A69" i="8"/>
  <c r="D68" i="8"/>
  <c r="C68" i="8"/>
  <c r="B68" i="8"/>
  <c r="A68" i="8"/>
  <c r="D67" i="8"/>
  <c r="C67" i="8"/>
  <c r="B67" i="8"/>
  <c r="A67" i="8"/>
  <c r="D66" i="8"/>
  <c r="C66" i="8"/>
  <c r="B66" i="8"/>
  <c r="A66" i="8"/>
  <c r="D65" i="8"/>
  <c r="C65" i="8"/>
  <c r="B65" i="8"/>
  <c r="A65" i="8"/>
  <c r="D64" i="8"/>
  <c r="C64" i="8"/>
  <c r="B64" i="8"/>
  <c r="A64" i="8"/>
  <c r="D63" i="8"/>
  <c r="C63" i="8"/>
  <c r="B63" i="8"/>
  <c r="A63" i="8"/>
  <c r="D62" i="8"/>
  <c r="C62" i="8"/>
  <c r="B62" i="8"/>
  <c r="A62" i="8"/>
  <c r="D61" i="8"/>
  <c r="C61" i="8"/>
  <c r="B61" i="8"/>
  <c r="A61" i="8"/>
  <c r="D60" i="8"/>
  <c r="C60" i="8"/>
  <c r="B60" i="8"/>
  <c r="A60" i="8"/>
  <c r="D59" i="8"/>
  <c r="C59" i="8"/>
  <c r="B59" i="8"/>
  <c r="A59" i="8"/>
  <c r="D58" i="8"/>
  <c r="C58" i="8"/>
  <c r="B58" i="8"/>
  <c r="A58" i="8"/>
  <c r="D57" i="8"/>
  <c r="C57" i="8"/>
  <c r="B57" i="8"/>
  <c r="A57" i="8"/>
  <c r="D56" i="8"/>
  <c r="C56" i="8"/>
  <c r="B56" i="8"/>
  <c r="A56" i="8"/>
  <c r="D55" i="8"/>
  <c r="C55" i="8"/>
  <c r="B55" i="8"/>
  <c r="A55" i="8"/>
  <c r="D54" i="8"/>
  <c r="C54" i="8"/>
  <c r="B54" i="8"/>
  <c r="A54" i="8"/>
  <c r="D53" i="8"/>
  <c r="C53" i="8"/>
  <c r="B53" i="8"/>
  <c r="A53" i="8"/>
  <c r="D52" i="8"/>
  <c r="C52" i="8"/>
  <c r="B52" i="8"/>
  <c r="A52" i="8"/>
  <c r="D51" i="8"/>
  <c r="C51" i="8"/>
  <c r="B51" i="8"/>
  <c r="A51" i="8"/>
  <c r="D50" i="8"/>
  <c r="C50" i="8"/>
  <c r="B50" i="8"/>
  <c r="A50" i="8"/>
  <c r="D49" i="8"/>
  <c r="C49" i="8"/>
  <c r="B49" i="8"/>
  <c r="A49" i="8"/>
  <c r="D48" i="8"/>
  <c r="C48" i="8"/>
  <c r="B48" i="8"/>
  <c r="A48" i="8"/>
  <c r="D47" i="8"/>
  <c r="C47" i="8"/>
  <c r="B47" i="8"/>
  <c r="A47" i="8"/>
  <c r="D46" i="8"/>
  <c r="C46" i="8"/>
  <c r="B46" i="8"/>
  <c r="A46" i="8"/>
  <c r="D45" i="8"/>
  <c r="C45" i="8"/>
  <c r="B45" i="8"/>
  <c r="A45" i="8"/>
  <c r="D44" i="8"/>
  <c r="C44" i="8"/>
  <c r="B44" i="8"/>
  <c r="A44" i="8"/>
  <c r="D43" i="8"/>
  <c r="C43" i="8"/>
  <c r="B43" i="8"/>
  <c r="A43" i="8"/>
  <c r="D42" i="8"/>
  <c r="C42" i="8"/>
  <c r="B42" i="8"/>
  <c r="A42" i="8"/>
  <c r="D41" i="8"/>
  <c r="C41" i="8"/>
  <c r="B41" i="8"/>
  <c r="A41" i="8"/>
  <c r="D40" i="8"/>
  <c r="C40" i="8"/>
  <c r="B40" i="8"/>
  <c r="A40" i="8"/>
  <c r="D39" i="8"/>
  <c r="C39" i="8"/>
  <c r="B39" i="8"/>
  <c r="A39" i="8"/>
  <c r="D38" i="8"/>
  <c r="C38" i="8"/>
  <c r="B38" i="8"/>
  <c r="A38" i="8"/>
  <c r="D37" i="8"/>
  <c r="C37" i="8"/>
  <c r="B37" i="8"/>
  <c r="A37" i="8"/>
  <c r="D36" i="8"/>
  <c r="C36" i="8"/>
  <c r="B36" i="8"/>
  <c r="A36" i="8"/>
  <c r="D35" i="8"/>
  <c r="C35" i="8"/>
  <c r="B35" i="8"/>
  <c r="A35" i="8"/>
  <c r="D34" i="8"/>
  <c r="C34" i="8"/>
  <c r="B34" i="8"/>
  <c r="A34" i="8"/>
  <c r="D33" i="8"/>
  <c r="C33" i="8"/>
  <c r="B33" i="8"/>
  <c r="A33" i="8"/>
  <c r="D32" i="8"/>
  <c r="C32" i="8"/>
  <c r="B32" i="8"/>
  <c r="A32" i="8"/>
  <c r="D31" i="8"/>
  <c r="C31" i="8"/>
  <c r="B31" i="8"/>
  <c r="A31" i="8"/>
  <c r="D30" i="8"/>
  <c r="C30" i="8"/>
  <c r="B30" i="8"/>
  <c r="A30" i="8"/>
  <c r="D29" i="8"/>
  <c r="C29" i="8"/>
  <c r="B29" i="8"/>
  <c r="A29" i="8"/>
  <c r="D28" i="8"/>
  <c r="C28" i="8"/>
  <c r="B28" i="8"/>
  <c r="A28" i="8"/>
  <c r="D27" i="8"/>
  <c r="C27" i="8"/>
  <c r="B27" i="8"/>
  <c r="A27" i="8"/>
  <c r="D26" i="8"/>
  <c r="C26" i="8"/>
  <c r="B26" i="8"/>
  <c r="A26" i="8"/>
  <c r="D25" i="8"/>
  <c r="C25" i="8"/>
  <c r="B25" i="8"/>
  <c r="A25" i="8"/>
  <c r="D24" i="8"/>
  <c r="C24" i="8"/>
  <c r="B24" i="8"/>
  <c r="A24" i="8"/>
  <c r="D23" i="8"/>
  <c r="C23" i="8"/>
  <c r="B23" i="8"/>
  <c r="A23" i="8"/>
  <c r="D22" i="8"/>
  <c r="C22" i="8"/>
  <c r="B22" i="8"/>
  <c r="A22" i="8"/>
  <c r="D21" i="8"/>
  <c r="C21" i="8"/>
  <c r="B21" i="8"/>
  <c r="A21" i="8"/>
  <c r="D20" i="8"/>
  <c r="C20" i="8"/>
  <c r="B20" i="8"/>
  <c r="A20" i="8"/>
  <c r="D19" i="8"/>
  <c r="C19" i="8"/>
  <c r="B19" i="8"/>
  <c r="A19" i="8"/>
  <c r="D18" i="8"/>
  <c r="C18" i="8"/>
  <c r="B18" i="8"/>
  <c r="A18" i="8"/>
  <c r="D17" i="8"/>
  <c r="C17" i="8"/>
  <c r="B17" i="8"/>
  <c r="A17" i="8"/>
  <c r="D16" i="8"/>
  <c r="C16" i="8"/>
  <c r="B16" i="8"/>
  <c r="A16" i="8"/>
  <c r="D15" i="8"/>
  <c r="C15" i="8"/>
  <c r="B15" i="8"/>
  <c r="A15" i="8"/>
  <c r="D14" i="8"/>
  <c r="C14" i="8"/>
  <c r="B14" i="8"/>
  <c r="A14" i="8"/>
  <c r="D13" i="8"/>
  <c r="C13" i="8"/>
  <c r="B13" i="8"/>
  <c r="A13" i="8"/>
  <c r="D12" i="8"/>
  <c r="C12" i="8"/>
  <c r="B12" i="8"/>
  <c r="A12" i="8"/>
  <c r="D11" i="8"/>
  <c r="C11" i="8"/>
  <c r="B11" i="8"/>
  <c r="A11" i="8"/>
  <c r="D10" i="8"/>
  <c r="C10" i="8"/>
  <c r="B10" i="8"/>
  <c r="A10" i="8"/>
  <c r="D9" i="8"/>
  <c r="C9" i="8"/>
  <c r="B9" i="8"/>
  <c r="A9" i="8"/>
  <c r="D8" i="8"/>
  <c r="C8" i="8"/>
  <c r="B8" i="8"/>
  <c r="A8" i="8"/>
  <c r="D7" i="8"/>
  <c r="C7" i="8"/>
  <c r="B7" i="8"/>
  <c r="A7" i="8"/>
  <c r="C6" i="8"/>
  <c r="B6" i="8"/>
  <c r="A6" i="8"/>
  <c r="D5" i="8"/>
  <c r="C5" i="8"/>
  <c r="B5" i="8"/>
  <c r="A5" i="8"/>
  <c r="D4" i="8"/>
  <c r="C4" i="8"/>
  <c r="B4" i="8"/>
  <c r="A4" i="8"/>
  <c r="D3" i="8"/>
  <c r="C3" i="8"/>
  <c r="B3" i="8"/>
  <c r="A3" i="8"/>
  <c r="D2" i="8"/>
  <c r="C2" i="8"/>
  <c r="B2" i="8"/>
  <c r="A2" i="8"/>
  <c r="G2" i="1" l="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F2" i="1" l="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B3" i="1"/>
  <c r="C3" i="1"/>
  <c r="D3" i="1"/>
  <c r="B4" i="1"/>
  <c r="C4" i="1"/>
  <c r="D4" i="1"/>
  <c r="B5" i="1"/>
  <c r="C5" i="1"/>
  <c r="D5" i="1"/>
  <c r="B6" i="1"/>
  <c r="C6" i="1"/>
  <c r="D6" i="1"/>
  <c r="B7" i="1"/>
  <c r="C7" i="1"/>
  <c r="D7" i="1"/>
  <c r="B8" i="1"/>
  <c r="C8" i="1"/>
  <c r="D8" i="1"/>
  <c r="B9" i="1"/>
  <c r="C9" i="1"/>
  <c r="D9" i="1"/>
  <c r="B10" i="1"/>
  <c r="C10" i="1"/>
  <c r="D10" i="1"/>
  <c r="B11" i="1"/>
  <c r="C11" i="1"/>
  <c r="D11" i="1"/>
  <c r="B12" i="1"/>
  <c r="C12" i="1"/>
  <c r="D12" i="1"/>
  <c r="B13" i="1"/>
  <c r="C13" i="1"/>
  <c r="D13" i="1"/>
  <c r="B14" i="1"/>
  <c r="C14" i="1"/>
  <c r="D14" i="1"/>
  <c r="B15" i="1"/>
  <c r="C15" i="1"/>
  <c r="D15" i="1"/>
  <c r="B16" i="1"/>
  <c r="C16" i="1"/>
  <c r="D16" i="1"/>
  <c r="B17" i="1"/>
  <c r="C17" i="1"/>
  <c r="D17" i="1"/>
  <c r="B18" i="1"/>
  <c r="C18" i="1"/>
  <c r="D18" i="1"/>
  <c r="B19" i="1"/>
  <c r="C19" i="1"/>
  <c r="D19" i="1"/>
  <c r="B20" i="1"/>
  <c r="C20" i="1"/>
  <c r="D20" i="1"/>
  <c r="B21" i="1"/>
  <c r="C21" i="1"/>
  <c r="D21" i="1"/>
  <c r="B22" i="1"/>
  <c r="C22" i="1"/>
  <c r="D22" i="1"/>
  <c r="B23" i="1"/>
  <c r="C23" i="1"/>
  <c r="D23" i="1"/>
  <c r="B24" i="1"/>
  <c r="C24" i="1"/>
  <c r="D24" i="1"/>
  <c r="B25" i="1"/>
  <c r="C25" i="1"/>
  <c r="D25" i="1"/>
  <c r="B26" i="1"/>
  <c r="C26" i="1"/>
  <c r="D26" i="1"/>
  <c r="B27" i="1"/>
  <c r="C27" i="1"/>
  <c r="D27" i="1"/>
  <c r="B28" i="1"/>
  <c r="C28" i="1"/>
  <c r="D28" i="1"/>
  <c r="B29" i="1"/>
  <c r="C29" i="1"/>
  <c r="D29" i="1"/>
  <c r="B30" i="1"/>
  <c r="C30" i="1"/>
  <c r="D30" i="1"/>
  <c r="B31" i="1"/>
  <c r="C31" i="1"/>
  <c r="D31" i="1"/>
  <c r="B32" i="1"/>
  <c r="C32" i="1"/>
  <c r="D32" i="1"/>
  <c r="B33" i="1"/>
  <c r="C33" i="1"/>
  <c r="D33" i="1"/>
  <c r="B34" i="1"/>
  <c r="C34" i="1"/>
  <c r="D34" i="1"/>
  <c r="B35" i="1"/>
  <c r="C35" i="1"/>
  <c r="D35" i="1"/>
  <c r="B36" i="1"/>
  <c r="C36" i="1"/>
  <c r="D36" i="1"/>
  <c r="B37" i="1"/>
  <c r="C37" i="1"/>
  <c r="D37" i="1"/>
  <c r="B38" i="1"/>
  <c r="C38" i="1"/>
  <c r="D38" i="1"/>
  <c r="B39" i="1"/>
  <c r="C39" i="1"/>
  <c r="D39" i="1"/>
  <c r="B40" i="1"/>
  <c r="C40" i="1"/>
  <c r="D40" i="1"/>
  <c r="B41" i="1"/>
  <c r="C41" i="1"/>
  <c r="D41" i="1"/>
  <c r="B42" i="1"/>
  <c r="C42" i="1"/>
  <c r="D42" i="1"/>
  <c r="B43" i="1"/>
  <c r="C43" i="1"/>
  <c r="D43" i="1"/>
  <c r="B44" i="1"/>
  <c r="C44" i="1"/>
  <c r="D44" i="1"/>
  <c r="B45" i="1"/>
  <c r="C45" i="1"/>
  <c r="D45" i="1"/>
  <c r="B46" i="1"/>
  <c r="C46" i="1"/>
  <c r="D46" i="1"/>
  <c r="B47" i="1"/>
  <c r="C47" i="1"/>
  <c r="D47" i="1"/>
  <c r="B48" i="1"/>
  <c r="C48" i="1"/>
  <c r="D48" i="1"/>
  <c r="B49" i="1"/>
  <c r="C49" i="1"/>
  <c r="D49" i="1"/>
  <c r="B50" i="1"/>
  <c r="C50" i="1"/>
  <c r="D50" i="1"/>
  <c r="B51" i="1"/>
  <c r="C51" i="1"/>
  <c r="D51" i="1"/>
  <c r="B52" i="1"/>
  <c r="C52" i="1"/>
  <c r="D52" i="1"/>
  <c r="B53" i="1"/>
  <c r="C53" i="1"/>
  <c r="D53" i="1"/>
  <c r="B54" i="1"/>
  <c r="C54" i="1"/>
  <c r="D54" i="1"/>
  <c r="B55" i="1"/>
  <c r="C55" i="1"/>
  <c r="D55" i="1"/>
  <c r="B56" i="1"/>
  <c r="C56" i="1"/>
  <c r="D56" i="1"/>
  <c r="B57" i="1"/>
  <c r="C57" i="1"/>
  <c r="D57" i="1"/>
  <c r="B58" i="1"/>
  <c r="C58" i="1"/>
  <c r="D58" i="1"/>
  <c r="B59" i="1"/>
  <c r="C59" i="1"/>
  <c r="D59" i="1"/>
  <c r="B60" i="1"/>
  <c r="C60" i="1"/>
  <c r="D60" i="1"/>
  <c r="B61" i="1"/>
  <c r="C61" i="1"/>
  <c r="D61" i="1"/>
  <c r="B62" i="1"/>
  <c r="C62" i="1"/>
  <c r="D62" i="1"/>
  <c r="B63" i="1"/>
  <c r="C63" i="1"/>
  <c r="D63" i="1"/>
  <c r="B64" i="1"/>
  <c r="C64" i="1"/>
  <c r="D64" i="1"/>
  <c r="B65" i="1"/>
  <c r="C65" i="1"/>
  <c r="D65" i="1"/>
  <c r="B66" i="1"/>
  <c r="C66" i="1"/>
  <c r="D66" i="1"/>
  <c r="B67" i="1"/>
  <c r="C67" i="1"/>
  <c r="D67" i="1"/>
  <c r="B68" i="1"/>
  <c r="C68" i="1"/>
  <c r="D68" i="1"/>
  <c r="B69" i="1"/>
  <c r="C69" i="1"/>
  <c r="D69" i="1"/>
  <c r="B70" i="1"/>
  <c r="C70" i="1"/>
  <c r="D70" i="1"/>
  <c r="B71" i="1"/>
  <c r="C71" i="1"/>
  <c r="D71" i="1"/>
  <c r="B72" i="1"/>
  <c r="C72" i="1"/>
  <c r="D72" i="1"/>
  <c r="B73" i="1"/>
  <c r="C73" i="1"/>
  <c r="D73" i="1"/>
  <c r="B74" i="1"/>
  <c r="C74" i="1"/>
  <c r="D74" i="1"/>
  <c r="B75" i="1"/>
  <c r="C75" i="1"/>
  <c r="D75" i="1"/>
  <c r="B76" i="1"/>
  <c r="C76" i="1"/>
  <c r="D76" i="1"/>
  <c r="B77" i="1"/>
  <c r="C77" i="1"/>
  <c r="D77" i="1"/>
  <c r="D2" i="1"/>
  <c r="C2" i="1"/>
  <c r="B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2" i="1"/>
</calcChain>
</file>

<file path=xl/sharedStrings.xml><?xml version="1.0" encoding="utf-8"?>
<sst xmlns="http://schemas.openxmlformats.org/spreadsheetml/2006/main" count="17693" uniqueCount="16990">
  <si>
    <t>Section</t>
  </si>
  <si>
    <t>Title</t>
  </si>
  <si>
    <t>2.1.1</t>
  </si>
  <si>
    <t>2.1.3</t>
  </si>
  <si>
    <t>ID</t>
  </si>
  <si>
    <t>3.1.1</t>
  </si>
  <si>
    <t>3.1.2</t>
  </si>
  <si>
    <t>Points of Invocation</t>
  </si>
  <si>
    <t>4.1.2</t>
  </si>
  <si>
    <t>4.1.3</t>
  </si>
  <si>
    <t>4.1.4</t>
  </si>
  <si>
    <t>4.1.5</t>
  </si>
  <si>
    <t>4.1.6</t>
  </si>
  <si>
    <t>Sub-Section</t>
  </si>
  <si>
    <t>Reactive POI</t>
  </si>
  <si>
    <t>5.1.2</t>
  </si>
  <si>
    <t>5.2.1</t>
  </si>
  <si>
    <t>5.2.2</t>
  </si>
  <si>
    <t>5.2.3</t>
  </si>
  <si>
    <t>5.2.4</t>
  </si>
  <si>
    <t>5.2.5</t>
  </si>
  <si>
    <t>5.3.1</t>
  </si>
  <si>
    <t>Required Fields</t>
  </si>
  <si>
    <t>5.4.1</t>
  </si>
  <si>
    <t>Chat Panels</t>
  </si>
  <si>
    <t>Chat Opening</t>
  </si>
  <si>
    <t>6.1.2</t>
  </si>
  <si>
    <t>6.2.1</t>
  </si>
  <si>
    <t>6.2.2</t>
  </si>
  <si>
    <t>6.3.1</t>
  </si>
  <si>
    <t>Block Navigation</t>
  </si>
  <si>
    <t>6.4.1</t>
  </si>
  <si>
    <t>6.5.1</t>
  </si>
  <si>
    <t>6.6.2</t>
  </si>
  <si>
    <t>6.7.1</t>
  </si>
  <si>
    <t>Alert chime</t>
  </si>
  <si>
    <t>6.7.2</t>
  </si>
  <si>
    <t>6.8.1</t>
  </si>
  <si>
    <t>6.8.2</t>
  </si>
  <si>
    <t>6.8.3</t>
  </si>
  <si>
    <t>6.8.4</t>
  </si>
  <si>
    <t>6.8.5</t>
  </si>
  <si>
    <t>Email Transcript</t>
  </si>
  <si>
    <t>6.10.1</t>
  </si>
  <si>
    <t>Tab Order</t>
  </si>
  <si>
    <t>6.10.2</t>
  </si>
  <si>
    <t>6.11.1</t>
  </si>
  <si>
    <t>6.11.2</t>
  </si>
  <si>
    <t>Reactive POIs are in the tab order</t>
  </si>
  <si>
    <t>Co-Browsing</t>
  </si>
  <si>
    <t>Buttons</t>
  </si>
  <si>
    <t>Banner</t>
  </si>
  <si>
    <t>2.1.4</t>
  </si>
  <si>
    <t xml:space="preserve">No perceivable bleed of invisible components </t>
  </si>
  <si>
    <t>No tab order deletion upon submission with errors</t>
  </si>
  <si>
    <t>Dynamic Survey Logic</t>
  </si>
  <si>
    <t>Text area entry field is labeled</t>
  </si>
  <si>
    <t>Landmarks implemented for block navigation</t>
  </si>
  <si>
    <t>Incoming/outgoing messages read automatically</t>
  </si>
  <si>
    <t>Message sender name spoken automatically</t>
  </si>
  <si>
    <t>Auto reading of messages</t>
  </si>
  <si>
    <t>6.5.2</t>
  </si>
  <si>
    <t xml:space="preserve">Exposed URLs are inside anchor tags </t>
  </si>
  <si>
    <t>Multiple keyboard methods for message submission</t>
  </si>
  <si>
    <t>Focus returns to text area after message submission</t>
  </si>
  <si>
    <t>Agent messages in minimized chat read automatically</t>
  </si>
  <si>
    <t>Agent messages in minimized chat are keyboard navigable</t>
  </si>
  <si>
    <t xml:space="preserve">Email transcript modal is self-contained </t>
  </si>
  <si>
    <t>Dismissing email transcript modal does not close chat</t>
  </si>
  <si>
    <t>Only operational elements are in the tab order</t>
  </si>
  <si>
    <t>Sales Banners</t>
  </si>
  <si>
    <t>Cover Sheet Information</t>
  </si>
  <si>
    <t>CATO #</t>
  </si>
  <si>
    <t>Project Name</t>
  </si>
  <si>
    <t>ATTUID of CATO ASE</t>
  </si>
  <si>
    <t>CATO Sign Off Date</t>
  </si>
  <si>
    <t>SMEs / Project Team Members who Contributed to or Completed the Guide</t>
  </si>
  <si>
    <t xml:space="preserve">AT&amp;T Proprietary (Internal Use Only) </t>
  </si>
  <si>
    <t xml:space="preserve">Not for use or disclosure outside the AT&amp;T companies except under written agreement. </t>
  </si>
  <si>
    <t>Explanation (Required)</t>
  </si>
  <si>
    <t>Desktop</t>
  </si>
  <si>
    <t>yes</t>
  </si>
  <si>
    <t>Description</t>
  </si>
  <si>
    <t>Relevant?</t>
  </si>
  <si>
    <t>Yes or No</t>
  </si>
  <si>
    <t>No</t>
  </si>
  <si>
    <t>Platforms</t>
  </si>
  <si>
    <t>Details</t>
  </si>
  <si>
    <t xml:space="preserve">When chime toggle is on, all incoming agent messages are accompanied by an audible chime.  </t>
  </si>
  <si>
    <t>Explanation 
(Required)</t>
  </si>
  <si>
    <t>Version</t>
  </si>
  <si>
    <t>Operable elements in a TG can be activated via enter-key as well as space-bar. On accessible touchscreen environments, operable elements can be activated with screen reader compatible gestures.</t>
  </si>
  <si>
    <t>Dynamic C2C POI status changes announced automatically</t>
  </si>
  <si>
    <t>9.1.1</t>
  </si>
  <si>
    <t>National Language Support</t>
  </si>
  <si>
    <t>no</t>
  </si>
  <si>
    <t>Met
(Applies to all browsers)</t>
  </si>
  <si>
    <t>Failed/Exceptions
(List browser and describe issue)</t>
  </si>
  <si>
    <t>Chat Availability Status</t>
  </si>
  <si>
    <t>Chat is dismissable via escape key.</t>
  </si>
  <si>
    <t>Minimized chat panel cannot be dismissed with the escape key.</t>
  </si>
  <si>
    <t>Modals</t>
  </si>
  <si>
    <t>Backup nodes have prompt and default button.</t>
  </si>
  <si>
    <t>Error messages must be meaningful and specific.</t>
  </si>
  <si>
    <t>Error messages must be placed inline with the invalid field.</t>
  </si>
  <si>
    <t>Submitting with errors focuses first field in error</t>
  </si>
  <si>
    <t>Identify required fields visually and programmatically.</t>
  </si>
  <si>
    <t>Dynamically generated form elements are automatically added to the tab order.</t>
  </si>
  <si>
    <t>Initial focus is on text input control.</t>
  </si>
  <si>
    <t>Persistent chat</t>
  </si>
  <si>
    <t>Any error or success messages are visible and spoken automatically.</t>
  </si>
  <si>
    <t>Avoid use of tabindex.</t>
  </si>
  <si>
    <t>Primary chat language is supported globally.</t>
  </si>
  <si>
    <t>Mobile 
Web</t>
  </si>
  <si>
    <t>Mobile 
Native 
App</t>
  </si>
  <si>
    <t>Modals transfer focus automatically</t>
  </si>
  <si>
    <t>When chat is in a minimized state, operating the escape key has no effect.</t>
  </si>
  <si>
    <t xml:space="preserve">Spawning Touch Guide moves focus to first menu item </t>
  </si>
  <si>
    <t xml:space="preserve">Provide access key to move chat to persistent window </t>
  </si>
  <si>
    <t>In desktop environments, add an access key to the button that moves chat to a persistent window.</t>
  </si>
  <si>
    <t>Technique:
Include the following code in the button element: accesskey="1"</t>
  </si>
  <si>
    <t>Any text displayed in chat must be live text so that it can be appropriately scaled and managed by the user.</t>
  </si>
  <si>
    <t>When offer details are displayed after operating a call to action button, screen readers announce them automatically.</t>
  </si>
  <si>
    <t>2.1.2</t>
  </si>
  <si>
    <t>3.1.4</t>
  </si>
  <si>
    <t>5.3.2</t>
  </si>
  <si>
    <t>6.2.3</t>
  </si>
  <si>
    <t>6.6.1</t>
  </si>
  <si>
    <t>6.10.3</t>
  </si>
  <si>
    <t>6.10.4</t>
  </si>
  <si>
    <t>6.10.5</t>
  </si>
  <si>
    <t>6.10.6</t>
  </si>
  <si>
    <t>6.12.1</t>
  </si>
  <si>
    <t>6.12.2</t>
  </si>
  <si>
    <t>6.13.1</t>
  </si>
  <si>
    <t>General Requirements</t>
  </si>
  <si>
    <t>Help Document</t>
  </si>
  <si>
    <t>1.0.0</t>
  </si>
  <si>
    <t>AT&amp;T Chat Accessibility Specification and Testing Template (ACAST)</t>
  </si>
  <si>
    <t>See the ACAST Guide for additional information</t>
  </si>
  <si>
    <t>Original Baselined document.</t>
  </si>
  <si>
    <t>Yes</t>
  </si>
  <si>
    <t>1.0.1</t>
  </si>
  <si>
    <t>Added "Apple iPhone iOS 9.x" option in Applicability tab Operating Systems section.</t>
  </si>
  <si>
    <t>Date</t>
  </si>
  <si>
    <t>Changed By</t>
  </si>
  <si>
    <t>gb1175</t>
  </si>
  <si>
    <t>Business Rules</t>
  </si>
  <si>
    <t>If a proactive invocation is present, a reactive POI must also be available to the user.</t>
  </si>
  <si>
    <t>Avoid scenarios where keyboard only users do not have a chat option.</t>
  </si>
  <si>
    <t>1.0.2</t>
  </si>
  <si>
    <t>gb1175, gc230k, lw6176, mm9925</t>
  </si>
  <si>
    <t>* Remove 3.2.1 - no longer enforcing timer rules.
* Add 10.1.2
* Add 2.1.4
* Requirements with no description now show "No entry" in the description field</t>
  </si>
  <si>
    <t>1.0.3</t>
  </si>
  <si>
    <t>*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t>
  </si>
  <si>
    <t>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t>
  </si>
  <si>
    <t>6.8.6</t>
  </si>
  <si>
    <t>6.8.9</t>
  </si>
  <si>
    <t>Use ARIA-toggle on web and mobile web.</t>
  </si>
  <si>
    <t>Upon operation, chime alert button conveys state change automatically</t>
  </si>
  <si>
    <t>The sample chime informs the user what sound to expect when receiving an agent message.</t>
  </si>
  <si>
    <t>Note that when the TG is spawned, focus should not go to any ancillary buttons in the modal chrome. E.g., focus should not go to a "Close chat" button, if such a button were the first focusable element in the TG.</t>
  </si>
  <si>
    <t>Make sure there is no double verbalization for icon and text component. Suggestion: use alt="" on icon.</t>
  </si>
  <si>
    <t xml:space="preserve">Backup nodes must contain both a prompt and a default call to action button. The default button is focused automatically when backup node is spawned. </t>
  </si>
  <si>
    <t>In backup nodes, prompt and default button are both verbalized upon node spawning.</t>
  </si>
  <si>
    <t>The prompt is spoken before the button. If focus is removed from default button, and then button is refocused, prompt is not repeated.</t>
  </si>
  <si>
    <t>On field focus, read error messages automatically after field announcement.</t>
  </si>
  <si>
    <t>Upon submission with errors, correct fields must remain editable/operable because user may still need to modify them.</t>
  </si>
  <si>
    <t>Do not delete operable elements from the tab order when errors occur.</t>
  </si>
  <si>
    <t>Operable elements inside messages are in tab order and keyboardable</t>
  </si>
  <si>
    <t>When the operation of the chime button activates chimes, a sample chime is issued and heard.</t>
  </si>
  <si>
    <t>When the email transcript modal is dismissed, only the modal itself is dismissed, but the main chat panel persists. In other words, modal dismissal occurs stack-wise, only one level at a time.</t>
  </si>
  <si>
    <t>Comments</t>
  </si>
  <si>
    <t>Feature</t>
  </si>
  <si>
    <t>Answer the following based on the defined scope of the project</t>
  </si>
  <si>
    <t>Project Features</t>
  </si>
  <si>
    <t>Interactive Chat</t>
  </si>
  <si>
    <t>Co-Browse</t>
  </si>
  <si>
    <t>Touch Guide</t>
  </si>
  <si>
    <t>6.14.1</t>
  </si>
  <si>
    <t>Inline Links</t>
  </si>
  <si>
    <t>Activation of reactive POIs transfer keyboard and screen reader focus automatically to TouchGuide, Pre-Chat survey form, or chat proper, or other chat component in the flow. In all cases, focus is moved automatically to the appropriate control inside the chat sub-component.</t>
  </si>
  <si>
    <t>Hybrid App</t>
  </si>
  <si>
    <t xml:space="preserve">When a chat POI changes status to available, the state will be announced automatically by the screen reader. </t>
  </si>
  <si>
    <t xml:space="preserve">For web or mobile web, add role="alert" to outermost div of POI. </t>
  </si>
  <si>
    <t>2.1.6</t>
  </si>
  <si>
    <t>Only visible POI components are perceivable by screen readers</t>
  </si>
  <si>
    <t>If the POI is suppressed or otherwise becomes hidden, it must also not be perceivable by screen readers.</t>
  </si>
  <si>
    <t>POIs must have a single focusable element.</t>
  </si>
  <si>
    <t>POI is either a button, or a link. Any ancillary elements such as surrounding div tags are not focusable with tabindex or other techniques.</t>
  </si>
  <si>
    <t>All modals should transfer focus automatically to the active modal window.</t>
  </si>
  <si>
    <t>Information that is visually hidden must not be perceivable by screen readers.</t>
  </si>
  <si>
    <t>Several possible techniques can be useful here. Use  alt="" on associated images, use aria-hidden="true" on applicable divs.</t>
  </si>
  <si>
    <t>3.1.7</t>
  </si>
  <si>
    <t>Only operable elements are in tab order</t>
  </si>
  <si>
    <t>Use ARIA-describedby="{tooltip_ID}" on the menu item, where {tooltip_ID} is the id of the div containing the tooltip text. In some cases, a title attribute can be used for a similar effect.</t>
  </si>
  <si>
    <t>If TG items feature a textual title as well as an icon, the icon is assigned a null alt (alt="") text in order to avoid duplicate verbalization by screen readers.</t>
  </si>
  <si>
    <t>Prompt and default button are semantically bound. Button has ARIA-labelledby="{prompt_ID}", where {prompt_ID} is the ID declared in the div containing the entire prompt. Use onblur to remove {prompt_ID} from ARIA-labelledby when focus leaves default button. Prompt might be long, and automatic repetitions can be distracting.</t>
  </si>
  <si>
    <t>Form Elements</t>
  </si>
  <si>
    <t>When a form is spawned, move focus to the first topical form control that is specific to the subject or purpose of the form.</t>
  </si>
  <si>
    <t>When a form is submitted with errors, focus is moved to the first control in error, not to the first control in the form.</t>
  </si>
  <si>
    <t>Control in error</t>
  </si>
  <si>
    <t>Check-boxes cannot be required controls.</t>
  </si>
  <si>
    <t>A check-box cannot be a required control, lest the user is mislead to believe that "checked" is the only allowed state.</t>
  </si>
  <si>
    <t>Break up extended, bound text into multiple spans.</t>
  </si>
  <si>
    <t>Auto-opener spoken automatically when chat launched.</t>
  </si>
  <si>
    <t>When the chat panel/window opens, initial keyboard and screen reader focus moves automatically to the text input area.</t>
  </si>
  <si>
    <t xml:space="preserve">Each new message posted to the transcript (user, agent, system) will be read automatically by the screen reader. 
</t>
  </si>
  <si>
    <t>Messages with links, URLs or buttons</t>
  </si>
  <si>
    <t>Sending a message</t>
  </si>
  <si>
    <t>Use aria-toggle for alert chime functionality on web.</t>
  </si>
  <si>
    <t>If chime is active, agent messages are prefixed by an audible short chime</t>
  </si>
  <si>
    <t>User can set alert chimes to active or off.</t>
  </si>
  <si>
    <t>A button lets users turn chime for incoming messages on (active) and off. Outgoing messages from user to agent do not have a chime.</t>
  </si>
  <si>
    <t>Alert chimes are active by default.</t>
  </si>
  <si>
    <t>The default state of the chime toggle is active. On devices, if global sound is active, alert chimes are active by default as well.</t>
  </si>
  <si>
    <t>On devices, if global sound is muted, alert chimes are disabled by default</t>
  </si>
  <si>
    <t xml:space="preserve">Chime must not be active by default if a device is on "silent ring" or other similar audio setting… inadvertant chimes might be unwanted by a mainstream user during meetings or similar activities. </t>
  </si>
  <si>
    <t>When chime is active, upon focus, the screen reader announces the button and its state as:
“Chime, Active”. Upon operating the button, the chime is turned off, and the screen reader re-announces the changed button as:
“Chime, Off”.</t>
  </si>
  <si>
    <t xml:space="preserve">Note that the accessibility label denotes the current button state, not the description of the button's operation. Furthermore, the word "active" is used instead of "on", because In noisy environments, "on" and "off" cannot always be discriminated in context.   </t>
  </si>
  <si>
    <t>On focus, and on operation of the chime button, button text content and chime state are announced.</t>
  </si>
  <si>
    <t>Minimized chat</t>
  </si>
  <si>
    <t>Minimizing chat moves focus to “restore” button</t>
  </si>
  <si>
    <t>If a scrolling marquee is implemented for minimized chat, it may scroll automatically in the marquee only once. Scrolling then stops, and the leftmost part of the message remains visible.</t>
  </si>
  <si>
    <t>Date Created</t>
  </si>
  <si>
    <t>Short 
Description</t>
  </si>
  <si>
    <t>Minimized chat div is not self-contained</t>
  </si>
  <si>
    <t>Focus returns to input text area upon chat restore</t>
  </si>
  <si>
    <t>When the user operates the restore chat button, focus is returned to the chat text area input field.</t>
  </si>
  <si>
    <t xml:space="preserve">Upon sending a transcript request, the resulting success or error message is displayed in a div within the transcript modal. </t>
  </si>
  <si>
    <t>Desktop: Elements that have no operational value, such as non-operational messages posted to the transcript, non-link/button images, and iframe boundaries will not be in the tab order. Only operable elements will be in the tab order.</t>
  </si>
  <si>
    <t>In general, avoid using tabindex on operational elements if at all possible. Use standard html controls and anchors instead. With rare exceptions, if a tabindex were the only available technique for including an operational element to the tab order, use tabindex=”0”.</t>
  </si>
  <si>
    <t>Avoid images of text</t>
  </si>
  <si>
    <t>In some cases, text banner is so long the text is not read entirely. See requirement 5.1.3 for details on implementation of fix for this issue.</t>
  </si>
  <si>
    <t>When sales banner is closed, move focus to chat text entry field.</t>
  </si>
  <si>
    <t>Chat panel title is enclosed in header tag.</t>
  </si>
  <si>
    <t>For desktop and mobile HTML, use the &lt;H1&gt; tag. For native applications, use a tag with a header role.</t>
  </si>
  <si>
    <t>Dynamically inserted links and buttons are in tab order.</t>
  </si>
  <si>
    <t>The buttons in the co-browse banner are in the tab order.</t>
  </si>
  <si>
    <t>Co-browsing banner title read automatically when displayed.</t>
  </si>
  <si>
    <t>Suggest using aria-labelledby="{cobrowse-banner-ID}" on dismissal button.</t>
  </si>
  <si>
    <t>Highlighting</t>
  </si>
  <si>
    <t>For desktop and mobile web: For English chats, attribute is lang="en". For Spanish chats, attribute is lang="es". 
For native apps: Use equivalent code.</t>
  </si>
  <si>
    <t>JAWS Bug: HTML Title tag ignores global Lang attribute in FireFox</t>
  </si>
  <si>
    <t>Firefox</t>
  </si>
  <si>
    <t>JAWS Bug: JAWS ignores placeholder in IE11 for simple textarea during forms navigation</t>
  </si>
  <si>
    <t>* http://betaTrack.FreedomScientific.com/show_bug.cgi?id=91249
* Found In:  JAWS 18.0.1908</t>
  </si>
  <si>
    <t>IE 11</t>
  </si>
  <si>
    <t>JAWS Bug: ARIA-describedby assignements are not announced with some key combos</t>
  </si>
  <si>
    <t>JAWS Bug: Button not visible on AT&amp;T web Site</t>
  </si>
  <si>
    <t xml:space="preserve">Found In: 18.0.1501
Steps to Reproduce:
 1.  Launch Internet Explorer 11
 2.  Press CTRL+O and paste the following Address:
https://www.wireless.att.com/business/enrollment/index.jsp?_requestid=10588
3.  Now press E until you get to the email field, enter your email.  Don't worry you won't be submitting the form.
4.  Now tab to the phone number field and enter your complete phone number.
5.  Problem /: Note that the continue button does not appear.
6.  Further testing: Enable the JAWS cursor and note that the button for continue is there and you can click on it with the simulated mouse  click.
7.  Expected: I should be able to arrow to the continue button and press ENTER on it.
</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</si>
  <si>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</si>
  <si>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</si>
  <si>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</si>
  <si>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</si>
  <si>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</si>
  <si>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</si>
  <si>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</si>
  <si>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</si>
  <si>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</si>
  <si>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</si>
  <si>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</si>
  <si>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</si>
  <si>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</si>
  <si>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</si>
  <si>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</si>
  <si>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</si>
  <si>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</si>
  <si>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</si>
  <si>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</si>
  <si>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</si>
  <si>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</si>
  <si>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</si>
  <si>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</si>
  <si>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</si>
  <si>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</si>
  <si>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</si>
  <si>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</si>
  <si>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</si>
  <si>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</si>
  <si>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</si>
  <si>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</si>
  <si>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</si>
  <si>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</si>
  <si>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</si>
  <si>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</si>
  <si>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</si>
  <si>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</si>
  <si>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</si>
  <si>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</si>
  <si>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</si>
  <si>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</si>
  <si>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</si>
  <si>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</si>
  <si>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</si>
  <si>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</si>
  <si>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</si>
  <si>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</si>
  <si>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</si>
  <si>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</si>
  <si>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</si>
  <si>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</si>
  <si>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</si>
  <si>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</si>
  <si>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</si>
  <si>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</si>
  <si>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</si>
  <si>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</si>
  <si>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</si>
  <si>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</si>
  <si>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</si>
  <si>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</si>
  <si>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</si>
  <si>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</si>
  <si>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</si>
  <si>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</si>
  <si>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</si>
  <si>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</si>
  <si>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</si>
  <si>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</si>
  <si>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</si>
  <si>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</si>
  <si>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</si>
  <si>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</si>
  <si>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</si>
  <si>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</si>
  <si>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</si>
  <si>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</si>
  <si>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</si>
  <si>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</si>
  <si>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</si>
  <si>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</si>
  <si>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</si>
  <si>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</si>
  <si>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</si>
  <si>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</si>
  <si>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</si>
  <si>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</si>
  <si>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</si>
  <si>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</si>
  <si>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</si>
  <si>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</si>
  <si>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</si>
  <si>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</si>
  <si>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</si>
  <si>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</si>
  <si>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</si>
  <si>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</si>
  <si>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</si>
  <si>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</si>
  <si>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</si>
  <si>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</si>
  <si>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</si>
  <si>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</si>
  <si>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</si>
  <si>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</si>
  <si>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</si>
  <si>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</si>
  <si>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</si>
  <si>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</si>
  <si>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</si>
  <si>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</si>
  <si>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</si>
  <si>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</si>
  <si>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</si>
  <si>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</si>
  <si>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</si>
  <si>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</si>
  <si>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</si>
  <si>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</si>
  <si>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</si>
  <si>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</si>
  <si>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</si>
  <si>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</si>
  <si>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</si>
  <si>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</si>
  <si>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</si>
  <si>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</si>
  <si>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</si>
  <si>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</si>
  <si>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</si>
  <si>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</si>
  <si>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</si>
  <si>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</si>
  <si>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</si>
  <si>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</si>
  <si>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</si>
  <si>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</si>
  <si>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</si>
  <si>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</si>
  <si>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</si>
  <si>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</si>
  <si>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</si>
  <si>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</si>
  <si>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</si>
  <si>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</si>
  <si>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</si>
  <si>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</si>
  <si>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</si>
  <si>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</si>
  <si>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</si>
  <si>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</si>
  <si>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</si>
  <si>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</si>
  <si>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</si>
  <si>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</si>
  <si>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</si>
  <si>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</si>
  <si>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</si>
  <si>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</si>
  <si>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</si>
  <si>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</si>
  <si>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</si>
  <si>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</si>
  <si>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</si>
  <si>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</si>
  <si>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</si>
  <si>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</si>
  <si>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</si>
  <si>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</si>
  <si>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</si>
  <si>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</si>
  <si>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</si>
  <si>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</si>
  <si>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</si>
  <si>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</si>
  <si>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</si>
  <si>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</si>
  <si>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</si>
  <si>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</si>
  <si>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</si>
  <si>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</si>
  <si>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</si>
  <si>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</si>
  <si>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</si>
  <si>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</si>
  <si>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</si>
  <si>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</si>
  <si>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</si>
  <si>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</si>
  <si>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</si>
  <si>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</si>
  <si>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</si>
  <si>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</si>
  <si>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</si>
  <si>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</si>
  <si>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</si>
  <si>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</si>
  <si>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</si>
  <si>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</si>
  <si>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</si>
  <si>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</si>
  <si>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</si>
  <si>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</si>
  <si>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</si>
  <si>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</si>
  <si>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</si>
  <si>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</si>
  <si>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</si>
  <si>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</si>
  <si>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</si>
  <si>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</si>
  <si>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</si>
  <si>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</si>
  <si>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</si>
  <si>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</si>
  <si>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</si>
  <si>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</si>
  <si>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</si>
  <si>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</si>
  <si>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</si>
  <si>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</si>
  <si>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</si>
  <si>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</si>
  <si>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</si>
  <si>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</si>
  <si>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</si>
  <si>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</si>
  <si>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</si>
  <si>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</si>
  <si>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</si>
  <si>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</si>
  <si>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</si>
  <si>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</si>
  <si>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</si>
  <si>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</si>
  <si>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</si>
  <si>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</si>
  <si>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</si>
  <si>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</si>
  <si>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</si>
  <si>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</si>
  <si>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</si>
  <si>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</si>
  <si>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</si>
  <si>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</si>
  <si>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</si>
  <si>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</si>
  <si>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</si>
  <si>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</si>
  <si>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</si>
  <si>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</si>
  <si>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</si>
  <si>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</si>
  <si>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</si>
  <si>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</si>
  <si>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</si>
  <si>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</si>
  <si>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</si>
  <si>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</si>
  <si>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</si>
  <si>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</si>
  <si>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</si>
  <si>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</si>
  <si>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</si>
  <si>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</si>
  <si>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</si>
  <si>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</si>
  <si>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</si>
  <si>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</si>
  <si>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</si>
  <si>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</si>
  <si>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</si>
  <si>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</si>
  <si>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</si>
  <si>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</si>
  <si>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</si>
  <si>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</si>
  <si>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</si>
  <si>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</si>
  <si>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</si>
  <si>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</si>
  <si>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</si>
  <si>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</si>
  <si>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</si>
  <si>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</si>
  <si>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</si>
  <si>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</si>
  <si>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</si>
  <si>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</si>
  <si>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</si>
  <si>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</si>
  <si>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</si>
  <si>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</si>
  <si>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</si>
  <si>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</si>
  <si>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</si>
  <si>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</si>
  <si>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</si>
  <si>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</si>
  <si>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</si>
  <si>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</si>
  <si>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</si>
  <si>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</si>
  <si>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</si>
  <si>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</si>
  <si>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</si>
  <si>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</si>
  <si>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</si>
  <si>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</si>
  <si>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</si>
  <si>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</si>
  <si>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</si>
  <si>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</si>
  <si>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</si>
  <si>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</si>
  <si>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</si>
  <si>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</si>
  <si>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</si>
  <si>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</si>
  <si>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</si>
  <si>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</si>
  <si>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</si>
  <si>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</si>
  <si>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</si>
  <si>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</si>
  <si>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</si>
  <si>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</si>
  <si>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</si>
  <si>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</si>
  <si>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</si>
  <si>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</si>
  <si>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</si>
  <si>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</si>
  <si>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</si>
  <si>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</si>
  <si>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</si>
  <si>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</si>
  <si>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</si>
  <si>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</si>
  <si>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</si>
  <si>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</si>
  <si>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</si>
  <si>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</si>
  <si>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</si>
  <si>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</si>
  <si>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</si>
  <si>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</si>
  <si>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</si>
  <si>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</si>
  <si>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</si>
  <si>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</si>
  <si>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</si>
  <si>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</si>
  <si>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</si>
  <si>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</si>
  <si>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</si>
  <si>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</si>
  <si>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</si>
  <si>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</si>
  <si>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</si>
  <si>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</si>
  <si>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</si>
  <si>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</si>
  <si>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</si>
  <si>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</si>
  <si>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</si>
  <si>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</si>
  <si>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</si>
  <si>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</si>
  <si>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</si>
  <si>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</si>
  <si>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</si>
  <si>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</si>
  <si>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</si>
  <si>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</si>
  <si>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</si>
  <si>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</si>
  <si>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</si>
  <si>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</si>
  <si>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</si>
  <si>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</si>
  <si>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</si>
  <si>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</si>
  <si>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</si>
  <si>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</si>
  <si>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</si>
  <si>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</si>
  <si>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</si>
  <si>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</si>
  <si>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</si>
  <si>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</si>
  <si>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</si>
  <si>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</si>
  <si>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</si>
  <si>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</si>
  <si>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</si>
  <si>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</si>
  <si>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</si>
  <si>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</si>
  <si>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</si>
  <si>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</si>
  <si>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</si>
  <si>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</si>
  <si>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</si>
  <si>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</si>
  <si>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</si>
  <si>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</si>
  <si>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</si>
  <si>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</si>
  <si>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</si>
  <si>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</si>
  <si>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</si>
  <si>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</si>
  <si>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</si>
  <si>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</si>
  <si>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</si>
  <si>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</si>
  <si>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</si>
  <si>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</si>
  <si>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</si>
  <si>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</si>
  <si>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</si>
  <si>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</si>
  <si>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</si>
  <si>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</si>
  <si>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</si>
  <si>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</si>
  <si>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</si>
  <si>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</si>
  <si>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</si>
  <si>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</si>
  <si>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</si>
  <si>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</si>
  <si>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</si>
  <si>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</si>
  <si>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</si>
  <si>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</si>
  <si>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</si>
  <si>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</si>
  <si>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</si>
  <si>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</si>
  <si>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</si>
  <si>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</si>
  <si>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</si>
  <si>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</si>
  <si>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</si>
  <si>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</si>
  <si>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</si>
  <si>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</si>
  <si>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</si>
  <si>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</si>
  <si>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</si>
  <si>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</si>
  <si>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</si>
  <si>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</si>
  <si>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</si>
  <si>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</si>
  <si>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</si>
  <si>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</si>
  <si>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</si>
  <si>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</si>
  <si>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</si>
  <si>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</si>
  <si>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</si>
  <si>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</si>
  <si>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</si>
  <si>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</si>
  <si>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</si>
  <si>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</si>
  <si>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</si>
  <si>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</si>
  <si>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</si>
  <si>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</si>
  <si>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</si>
  <si>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</si>
  <si>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</si>
  <si>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</si>
  <si>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</si>
  <si>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</si>
  <si>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</si>
  <si>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</si>
  <si>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</si>
  <si>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</si>
  <si>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</si>
  <si>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</si>
  <si>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</si>
  <si>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</si>
  <si>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</si>
  <si>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</si>
  <si>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</si>
  <si>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</si>
  <si>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</si>
  <si>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</si>
  <si>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</si>
  <si>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</si>
  <si>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</si>
  <si>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</si>
  <si>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</si>
  <si>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</si>
  <si>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</si>
  <si>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</si>
  <si>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</si>
  <si>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</si>
  <si>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</si>
  <si>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</si>
  <si>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</si>
  <si>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</si>
  <si>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</si>
  <si>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</si>
  <si>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</si>
  <si>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</si>
  <si>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</si>
  <si>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</si>
  <si>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</si>
  <si>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</si>
  <si>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</si>
  <si>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</si>
  <si>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</si>
  <si>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</si>
  <si>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</si>
  <si>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</si>
  <si>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</si>
  <si>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</si>
  <si>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</si>
  <si>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</si>
  <si>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</si>
  <si>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</si>
  <si>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</si>
  <si>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</si>
  <si>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</si>
  <si>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</si>
  <si>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</si>
  <si>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</si>
  <si>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</si>
  <si>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</si>
  <si>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</si>
  <si>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</si>
  <si>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</si>
  <si>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</si>
  <si>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</si>
  <si>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</si>
  <si>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</si>
  <si>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</si>
  <si>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</si>
  <si>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</si>
  <si>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</si>
  <si>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</si>
  <si>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</si>
  <si>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</si>
  <si>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</si>
  <si>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</si>
  <si>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</si>
  <si>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</si>
  <si>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</si>
  <si>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</si>
  <si>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</si>
  <si>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</si>
  <si>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</si>
  <si>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</si>
  <si>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</si>
  <si>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</si>
  <si>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</si>
  <si>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</si>
  <si>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</si>
  <si>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</si>
  <si>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</si>
  <si>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</si>
  <si>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</si>
  <si>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</si>
  <si>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</si>
  <si>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</si>
  <si>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</si>
  <si>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</si>
  <si>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</si>
  <si>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</si>
  <si>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</si>
  <si>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</si>
  <si>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</si>
  <si>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</si>
  <si>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</si>
  <si>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</si>
  <si>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</si>
  <si>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</si>
  <si>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</si>
  <si>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</si>
  <si>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</si>
  <si>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</si>
  <si>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</si>
  <si>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</si>
  <si>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</si>
  <si>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</si>
  <si>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</si>
  <si>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</si>
  <si>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</si>
  <si>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</si>
  <si>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</si>
  <si>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</si>
  <si>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</si>
  <si>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</si>
  <si>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</si>
  <si>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</si>
  <si>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</si>
  <si>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</si>
  <si>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</si>
  <si>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</si>
  <si>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</si>
  <si>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</si>
  <si>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</si>
  <si>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</si>
  <si>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</si>
  <si>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</si>
  <si>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</si>
  <si>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</si>
  <si>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</si>
  <si>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</si>
  <si>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</si>
  <si>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</si>
  <si>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</si>
  <si>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</si>
  <si>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</si>
  <si>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</si>
  <si>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</si>
  <si>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</si>
  <si>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</si>
  <si>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</si>
  <si>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</si>
  <si>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</si>
  <si>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</si>
  <si>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</si>
  <si>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</si>
  <si>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</si>
  <si>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</si>
  <si>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</si>
  <si>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</si>
  <si>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</si>
  <si>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</si>
  <si>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</si>
  <si>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</si>
  <si>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</si>
  <si>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</si>
  <si>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</si>
  <si>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</si>
  <si>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</si>
  <si>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</si>
  <si>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</si>
  <si>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</si>
  <si>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</si>
  <si>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</si>
  <si>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</si>
  <si>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</si>
  <si>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</si>
  <si>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</si>
  <si>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</si>
  <si>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</si>
  <si>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</si>
  <si>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</si>
  <si>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</si>
  <si>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</si>
  <si>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</si>
  <si>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</si>
  <si>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</si>
  <si>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</si>
  <si>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</si>
  <si>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</si>
  <si>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</si>
  <si>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</si>
  <si>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</si>
  <si>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</si>
  <si>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</si>
  <si>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</si>
  <si>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</si>
  <si>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</si>
  <si>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</si>
  <si>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</si>
  <si>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</si>
  <si>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</si>
  <si>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</si>
  <si>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</si>
  <si>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</si>
  <si>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</si>
  <si>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</si>
  <si>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</si>
  <si>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</si>
  <si>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</si>
  <si>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</si>
  <si>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</si>
  <si>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</si>
  <si>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</si>
  <si>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</si>
  <si>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</si>
  <si>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</si>
  <si>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</si>
  <si>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</si>
  <si>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</si>
  <si>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</si>
  <si>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</si>
  <si>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</si>
  <si>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</si>
  <si>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</si>
  <si>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</si>
  <si>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</si>
  <si>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</si>
  <si>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</si>
  <si>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</si>
  <si>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</si>
  <si>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</si>
  <si>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</si>
  <si>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</si>
  <si>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</si>
  <si>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</si>
  <si>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</si>
  <si>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</si>
  <si>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</si>
  <si>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</si>
  <si>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</si>
  <si>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</si>
  <si>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</si>
  <si>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</si>
  <si>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</si>
  <si>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</si>
  <si>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</si>
  <si>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</si>
  <si>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</si>
  <si>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</si>
  <si>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</si>
  <si>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</si>
  <si>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</si>
  <si>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</si>
  <si>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</si>
  <si>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</si>
  <si>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</si>
  <si>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</si>
  <si>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</si>
  <si>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</si>
  <si>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</si>
  <si>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</si>
  <si>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</si>
  <si>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</si>
  <si>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</si>
  <si>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</si>
  <si>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</si>
  <si>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</si>
  <si>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</si>
  <si>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</si>
  <si>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</si>
  <si>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</si>
  <si>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</si>
  <si>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</si>
  <si>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</si>
  <si>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</si>
  <si>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</si>
  <si>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</si>
  <si>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</si>
  <si>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</si>
  <si>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</si>
  <si>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</si>
  <si>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</si>
  <si>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</si>
  <si>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</si>
  <si>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</si>
  <si>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</si>
  <si>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</si>
  <si>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</si>
  <si>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</si>
  <si>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</si>
  <si>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</si>
  <si>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</si>
  <si>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</si>
  <si>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</si>
  <si>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</si>
  <si>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</si>
  <si>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</si>
  <si>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</si>
  <si>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</si>
  <si>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</si>
  <si>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</si>
  <si>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</si>
  <si>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</si>
  <si>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</si>
  <si>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</si>
  <si>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</si>
  <si>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</si>
  <si>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</si>
  <si>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</si>
  <si>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</si>
  <si>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</si>
  <si>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</si>
  <si>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</si>
  <si>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</si>
  <si>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</si>
  <si>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</si>
  <si>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</si>
  <si>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</si>
  <si>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</si>
  <si>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</si>
  <si>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</si>
  <si>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</si>
  <si>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</si>
  <si>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</si>
  <si>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</si>
  <si>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</si>
  <si>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</si>
  <si>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</si>
  <si>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</si>
  <si>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</si>
  <si>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</si>
  <si>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</si>
  <si>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</si>
  <si>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</si>
  <si>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</si>
  <si>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</si>
  <si>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</si>
  <si>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</si>
  <si>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</si>
  <si>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</si>
  <si>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</si>
  <si>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</si>
  <si>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</si>
  <si>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</si>
  <si>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</si>
  <si>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</si>
  <si>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</si>
  <si>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</si>
  <si>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</si>
  <si>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</si>
  <si>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</si>
  <si>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</si>
  <si>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</si>
  <si>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</si>
  <si>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</si>
  <si>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</si>
  <si>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</si>
  <si>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</si>
  <si>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</si>
  <si>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</si>
  <si>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</si>
  <si>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</si>
  <si>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</si>
  <si>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</si>
  <si>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</si>
  <si>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</si>
  <si>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</si>
  <si>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</si>
  <si>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</si>
  <si>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</si>
  <si>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</si>
  <si>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</si>
  <si>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</si>
  <si>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</si>
  <si>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</si>
  <si>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</si>
  <si>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</si>
  <si>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</si>
  <si>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</si>
  <si>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</si>
  <si>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</si>
  <si>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</si>
  <si>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</si>
  <si>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</si>
  <si>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</si>
  <si>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</si>
  <si>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</si>
  <si>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</si>
  <si>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</si>
  <si>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</si>
  <si>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</si>
  <si>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</si>
  <si>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</si>
  <si>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</si>
  <si>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</si>
  <si>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</si>
  <si>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</si>
  <si>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</si>
  <si>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</si>
  <si>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</si>
  <si>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</si>
  <si>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</si>
  <si>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</si>
  <si>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</si>
  <si>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</si>
  <si>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</si>
  <si>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</si>
  <si>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</si>
  <si>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</si>
  <si>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</si>
  <si>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</si>
  <si>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</si>
  <si>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</si>
  <si>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</si>
  <si>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</si>
  <si>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</si>
  <si>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</si>
  <si>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</si>
  <si>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</si>
  <si>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</si>
  <si>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</si>
  <si>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</si>
  <si>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</si>
  <si>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</si>
  <si>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</si>
  <si>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</si>
  <si>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</si>
  <si>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</si>
  <si>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</si>
  <si>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</si>
  <si>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</si>
  <si>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</si>
  <si>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</si>
  <si>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</si>
  <si>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</si>
  <si>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</si>
  <si>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</si>
  <si>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</si>
  <si>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</si>
  <si>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</si>
  <si>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</si>
  <si>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</si>
  <si>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</si>
  <si>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</si>
  <si>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</si>
  <si>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</si>
  <si>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</si>
  <si>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</si>
  <si>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</si>
  <si>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</si>
  <si>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</si>
  <si>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</si>
  <si>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</si>
  <si>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</si>
  <si>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</si>
  <si>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</si>
  <si>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</si>
  <si>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</si>
  <si>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</si>
  <si>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</si>
  <si>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</si>
  <si>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</si>
  <si>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</si>
  <si>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</si>
  <si>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</si>
  <si>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</si>
  <si>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</si>
  <si>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</si>
  <si>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</si>
  <si>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</si>
  <si>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</si>
  <si>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</si>
  <si>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</si>
  <si>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</si>
  <si>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</si>
  <si>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</si>
  <si>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</si>
  <si>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</si>
  <si>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</si>
  <si>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</si>
  <si>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</si>
  <si>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</si>
  <si>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</si>
  <si>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</si>
  <si>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</si>
  <si>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</si>
  <si>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</si>
  <si>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</si>
  <si>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</si>
  <si>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</si>
  <si>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</si>
  <si>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</si>
  <si>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</si>
  <si>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</si>
  <si>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</si>
  <si>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</si>
  <si>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</si>
  <si>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</si>
  <si>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</si>
  <si>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</si>
  <si>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</si>
  <si>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</si>
  <si>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</si>
  <si>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</si>
  <si>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</si>
  <si>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</si>
  <si>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</si>
  <si>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</si>
  <si>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</si>
  <si>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</si>
  <si>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</si>
  <si>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</si>
  <si>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</si>
  <si>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</si>
  <si>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</si>
  <si>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</si>
  <si>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</si>
  <si>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</si>
  <si>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</si>
  <si>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</si>
  <si>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</si>
  <si>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</si>
  <si>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</si>
  <si>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</si>
  <si>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</si>
  <si>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</si>
  <si>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</si>
  <si>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</si>
  <si>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</si>
  <si>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</si>
  <si>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</si>
  <si>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</si>
  <si>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</si>
  <si>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</si>
  <si>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</si>
  <si>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</si>
  <si>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</si>
  <si>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</si>
  <si>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</si>
  <si>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</si>
  <si>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</si>
  <si>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</si>
  <si>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</si>
  <si>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</si>
  <si>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</si>
  <si>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</si>
  <si>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</si>
  <si>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</si>
  <si>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</si>
  <si>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</si>
  <si>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</si>
  <si>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</si>
  <si>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</si>
  <si>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</si>
  <si>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</si>
  <si>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</si>
  <si>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</si>
  <si>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</si>
  <si>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</si>
  <si>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</si>
  <si>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</si>
  <si>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</si>
  <si>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</si>
  <si>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</si>
  <si>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</si>
  <si>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</si>
  <si>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</si>
  <si>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</si>
  <si>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</si>
  <si>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</si>
  <si>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</si>
  <si>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</si>
  <si>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</si>
  <si>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</si>
  <si>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</si>
  <si>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</si>
  <si>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</si>
  <si>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</si>
  <si>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</si>
  <si>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</si>
  <si>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</si>
  <si>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</si>
  <si>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</si>
  <si>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</si>
  <si>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</si>
  <si>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</si>
  <si>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</si>
  <si>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</si>
  <si>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</si>
  <si>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</si>
  <si>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</si>
  <si>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</si>
  <si>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</si>
  <si>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</si>
  <si>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</si>
  <si>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</si>
  <si>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</si>
  <si>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</si>
  <si>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</si>
  <si>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</si>
  <si>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</si>
  <si>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</si>
  <si>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</si>
  <si>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</si>
  <si>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</si>
  <si>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</si>
  <si>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</si>
  <si>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</si>
  <si>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</si>
  <si>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</si>
  <si>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</si>
  <si>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</si>
  <si>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</si>
  <si>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</si>
  <si>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</si>
  <si>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</si>
  <si>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</si>
  <si>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</si>
  <si>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</si>
  <si>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</si>
  <si>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</si>
  <si>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</si>
  <si>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</si>
  <si>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</si>
  <si>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</si>
  <si>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</si>
  <si>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</si>
  <si>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</si>
  <si>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</si>
  <si>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</si>
  <si>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</si>
  <si>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</si>
  <si>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</si>
  <si>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</si>
  <si>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</si>
  <si>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</si>
  <si>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</si>
  <si>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</si>
  <si>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</si>
  <si>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</si>
  <si>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</si>
  <si>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</si>
  <si>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</si>
  <si>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</si>
  <si>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</si>
  <si>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</si>
  <si>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</si>
  <si>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</si>
  <si>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</si>
  <si>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</si>
  <si>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</si>
  <si>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</si>
  <si>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</si>
  <si>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</si>
  <si>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</si>
  <si>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</si>
  <si>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</si>
  <si>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</si>
  <si>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</si>
  <si>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</si>
  <si>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</si>
  <si>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</si>
  <si>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</si>
  <si>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</si>
  <si>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</si>
  <si>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</si>
  <si>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</si>
  <si>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</si>
  <si>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</si>
  <si>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</si>
  <si>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</si>
  <si>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</si>
  <si>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</si>
  <si>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</si>
  <si>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</si>
  <si>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</si>
  <si>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</si>
  <si>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</si>
  <si>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</si>
  <si>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</si>
  <si>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</si>
  <si>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</si>
  <si>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</si>
  <si>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</si>
  <si>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</si>
  <si>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</si>
  <si>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</si>
  <si>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</si>
  <si>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</si>
  <si>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</si>
  <si>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</si>
  <si>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</si>
  <si>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</si>
  <si>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</si>
  <si>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</si>
  <si>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</si>
  <si>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</si>
  <si>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</si>
  <si>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</si>
  <si>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</si>
  <si>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</si>
  <si>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</si>
  <si>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</si>
  <si>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</si>
  <si>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</si>
  <si>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</si>
  <si>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</si>
  <si>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</si>
  <si>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</si>
  <si>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</si>
  <si>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</si>
  <si>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</si>
  <si>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</si>
  <si>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</si>
  <si>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</si>
  <si>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</si>
  <si>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</si>
  <si>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</si>
  <si>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</si>
  <si>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</si>
  <si>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</si>
  <si>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</si>
  <si>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</si>
  <si>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</si>
  <si>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</si>
  <si>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</si>
  <si>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</si>
  <si>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</si>
  <si>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</si>
  <si>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</si>
  <si>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</si>
  <si>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</si>
  <si>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</si>
  <si>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</si>
  <si>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</si>
  <si>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</si>
  <si>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</si>
  <si>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</si>
  <si>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</si>
  <si>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</si>
  <si>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</si>
  <si>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</si>
  <si>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</si>
  <si>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</si>
  <si>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</si>
  <si>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</si>
  <si>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</si>
  <si>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</si>
  <si>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</si>
  <si>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</si>
  <si>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</si>
  <si>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</si>
  <si>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</si>
  <si>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</si>
  <si>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</si>
  <si>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</si>
  <si>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</si>
  <si>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</si>
  <si>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</si>
  <si>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</si>
  <si>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</si>
  <si>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</si>
  <si>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</si>
  <si>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</si>
  <si>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</si>
  <si>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</si>
  <si>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</si>
  <si>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</si>
  <si>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</si>
  <si>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</si>
  <si>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</si>
  <si>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</si>
  <si>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</si>
  <si>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</si>
  <si>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</si>
  <si>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</si>
  <si>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</si>
  <si>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</si>
  <si>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</si>
  <si>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</si>
  <si>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</si>
  <si>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</si>
  <si>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</si>
  <si>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</si>
  <si>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</si>
  <si>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</si>
  <si>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</si>
  <si>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</si>
  <si>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</si>
  <si>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</si>
  <si>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</si>
  <si>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</si>
  <si>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</si>
  <si>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</si>
  <si>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</si>
  <si>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</si>
  <si>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</si>
  <si>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</si>
  <si>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</si>
  <si>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</si>
  <si>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</si>
  <si>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</si>
  <si>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</si>
  <si>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</si>
  <si>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</si>
  <si>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</si>
  <si>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</si>
  <si>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</si>
  <si>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</si>
  <si>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</si>
  <si>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</si>
  <si>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</si>
  <si>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</si>
  <si>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</si>
  <si>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</si>
  <si>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</si>
  <si>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</si>
  <si>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</si>
  <si>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</si>
  <si>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</si>
  <si>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</si>
  <si>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</si>
  <si>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</si>
  <si>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</si>
  <si>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</si>
  <si>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</si>
  <si>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</si>
  <si>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</si>
  <si>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</si>
  <si>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</si>
  <si>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</si>
  <si>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</si>
  <si>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</si>
  <si>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</si>
  <si>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</si>
  <si>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</si>
  <si>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</si>
  <si>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</si>
  <si>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</si>
  <si>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</si>
  <si>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</si>
  <si>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</si>
  <si>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</si>
  <si>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</si>
  <si>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</si>
  <si>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</si>
  <si>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</si>
  <si>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</si>
  <si>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</si>
  <si>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</si>
  <si>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</si>
  <si>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</si>
  <si>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</si>
  <si>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</si>
  <si>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</si>
  <si>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</si>
  <si>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</si>
  <si>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</si>
  <si>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</si>
  <si>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</si>
  <si>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</si>
  <si>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</si>
  <si>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</si>
  <si>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</si>
  <si>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</si>
  <si>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</si>
  <si>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</si>
  <si>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</si>
  <si>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</si>
  <si>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</si>
  <si>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</si>
  <si>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</si>
  <si>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</si>
  <si>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</si>
  <si>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</si>
  <si>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</si>
  <si>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</si>
  <si>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</si>
  <si>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</si>
  <si>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</si>
  <si>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</si>
  <si>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</si>
  <si>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</si>
  <si>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</si>
  <si>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</si>
  <si>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</si>
  <si>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</si>
  <si>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</si>
  <si>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</si>
  <si>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</si>
  <si>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</si>
  <si>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</si>
  <si>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</si>
  <si>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</si>
  <si>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</si>
  <si>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</si>
  <si>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</si>
  <si>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</si>
  <si>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</si>
  <si>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</si>
  <si>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</si>
  <si>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</si>
  <si>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</si>
  <si>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</si>
  <si>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</si>
  <si>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</si>
  <si>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</si>
  <si>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</si>
  <si>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</si>
  <si>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</si>
  <si>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</si>
  <si>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</si>
  <si>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</si>
  <si>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</si>
  <si>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</si>
  <si>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</si>
  <si>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</si>
  <si>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</si>
  <si>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</si>
  <si>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</si>
  <si>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</si>
  <si>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</si>
  <si>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</si>
  <si>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</si>
  <si>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</si>
  <si>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</si>
  <si>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</si>
  <si>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</si>
  <si>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</si>
  <si>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</si>
  <si>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</si>
  <si>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</si>
  <si>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</si>
  <si>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</si>
  <si>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</si>
  <si>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</si>
  <si>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</si>
  <si>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</si>
  <si>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</si>
  <si>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</si>
  <si>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</si>
  <si>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</si>
  <si>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</si>
  <si>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</si>
  <si>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</si>
  <si>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</si>
  <si>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</si>
  <si>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</si>
  <si>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</si>
  <si>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</si>
  <si>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</si>
  <si>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</si>
  <si>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</si>
  <si>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</si>
  <si>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</si>
  <si>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</si>
  <si>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</si>
  <si>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</si>
  <si>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</si>
  <si>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</si>
  <si>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</si>
  <si>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</si>
  <si>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</si>
  <si>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</si>
  <si>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</si>
  <si>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</si>
  <si>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</si>
  <si>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</si>
  <si>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</si>
  <si>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</si>
  <si>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</si>
  <si>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</si>
  <si>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</si>
  <si>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</si>
  <si>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</si>
  <si>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</si>
  <si>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</si>
  <si>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</si>
  <si>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</si>
  <si>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</si>
  <si>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</si>
  <si>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</si>
  <si>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</si>
  <si>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</si>
  <si>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</si>
  <si>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</si>
  <si>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</si>
  <si>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</si>
  <si>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</si>
  <si>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</si>
  <si>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</si>
  <si>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</si>
  <si>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</si>
  <si>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</si>
  <si>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</si>
  <si>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</si>
  <si>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</si>
  <si>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</si>
  <si>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</si>
  <si>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</si>
  <si>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</si>
  <si>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</si>
  <si>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</si>
  <si>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</si>
  <si>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</si>
  <si>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</si>
  <si>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</si>
  <si>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</si>
  <si>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</si>
  <si>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</si>
  <si>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</si>
  <si>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</si>
  <si>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</si>
  <si>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</si>
  <si>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</si>
  <si>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</si>
  <si>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</si>
  <si>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</si>
  <si>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</si>
  <si>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</si>
  <si>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</si>
  <si>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</si>
  <si>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</si>
  <si>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</si>
  <si>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</si>
  <si>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</si>
  <si>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</si>
  <si>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</si>
  <si>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</si>
  <si>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</si>
  <si>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</si>
  <si>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</si>
  <si>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</si>
  <si>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</si>
  <si>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</si>
  <si>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</si>
  <si>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</si>
  <si>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</si>
  <si>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</si>
  <si>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</si>
  <si>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</si>
  <si>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</si>
  <si>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</si>
  <si>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</si>
  <si>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</si>
  <si>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</si>
  <si>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</si>
  <si>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</si>
  <si>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</si>
  <si>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</si>
  <si>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</si>
  <si>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</si>
  <si>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</si>
  <si>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</si>
  <si>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</si>
  <si>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</si>
  <si>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</si>
  <si>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</si>
  <si>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</si>
  <si>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</si>
  <si>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</si>
  <si>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</si>
  <si>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</si>
  <si>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</si>
  <si>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</si>
  <si>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</si>
  <si>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</si>
  <si>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</si>
  <si>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</si>
  <si>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</si>
  <si>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</si>
  <si>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</si>
  <si>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</si>
  <si>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</si>
  <si>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</si>
  <si>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</si>
  <si>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</si>
  <si>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</si>
  <si>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</si>
  <si>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</si>
  <si>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</si>
  <si>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</si>
  <si>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</si>
  <si>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</si>
  <si>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</si>
  <si>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</si>
  <si>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</si>
  <si>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</si>
  <si>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</si>
  <si>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</si>
  <si>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</si>
  <si>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</si>
  <si>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</si>
  <si>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</si>
  <si>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</si>
  <si>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</si>
  <si>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</si>
  <si>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</si>
  <si>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</si>
  <si>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</si>
  <si>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</si>
  <si>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</si>
  <si>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</si>
  <si>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</si>
  <si>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</si>
  <si>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</si>
  <si>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</si>
  <si>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</si>
  <si>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</si>
  <si>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</si>
  <si>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</si>
  <si>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</si>
  <si>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</si>
  <si>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</si>
  <si>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</si>
  <si>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</si>
  <si>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</si>
  <si>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</si>
  <si>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</si>
  <si>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</si>
  <si>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</si>
  <si>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</si>
  <si>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</si>
  <si>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</si>
  <si>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</si>
  <si>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</si>
  <si>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</si>
  <si>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</si>
  <si>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</si>
  <si>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</si>
  <si>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</si>
  <si>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</si>
  <si>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</si>
  <si>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</si>
  <si>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</si>
  <si>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</si>
  <si>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</si>
  <si>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</si>
  <si>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</si>
  <si>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</si>
  <si>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</si>
  <si>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</si>
  <si>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</si>
  <si>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</si>
  <si>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</si>
  <si>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</si>
  <si>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</si>
  <si>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</si>
  <si>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</si>
  <si>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</si>
  <si>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</si>
  <si>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</si>
  <si>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</si>
  <si>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</si>
  <si>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</si>
  <si>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</si>
  <si>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</si>
  <si>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</si>
  <si>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</si>
  <si>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</si>
  <si>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</si>
  <si>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</si>
  <si>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</si>
  <si>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</si>
  <si>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</si>
  <si>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</si>
  <si>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</si>
  <si>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</si>
  <si>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</si>
  <si>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</si>
  <si>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</si>
  <si>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</si>
  <si>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</si>
  <si>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</si>
  <si>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</si>
  <si>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</si>
  <si>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</si>
  <si>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</si>
  <si>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</si>
  <si>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</si>
  <si>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</si>
  <si>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</si>
  <si>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</si>
  <si>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</si>
  <si>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</si>
  <si>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</si>
  <si>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</si>
  <si>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</si>
  <si>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</si>
  <si>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</si>
  <si>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</si>
  <si>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</si>
  <si>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</si>
  <si>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</si>
  <si>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</si>
  <si>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</si>
  <si>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</si>
  <si>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</si>
  <si>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</si>
  <si>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</si>
  <si>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</si>
  <si>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</si>
  <si>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</si>
  <si>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</si>
  <si>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</si>
  <si>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</si>
  <si>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</si>
  <si>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</si>
  <si>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</si>
  <si>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</si>
  <si>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</si>
  <si>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</si>
  <si>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</si>
  <si>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</si>
  <si>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</si>
  <si>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</si>
  <si>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</si>
  <si>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</si>
  <si>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</si>
  <si>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</si>
  <si>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</si>
  <si>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</si>
  <si>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</si>
  <si>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</si>
  <si>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</si>
  <si>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</si>
  <si>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</si>
  <si>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</si>
  <si>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</si>
  <si>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</si>
  <si>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</si>
  <si>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</si>
  <si>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</si>
  <si>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</si>
  <si>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</si>
  <si>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</si>
  <si>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</si>
  <si>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</si>
  <si>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</si>
  <si>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</si>
  <si>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</si>
  <si>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</si>
  <si>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</si>
  <si>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</si>
  <si>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</si>
  <si>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</si>
  <si>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</si>
  <si>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</si>
  <si>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</si>
  <si>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</si>
  <si>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</si>
  <si>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</si>
  <si>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</si>
  <si>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</si>
  <si>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</si>
  <si>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</si>
  <si>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</si>
  <si>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</si>
  <si>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</si>
  <si>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</si>
  <si>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</si>
  <si>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</si>
  <si>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</si>
  <si>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</si>
  <si>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</si>
  <si>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</si>
  <si>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</si>
  <si>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</si>
  <si>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</si>
  <si>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</si>
  <si>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</si>
  <si>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</si>
  <si>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</si>
  <si>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</si>
  <si>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</si>
  <si>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</si>
  <si>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</si>
  <si>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</si>
  <si>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</si>
  <si>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</si>
  <si>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</si>
  <si>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</si>
  <si>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</si>
  <si>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</si>
  <si>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</si>
  <si>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</si>
  <si>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</si>
  <si>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</si>
  <si>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</si>
  <si>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</si>
  <si>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</si>
  <si>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</si>
  <si>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</si>
  <si>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</si>
  <si>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</si>
  <si>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</si>
  <si>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</si>
  <si>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</si>
  <si>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</si>
  <si>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</si>
  <si>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</si>
  <si>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</si>
  <si>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</si>
  <si>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</si>
  <si>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</si>
  <si>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</si>
  <si>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</si>
  <si>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</si>
  <si>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</si>
  <si>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</si>
  <si>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</si>
  <si>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</si>
  <si>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</si>
  <si>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</si>
  <si>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</si>
  <si>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</si>
  <si>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</si>
  <si>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</si>
  <si>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</si>
  <si>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</si>
  <si>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</si>
  <si>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</si>
  <si>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</si>
  <si>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</si>
  <si>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</si>
  <si>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</si>
  <si>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</si>
  <si>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</si>
  <si>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</si>
  <si>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</si>
  <si>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</si>
  <si>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</si>
  <si>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</si>
  <si>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</si>
  <si>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</si>
  <si>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</si>
  <si>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</si>
  <si>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</si>
  <si>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</si>
  <si>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</si>
  <si>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</si>
  <si>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</si>
  <si>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</si>
  <si>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</si>
  <si>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</si>
  <si>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</si>
  <si>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</si>
  <si>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</si>
  <si>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</si>
  <si>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</si>
  <si>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</si>
  <si>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</si>
  <si>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</si>
  <si>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</si>
  <si>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</si>
  <si>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</si>
  <si>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</si>
  <si>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</si>
  <si>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</si>
  <si>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</si>
  <si>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</si>
  <si>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</si>
  <si>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</si>
  <si>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</si>
  <si>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</si>
  <si>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</si>
  <si>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</si>
  <si>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</si>
  <si>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</si>
  <si>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</si>
  <si>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</si>
  <si>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</si>
  <si>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</si>
  <si>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</si>
  <si>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</si>
  <si>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</si>
  <si>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</si>
  <si>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</si>
  <si>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</si>
  <si>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</si>
  <si>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</si>
  <si>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</si>
  <si>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</si>
  <si>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</si>
  <si>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</si>
  <si>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</si>
  <si>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</si>
  <si>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</si>
  <si>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</si>
  <si>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</si>
  <si>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</si>
  <si>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</si>
  <si>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</si>
  <si>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</si>
  <si>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</si>
  <si>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</si>
  <si>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</si>
  <si>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</si>
  <si>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</si>
  <si>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</si>
  <si>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</si>
  <si>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</si>
  <si>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</si>
  <si>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</si>
  <si>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</si>
  <si>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</si>
  <si>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</si>
  <si>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</si>
  <si>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</si>
  <si>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</si>
  <si>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</si>
  <si>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</si>
  <si>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</si>
  <si>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</si>
  <si>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</si>
  <si>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</si>
  <si>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</si>
  <si>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</si>
  <si>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</si>
  <si>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</si>
  <si>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</si>
  <si>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</si>
  <si>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</si>
  <si>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</si>
  <si>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</si>
  <si>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</si>
  <si>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</si>
  <si>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</si>
  <si>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</si>
  <si>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</si>
  <si>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</si>
  <si>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</si>
  <si>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</si>
  <si>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</si>
  <si>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</si>
  <si>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</si>
  <si>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</si>
  <si>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</si>
  <si>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</si>
  <si>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</si>
  <si>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</si>
  <si>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</si>
  <si>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</si>
  <si>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</si>
  <si>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</si>
  <si>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</si>
  <si>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</si>
  <si>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</si>
  <si>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</si>
  <si>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</si>
  <si>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</si>
  <si>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</si>
  <si>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</si>
  <si>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</si>
  <si>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</si>
  <si>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</si>
  <si>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</si>
  <si>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</si>
  <si>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</si>
  <si>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</si>
  <si>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</si>
  <si>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</si>
  <si>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</si>
  <si>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</si>
  <si>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</si>
  <si>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</si>
  <si>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</si>
  <si>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</si>
  <si>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</si>
  <si>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</si>
  <si>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</si>
  <si>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</si>
  <si>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</si>
  <si>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</si>
  <si>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</si>
  <si>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</si>
  <si>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</si>
  <si>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</si>
  <si>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</si>
  <si>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</si>
  <si>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</si>
  <si>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</si>
  <si>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</si>
  <si>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</si>
  <si>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</si>
  <si>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</si>
  <si>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</si>
  <si>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</si>
  <si>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</si>
  <si>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</si>
  <si>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</si>
  <si>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</si>
  <si>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</si>
  <si>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</si>
  <si>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</si>
  <si>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</si>
  <si>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</si>
  <si>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</si>
  <si>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</si>
  <si>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</si>
  <si>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</si>
  <si>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</si>
  <si>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</si>
  <si>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</si>
  <si>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</si>
  <si>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</si>
  <si>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</si>
  <si>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</si>
  <si>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</si>
  <si>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</si>
  <si>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</si>
  <si>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</si>
  <si>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</si>
  <si>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</si>
  <si>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</si>
  <si>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</si>
  <si>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</si>
  <si>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</si>
  <si>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</si>
  <si>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</si>
  <si>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</si>
  <si>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</si>
  <si>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</si>
  <si>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</si>
  <si>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</si>
  <si>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</si>
  <si>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</si>
  <si>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</si>
  <si>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</si>
  <si>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</si>
  <si>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</si>
  <si>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</si>
  <si>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</si>
  <si>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</si>
  <si>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</si>
  <si>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</si>
  <si>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</si>
  <si>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</si>
  <si>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</si>
  <si>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</si>
  <si>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</si>
  <si>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</si>
  <si>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</si>
  <si>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</si>
  <si>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</si>
  <si>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</si>
  <si>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</si>
  <si>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</si>
  <si>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</si>
  <si>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</si>
  <si>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</si>
  <si>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</si>
  <si>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</si>
  <si>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</si>
  <si>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</si>
  <si>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</si>
  <si>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</si>
  <si>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</si>
  <si>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</si>
  <si>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</si>
  <si>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</si>
  <si>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</si>
  <si>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</si>
  <si>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</si>
  <si>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</si>
  <si>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</si>
  <si>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</si>
  <si>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</si>
  <si>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</si>
  <si>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</si>
  <si>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</si>
  <si>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</si>
  <si>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</si>
  <si>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</si>
  <si>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</si>
  <si>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</si>
  <si>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</si>
  <si>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</si>
  <si>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</si>
  <si>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</si>
  <si>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</si>
  <si>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</si>
  <si>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</si>
  <si>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</si>
  <si>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</si>
  <si>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</si>
  <si>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</si>
  <si>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</si>
  <si>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</si>
  <si>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</si>
  <si>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</si>
  <si>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</si>
  <si>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</si>
  <si>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</si>
  <si>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</si>
  <si>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</si>
  <si>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</si>
  <si>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</si>
  <si>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</si>
  <si>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</si>
  <si>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</si>
  <si>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</si>
  <si>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</si>
  <si>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</si>
  <si>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</si>
  <si>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</si>
  <si>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</si>
  <si>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</si>
  <si>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</si>
  <si>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</si>
  <si>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</si>
  <si>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</si>
  <si>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</si>
  <si>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</si>
  <si>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</si>
  <si>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</si>
  <si>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</si>
  <si>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</si>
  <si>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</si>
  <si>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</si>
  <si>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</si>
  <si>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</si>
  <si>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</si>
  <si>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</si>
  <si>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</si>
  <si>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</si>
  <si>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</si>
  <si>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</si>
  <si>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</si>
  <si>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</si>
  <si>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</si>
  <si>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</si>
  <si>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</si>
  <si>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</si>
  <si>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</si>
  <si>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</si>
  <si>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</si>
  <si>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</si>
  <si>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</si>
  <si>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</si>
  <si>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</si>
  <si>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</si>
  <si>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</si>
  <si>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</si>
  <si>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</si>
  <si>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</si>
  <si>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</si>
  <si>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</si>
  <si>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</si>
  <si>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</si>
  <si>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</si>
  <si>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</si>
  <si>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</si>
  <si>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</si>
  <si>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</si>
  <si>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</si>
  <si>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</si>
  <si>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</si>
  <si>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</si>
  <si>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</si>
  <si>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</si>
  <si>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</si>
  <si>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</si>
  <si>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</si>
  <si>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</si>
  <si>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</si>
  <si>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</si>
  <si>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</si>
  <si>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</si>
  <si>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</si>
  <si>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</si>
  <si>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</si>
  <si>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</si>
  <si>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</si>
  <si>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</si>
  <si>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</si>
  <si>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</si>
  <si>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</si>
  <si>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</si>
  <si>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</si>
  <si>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</si>
  <si>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</si>
  <si>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</si>
  <si>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</si>
  <si>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</si>
  <si>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</si>
  <si>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</si>
  <si>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</si>
  <si>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</si>
  <si>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</si>
  <si>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</si>
  <si>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</si>
  <si>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</si>
  <si>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</si>
  <si>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</si>
  <si>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</si>
  <si>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</si>
  <si>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</si>
  <si>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</si>
  <si>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</si>
  <si>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</si>
  <si>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</si>
  <si>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</si>
  <si>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</si>
  <si>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</si>
  <si>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</si>
  <si>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</si>
  <si>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</si>
  <si>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</si>
  <si>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</si>
  <si>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</si>
  <si>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</si>
  <si>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</si>
  <si>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</si>
  <si>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</si>
  <si>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</si>
  <si>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</si>
  <si>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</si>
  <si>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</si>
  <si>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</si>
  <si>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</si>
  <si>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</si>
  <si>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</si>
  <si>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</si>
  <si>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</si>
  <si>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</si>
  <si>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</si>
  <si>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</si>
  <si>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</si>
  <si>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</si>
  <si>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</si>
  <si>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</si>
  <si>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</si>
  <si>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</si>
  <si>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</si>
  <si>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</si>
  <si>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</si>
  <si>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</si>
  <si>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</si>
  <si>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</si>
  <si>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</si>
  <si>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</si>
  <si>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</si>
  <si>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</si>
  <si>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</si>
  <si>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</si>
  <si>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</si>
  <si>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</si>
  <si>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</si>
  <si>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</si>
  <si>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</si>
  <si>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</si>
  <si>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</si>
  <si>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</si>
  <si>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</si>
  <si>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</si>
  <si>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</si>
  <si>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</si>
  <si>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</si>
  <si>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</si>
  <si>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</si>
  <si>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</si>
  <si>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</si>
  <si>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</si>
  <si>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</si>
  <si>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</si>
  <si>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</si>
  <si>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</si>
  <si>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</si>
  <si>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</si>
  <si>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</si>
  <si>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</si>
  <si>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</si>
  <si>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</si>
  <si>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</si>
  <si>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</si>
  <si>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</si>
  <si>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</si>
  <si>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</si>
  <si>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</si>
  <si>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</si>
  <si>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</si>
  <si>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</si>
  <si>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</si>
  <si>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</si>
  <si>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</si>
  <si>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</si>
  <si>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</si>
  <si>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</si>
  <si>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</si>
  <si>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</si>
  <si>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</si>
  <si>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</si>
  <si>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</si>
  <si>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</si>
  <si>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</si>
  <si>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</si>
  <si>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</si>
  <si>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</si>
  <si>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</si>
  <si>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</si>
  <si>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</si>
  <si>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</si>
  <si>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</si>
  <si>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</si>
  <si>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</si>
  <si>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</si>
  <si>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</si>
  <si>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</si>
  <si>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</si>
  <si>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</si>
  <si>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</si>
  <si>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</si>
  <si>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</si>
  <si>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</si>
  <si>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</si>
  <si>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</si>
  <si>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</si>
  <si>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</si>
  <si>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</si>
  <si>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</si>
  <si>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</si>
  <si>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</si>
  <si>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</si>
  <si>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</si>
  <si>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</si>
  <si>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</si>
  <si>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</si>
  <si>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</si>
  <si>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</si>
  <si>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</si>
  <si>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</si>
  <si>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</si>
  <si>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</si>
  <si>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</si>
  <si>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</si>
  <si>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</si>
  <si>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</si>
  <si>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</si>
  <si>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</si>
  <si>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</si>
  <si>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</si>
  <si>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</si>
  <si>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</si>
  <si>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</si>
  <si>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</si>
  <si>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</si>
  <si>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</si>
  <si>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</si>
  <si>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</si>
  <si>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</si>
  <si>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</si>
  <si>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</si>
  <si>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</si>
  <si>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</si>
  <si>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</si>
  <si>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</si>
  <si>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</si>
  <si>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</si>
  <si>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</si>
  <si>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</si>
  <si>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</si>
  <si>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</si>
  <si>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</si>
  <si>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</si>
  <si>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</si>
  <si>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</si>
  <si>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</si>
  <si>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</si>
  <si>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</si>
  <si>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</si>
  <si>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</si>
  <si>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</si>
  <si>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</si>
  <si>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</si>
  <si>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</si>
  <si>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</si>
  <si>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</si>
  <si>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</si>
  <si>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</si>
  <si>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</si>
  <si>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</si>
  <si>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</si>
  <si>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</si>
  <si>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</si>
  <si>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</si>
  <si>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</si>
  <si>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</si>
  <si>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</si>
  <si>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</si>
  <si>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</si>
  <si>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</si>
  <si>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</si>
  <si>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</si>
  <si>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</si>
  <si>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</si>
  <si>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</si>
  <si>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</si>
  <si>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</si>
  <si>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</si>
  <si>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</si>
  <si>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</si>
  <si>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</si>
  <si>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</si>
  <si>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</si>
  <si>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</si>
  <si>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</si>
  <si>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</si>
  <si>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</si>
  <si>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</si>
  <si>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</si>
  <si>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</si>
  <si>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</si>
  <si>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</si>
  <si>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</si>
  <si>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</si>
  <si>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</si>
  <si>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</si>
  <si>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</si>
  <si>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</si>
  <si>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</si>
  <si>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</si>
  <si>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</si>
  <si>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</si>
  <si>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</si>
  <si>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</si>
  <si>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</si>
  <si>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</si>
  <si>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</si>
  <si>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</si>
  <si>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</si>
  <si>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</si>
  <si>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</si>
  <si>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</si>
  <si>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</si>
  <si>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</si>
  <si>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</si>
  <si>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</si>
  <si>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</si>
  <si>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</si>
  <si>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</si>
  <si>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</si>
  <si>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</si>
  <si>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</si>
  <si>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</si>
  <si>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</si>
  <si>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</si>
  <si>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</si>
  <si>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</si>
  <si>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</si>
  <si>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</si>
  <si>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</si>
  <si>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</si>
  <si>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</si>
  <si>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</si>
  <si>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</si>
  <si>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</si>
  <si>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</si>
  <si>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</si>
  <si>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</si>
  <si>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</si>
  <si>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</si>
  <si>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</si>
  <si>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</si>
  <si>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</si>
  <si>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</si>
  <si>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</si>
  <si>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</si>
  <si>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</si>
  <si>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</si>
  <si>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</si>
  <si>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</si>
  <si>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</si>
  <si>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</si>
  <si>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</si>
  <si>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</si>
  <si>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</si>
  <si>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</si>
  <si>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</si>
  <si>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</si>
  <si>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</si>
  <si>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</si>
  <si>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</si>
  <si>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</si>
  <si>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</si>
  <si>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</si>
  <si>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</si>
  <si>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</si>
  <si>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</si>
  <si>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</si>
  <si>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</si>
  <si>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</si>
  <si>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</si>
  <si>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</si>
  <si>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</si>
  <si>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</si>
  <si>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</si>
  <si>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</si>
  <si>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</si>
  <si>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</si>
  <si>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</si>
  <si>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</si>
  <si>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</si>
  <si>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</si>
  <si>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</si>
  <si>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</si>
  <si>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</si>
  <si>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</si>
  <si>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</si>
  <si>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</si>
  <si>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</si>
  <si>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</si>
  <si>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</si>
  <si>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</si>
  <si>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</si>
  <si>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</si>
  <si>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</si>
  <si>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</si>
  <si>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</si>
  <si>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</si>
  <si>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</si>
  <si>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</si>
  <si>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</si>
  <si>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</si>
  <si>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</si>
  <si>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</si>
  <si>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</si>
  <si>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</si>
  <si>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</si>
  <si>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</si>
  <si>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</si>
  <si>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</si>
  <si>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</si>
  <si>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</si>
  <si>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</si>
  <si>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</si>
  <si>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</si>
  <si>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</si>
  <si>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</si>
  <si>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</si>
  <si>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</si>
  <si>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</si>
  <si>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</si>
  <si>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</si>
  <si>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</si>
  <si>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</si>
  <si>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</si>
  <si>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</si>
  <si>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</si>
  <si>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</si>
  <si>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</si>
  <si>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</si>
  <si>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</si>
  <si>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</si>
  <si>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</si>
  <si>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</si>
  <si>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</si>
  <si>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</si>
  <si>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</si>
  <si>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</si>
  <si>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</si>
  <si>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</si>
  <si>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</si>
  <si>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</si>
  <si>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</si>
  <si>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</si>
  <si>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</si>
  <si>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</si>
  <si>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</si>
  <si>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</si>
  <si>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</si>
  <si>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</si>
  <si>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</si>
  <si>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</si>
  <si>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</si>
  <si>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</si>
  <si>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</si>
  <si>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</si>
  <si>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</si>
  <si>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</si>
  <si>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</si>
  <si>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</si>
  <si>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</si>
  <si>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</si>
  <si>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</si>
  <si>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</si>
  <si>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</si>
  <si>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</si>
  <si>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</si>
  <si>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</si>
  <si>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</si>
  <si>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</si>
  <si>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</si>
  <si>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</si>
  <si>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</si>
  <si>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</si>
  <si>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</si>
  <si>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</si>
  <si>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</si>
  <si>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</si>
  <si>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</si>
  <si>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</si>
  <si>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</si>
  <si>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</si>
  <si>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</si>
  <si>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</si>
  <si>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</si>
  <si>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</si>
  <si>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</si>
  <si>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</si>
  <si>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</si>
  <si>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</si>
  <si>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</si>
  <si>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</si>
  <si>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</si>
  <si>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</si>
  <si>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</si>
  <si>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</si>
  <si>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</si>
  <si>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</si>
  <si>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</si>
  <si>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</si>
  <si>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</si>
  <si>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</si>
  <si>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</si>
  <si>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</si>
  <si>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</si>
  <si>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</si>
  <si>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</si>
  <si>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</si>
  <si>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</si>
  <si>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</si>
  <si>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</si>
  <si>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</si>
  <si>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</si>
  <si>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</si>
  <si>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</si>
  <si>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</si>
  <si>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</si>
  <si>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</si>
  <si>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</si>
  <si>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</si>
  <si>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</si>
  <si>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</si>
  <si>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</si>
  <si>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</si>
  <si>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</si>
  <si>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</si>
  <si>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</si>
  <si>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</si>
  <si>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</si>
  <si>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</si>
  <si>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</si>
  <si>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</si>
  <si>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</si>
  <si>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</si>
  <si>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</si>
  <si>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</si>
  <si>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</si>
  <si>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</si>
  <si>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</si>
  <si>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</si>
  <si>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</si>
  <si>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</si>
  <si>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</si>
  <si>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</si>
  <si>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</si>
  <si>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</si>
  <si>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</si>
  <si>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</si>
  <si>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</si>
  <si>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</si>
  <si>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</si>
  <si>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</si>
  <si>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</si>
  <si>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</si>
  <si>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</si>
  <si>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</si>
  <si>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</si>
  <si>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</si>
  <si>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</si>
  <si>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</si>
  <si>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</si>
  <si>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</si>
  <si>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</si>
  <si>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</si>
  <si>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</si>
  <si>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</si>
  <si>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</si>
  <si>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</si>
  <si>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</si>
  <si>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</si>
  <si>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</si>
  <si>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</si>
  <si>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</si>
  <si>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</si>
  <si>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</si>
  <si>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</si>
  <si>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</si>
  <si>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</si>
  <si>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</si>
  <si>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</si>
  <si>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</si>
  <si>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</si>
  <si>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</si>
  <si>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</si>
  <si>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</si>
  <si>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</si>
  <si>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</si>
  <si>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</si>
  <si>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</si>
  <si>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</si>
  <si>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</si>
  <si>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</si>
  <si>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</si>
  <si>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</si>
  <si>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</si>
  <si>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</si>
  <si>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</si>
  <si>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</si>
  <si>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</si>
  <si>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</si>
  <si>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</si>
  <si>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</si>
  <si>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</si>
  <si>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</si>
  <si>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</si>
  <si>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</si>
  <si>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</si>
  <si>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</si>
  <si>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</si>
  <si>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</si>
  <si>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</si>
  <si>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</si>
  <si>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</si>
  <si>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</si>
  <si>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</si>
  <si>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</si>
  <si>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</si>
  <si>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</si>
  <si>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</si>
  <si>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</si>
  <si>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</si>
  <si>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</si>
  <si>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</si>
  <si>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</si>
  <si>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</si>
  <si>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</si>
  <si>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</si>
  <si>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</si>
  <si>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</si>
  <si>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</si>
  <si>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</si>
  <si>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</si>
  <si>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</si>
  <si>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</si>
  <si>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</si>
  <si>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</si>
  <si>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</si>
  <si>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</si>
  <si>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</si>
  <si>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</si>
  <si>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</si>
  <si>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</si>
  <si>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</si>
  <si>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</si>
  <si>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</si>
  <si>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</si>
  <si>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</si>
  <si>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</si>
  <si>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</si>
  <si>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</si>
  <si>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</si>
  <si>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</si>
  <si>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</si>
  <si>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</si>
  <si>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</si>
  <si>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</si>
  <si>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</si>
  <si>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</si>
  <si>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</si>
  <si>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</si>
  <si>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</si>
  <si>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</si>
  <si>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</si>
  <si>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</si>
  <si>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</si>
  <si>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</si>
  <si>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</si>
  <si>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</si>
  <si>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</si>
  <si>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</si>
  <si>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</si>
  <si>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</si>
  <si>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</si>
  <si>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</si>
  <si>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</si>
  <si>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</si>
  <si>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</si>
  <si>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</si>
  <si>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</si>
  <si>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</si>
  <si>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</si>
  <si>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</si>
  <si>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</si>
  <si>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</si>
  <si>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</si>
  <si>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</si>
  <si>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</si>
  <si>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</si>
  <si>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</si>
  <si>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</si>
  <si>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</si>
  <si>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</si>
  <si>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</si>
  <si>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</si>
  <si>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</si>
  <si>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</si>
  <si>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</si>
  <si>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</si>
  <si>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</si>
  <si>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</si>
  <si>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</si>
  <si>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</si>
  <si>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</si>
  <si>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</si>
  <si>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</si>
  <si>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</si>
  <si>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</si>
  <si>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</si>
  <si>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</si>
  <si>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</si>
  <si>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</si>
  <si>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</si>
  <si>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</si>
  <si>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</si>
  <si>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</si>
  <si>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</si>
  <si>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</si>
  <si>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</si>
  <si>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</si>
  <si>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</si>
  <si>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</si>
  <si>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</si>
  <si>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</si>
  <si>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</si>
  <si>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</si>
  <si>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</si>
  <si>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</si>
  <si>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</si>
  <si>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</si>
  <si>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</si>
  <si>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</si>
  <si>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</si>
  <si>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</si>
  <si>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</si>
  <si>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</si>
  <si>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</si>
  <si>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</si>
  <si>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</si>
  <si>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</si>
  <si>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</si>
  <si>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</si>
  <si>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</si>
  <si>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</si>
  <si>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</si>
  <si>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</si>
  <si>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</si>
  <si>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</si>
  <si>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</si>
  <si>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</si>
  <si>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</si>
  <si>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</si>
  <si>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</si>
  <si>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</si>
  <si>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</si>
  <si>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</si>
  <si>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</si>
  <si>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</si>
  <si>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</si>
  <si>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</si>
  <si>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</si>
  <si>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</si>
  <si>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</si>
  <si>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</si>
  <si>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</si>
  <si>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</si>
  <si>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</si>
  <si>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</si>
  <si>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</si>
  <si>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</si>
  <si>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</si>
  <si>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</si>
  <si>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</si>
  <si>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</si>
  <si>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</si>
  <si>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</si>
  <si>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</si>
  <si>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</si>
  <si>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</si>
  <si>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</si>
  <si>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</si>
  <si>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</si>
  <si>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</si>
  <si>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</si>
  <si>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</si>
  <si>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</si>
  <si>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</si>
  <si>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</si>
  <si>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</si>
  <si>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</si>
  <si>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</si>
  <si>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</si>
  <si>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</si>
  <si>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</si>
  <si>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</si>
  <si>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</si>
  <si>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</si>
  <si>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</si>
  <si>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</si>
  <si>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</si>
  <si>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</si>
  <si>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</si>
  <si>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</si>
  <si>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</si>
  <si>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</si>
  <si>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</si>
  <si>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</si>
  <si>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</si>
  <si>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</si>
  <si>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</si>
  <si>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</si>
  <si>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</si>
  <si>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</si>
  <si>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</si>
  <si>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</si>
  <si>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</si>
  <si>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</si>
  <si>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</si>
  <si>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</si>
  <si>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</si>
  <si>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</si>
  <si>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</si>
  <si>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</si>
  <si>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</si>
  <si>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</si>
  <si>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</si>
  <si>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</si>
  <si>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</si>
  <si>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</si>
  <si>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</si>
  <si>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</si>
  <si>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</si>
  <si>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</si>
  <si>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</si>
  <si>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</si>
  <si>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</si>
  <si>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</si>
  <si>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</si>
  <si>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</si>
  <si>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</si>
  <si>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</si>
  <si>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</si>
  <si>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</si>
  <si>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</si>
  <si>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</si>
  <si>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</si>
  <si>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</si>
  <si>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</si>
  <si>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</si>
  <si>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</si>
  <si>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</si>
  <si>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</si>
  <si>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</si>
  <si>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</si>
  <si>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</si>
  <si>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</si>
  <si>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</si>
  <si>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</si>
  <si>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</si>
  <si>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</si>
  <si>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</si>
  <si>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</si>
  <si>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</si>
  <si>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</si>
  <si>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</si>
  <si>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</si>
  <si>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</si>
  <si>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</si>
  <si>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</si>
  <si>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</si>
  <si>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</si>
  <si>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</si>
  <si>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</si>
  <si>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</si>
  <si>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</si>
  <si>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</si>
  <si>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</si>
  <si>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</si>
  <si>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</si>
  <si>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</si>
  <si>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</si>
  <si>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</si>
  <si>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</si>
  <si>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</si>
  <si>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</si>
  <si>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</si>
  <si>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</si>
  <si>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</si>
  <si>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</si>
  <si>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</si>
  <si>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</si>
  <si>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</si>
  <si>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</si>
  <si>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</si>
  <si>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</si>
  <si>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</si>
  <si>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</si>
  <si>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</si>
  <si>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</si>
  <si>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</si>
  <si>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</si>
  <si>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</si>
  <si>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</si>
  <si>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</si>
  <si>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</si>
  <si>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</si>
  <si>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</si>
  <si>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</si>
  <si>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</si>
  <si>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</si>
  <si>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</si>
  <si>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</si>
  <si>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</si>
  <si>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</si>
  <si>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</si>
  <si>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</si>
  <si>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</si>
  <si>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</si>
  <si>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</si>
  <si>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</si>
  <si>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</si>
  <si>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</si>
  <si>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</si>
  <si>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</si>
  <si>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</si>
  <si>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</si>
  <si>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</si>
  <si>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</si>
  <si>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</si>
  <si>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</si>
  <si>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</si>
  <si>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</si>
  <si>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</si>
  <si>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</si>
  <si>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</si>
  <si>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</si>
  <si>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</si>
  <si>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</si>
  <si>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</si>
  <si>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</si>
  <si>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</si>
  <si>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</si>
  <si>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</si>
  <si>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</si>
  <si>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</si>
  <si>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</si>
  <si>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</si>
  <si>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</si>
  <si>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</si>
  <si>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</si>
  <si>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</si>
  <si>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</si>
  <si>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</si>
  <si>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</si>
  <si>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</si>
  <si>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</si>
  <si>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</si>
  <si>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</si>
  <si>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</si>
  <si>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</si>
  <si>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</si>
  <si>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</si>
  <si>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</si>
  <si>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</si>
  <si>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</si>
  <si>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</si>
  <si>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</si>
  <si>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</si>
  <si>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</si>
  <si>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</si>
  <si>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</si>
  <si>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</si>
  <si>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</si>
  <si>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</si>
  <si>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</si>
  <si>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</si>
  <si>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</si>
  <si>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</si>
  <si>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</si>
  <si>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</si>
  <si>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</si>
  <si>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</si>
  <si>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</si>
  <si>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</si>
  <si>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</si>
  <si>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</si>
  <si>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</si>
  <si>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</si>
  <si>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</si>
  <si>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</si>
  <si>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</si>
  <si>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</si>
  <si>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</si>
  <si>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</si>
  <si>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</si>
  <si>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</si>
  <si>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</si>
  <si>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</si>
  <si>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</si>
  <si>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</si>
  <si>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</si>
  <si>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</si>
  <si>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</si>
  <si>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</si>
  <si>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</si>
  <si>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</si>
  <si>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</si>
  <si>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</si>
  <si>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</si>
  <si>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</si>
  <si>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</si>
  <si>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</si>
  <si>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</si>
  <si>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</si>
  <si>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</si>
  <si>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</si>
  <si>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</si>
  <si>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</si>
  <si>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</si>
  <si>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</si>
  <si>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</si>
  <si>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</si>
  <si>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</si>
  <si>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</si>
  <si>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</si>
  <si>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</si>
  <si>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</si>
  <si>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</si>
  <si>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</si>
  <si>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</si>
  <si>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</si>
  <si>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</si>
  <si>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</si>
  <si>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</si>
  <si>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</si>
  <si>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</si>
  <si>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</si>
  <si>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</si>
  <si>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</si>
  <si>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</si>
  <si>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</si>
  <si>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</si>
  <si>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</si>
  <si>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</si>
  <si>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</si>
  <si>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</si>
  <si>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</si>
  <si>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</si>
  <si>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</si>
  <si>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</si>
  <si>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</si>
  <si>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</si>
  <si>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</si>
  <si>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</si>
  <si>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</si>
  <si>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</si>
  <si>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</si>
  <si>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</si>
  <si>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</si>
  <si>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</si>
  <si>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</si>
  <si>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</si>
  <si>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</si>
  <si>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</si>
  <si>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</si>
  <si>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</si>
  <si>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</si>
  <si>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</si>
  <si>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</si>
  <si>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</si>
  <si>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</si>
  <si>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</si>
  <si>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</si>
  <si>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</si>
  <si>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</si>
  <si>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</si>
  <si>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</si>
  <si>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</si>
  <si>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</si>
  <si>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</si>
  <si>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</si>
  <si>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</si>
  <si>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</si>
  <si>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</si>
  <si>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</si>
  <si>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</si>
  <si>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</si>
  <si>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</si>
  <si>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</si>
  <si>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</si>
  <si>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</si>
  <si>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</si>
  <si>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</si>
  <si>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</si>
  <si>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</si>
  <si>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</si>
  <si>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</si>
  <si>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</si>
  <si>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</si>
  <si>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</si>
  <si>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</si>
  <si>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</si>
  <si>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</si>
  <si>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</si>
  <si>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</si>
  <si>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</si>
  <si>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</si>
  <si>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</si>
  <si>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</si>
  <si>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</si>
  <si>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</si>
  <si>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</si>
  <si>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</si>
  <si>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</si>
  <si>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</si>
  <si>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</si>
  <si>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</si>
  <si>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</si>
  <si>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</si>
  <si>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</si>
  <si>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</si>
  <si>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</si>
  <si>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</si>
  <si>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</si>
  <si>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</si>
  <si>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</si>
  <si>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</si>
  <si>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</si>
  <si>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</si>
  <si>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</si>
  <si>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</si>
  <si>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</si>
  <si>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</si>
  <si>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</si>
  <si>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</si>
  <si>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</si>
  <si>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</si>
  <si>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</si>
  <si>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</si>
  <si>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</si>
  <si>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</si>
  <si>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</si>
  <si>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</si>
  <si>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</si>
  <si>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</si>
  <si>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</si>
  <si>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</si>
  <si>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</si>
  <si>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</si>
  <si>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</si>
  <si>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</si>
  <si>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</si>
  <si>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</si>
  <si>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</si>
  <si>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</si>
  <si>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</si>
  <si>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</si>
  <si>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</si>
  <si>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</si>
  <si>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</si>
  <si>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</si>
  <si>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</si>
  <si>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</si>
  <si>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</si>
  <si>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</si>
  <si>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</si>
  <si>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</si>
  <si>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</si>
  <si>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</si>
  <si>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</si>
  <si>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</si>
  <si>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</si>
  <si>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</si>
  <si>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</si>
  <si>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</si>
  <si>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</si>
  <si>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</si>
  <si>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</si>
  <si>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</si>
  <si>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</si>
  <si>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</si>
  <si>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</si>
  <si>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</si>
  <si>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</si>
  <si>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</si>
  <si>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</si>
  <si>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</si>
  <si>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</si>
  <si>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</si>
  <si>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</si>
  <si>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</si>
  <si>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</si>
  <si>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</si>
  <si>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</si>
  <si>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</si>
  <si>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</si>
  <si>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</si>
  <si>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</si>
  <si>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</si>
  <si>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</si>
  <si>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</si>
  <si>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</si>
  <si>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</si>
  <si>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</si>
  <si>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</si>
  <si>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</si>
  <si>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</si>
  <si>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</si>
  <si>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</si>
  <si>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</si>
  <si>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</si>
  <si>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</si>
  <si>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</si>
  <si>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</si>
  <si>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</si>
  <si>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</si>
  <si>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</si>
  <si>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</si>
  <si>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</si>
  <si>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</si>
  <si>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</si>
  <si>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</si>
  <si>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</si>
  <si>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</si>
  <si>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</si>
  <si>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</si>
  <si>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</si>
  <si>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</si>
  <si>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</si>
  <si>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</si>
  <si>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</si>
  <si>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</si>
  <si>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</si>
  <si>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</si>
  <si>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</si>
  <si>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</si>
  <si>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</si>
  <si>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</si>
  <si>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</si>
  <si>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</si>
  <si>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</si>
  <si>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</si>
  <si>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</si>
  <si>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</si>
  <si>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</si>
  <si>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</si>
  <si>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</si>
  <si>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</si>
  <si>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</si>
  <si>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</si>
  <si>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</si>
  <si>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</si>
  <si>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</si>
  <si>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</si>
  <si>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</si>
  <si>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</si>
  <si>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</si>
  <si>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</si>
  <si>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</si>
  <si>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</si>
  <si>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</si>
  <si>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</si>
  <si>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</si>
  <si>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</si>
  <si>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</si>
  <si>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</si>
  <si>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</si>
  <si>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</si>
  <si>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</si>
  <si>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</si>
  <si>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</si>
  <si>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</si>
  <si>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</si>
  <si>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</si>
  <si>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</si>
  <si>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</si>
  <si>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</si>
  <si>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</si>
  <si>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</si>
  <si>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</si>
  <si>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</si>
  <si>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</si>
  <si>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</si>
  <si>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</si>
  <si>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</si>
  <si>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</si>
  <si>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</si>
  <si>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</si>
  <si>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</si>
  <si>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</si>
  <si>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</si>
  <si>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</si>
  <si>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</si>
  <si>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</si>
  <si>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</si>
  <si>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</si>
  <si>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</si>
  <si>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</si>
  <si>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</si>
  <si>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</si>
  <si>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</si>
  <si>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</si>
  <si>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</si>
  <si>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</si>
  <si>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</si>
  <si>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</si>
  <si>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</si>
  <si>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</si>
  <si>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</si>
  <si>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</si>
  <si>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</si>
  <si>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</si>
  <si>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</si>
  <si>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</si>
  <si>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</si>
  <si>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</si>
  <si>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</si>
  <si>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</si>
  <si>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</si>
  <si>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</si>
  <si>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</si>
  <si>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</si>
  <si>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</si>
  <si>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</si>
  <si>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</si>
  <si>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</si>
  <si>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</si>
  <si>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</si>
  <si>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</si>
  <si>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</si>
  <si>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</si>
  <si>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</si>
  <si>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</si>
  <si>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</si>
  <si>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</si>
  <si>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</si>
  <si>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</si>
  <si>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</si>
  <si>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</si>
  <si>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</si>
  <si>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</si>
  <si>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</si>
  <si>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</si>
  <si>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</si>
  <si>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</si>
  <si>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</si>
  <si>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</si>
  <si>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</si>
  <si>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</si>
  <si>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</si>
  <si>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</si>
  <si>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</si>
  <si>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</si>
  <si>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</si>
  <si>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</si>
  <si>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</si>
  <si>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</si>
  <si>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</si>
  <si>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</si>
  <si>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</si>
  <si>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</si>
  <si>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</si>
  <si>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</si>
  <si>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</si>
  <si>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</si>
  <si>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</si>
  <si>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</si>
  <si>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</si>
  <si>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</si>
  <si>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</si>
  <si>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</si>
  <si>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</si>
  <si>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</si>
  <si>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</si>
  <si>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</si>
  <si>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</si>
  <si>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</si>
  <si>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</si>
  <si>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</si>
  <si>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</si>
  <si>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</si>
  <si>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</si>
  <si>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</si>
  <si>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</si>
  <si>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</si>
  <si>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</si>
  <si>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</si>
  <si>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</si>
  <si>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</si>
  <si>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</si>
  <si>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</si>
  <si>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</si>
  <si>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</si>
  <si>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</si>
  <si>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</si>
  <si>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</si>
  <si>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</si>
  <si>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</si>
  <si>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</si>
  <si>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</si>
  <si>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</si>
  <si>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</si>
  <si>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</si>
  <si>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</si>
  <si>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</si>
  <si>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</si>
  <si>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</si>
  <si>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</si>
  <si>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</si>
  <si>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</si>
  <si>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</si>
  <si>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</si>
  <si>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</si>
  <si>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</si>
  <si>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</si>
  <si>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</si>
  <si>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</si>
  <si>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</si>
  <si>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</si>
  <si>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</si>
  <si>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</si>
  <si>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</si>
  <si>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</si>
  <si>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</si>
  <si>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</si>
  <si>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</si>
  <si>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</si>
  <si>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</si>
  <si>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</si>
  <si>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</si>
  <si>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</si>
  <si>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</si>
  <si>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</si>
  <si>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</si>
  <si>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</si>
  <si>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</si>
  <si>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</si>
  <si>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</si>
  <si>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</si>
  <si>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</si>
  <si>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</si>
  <si>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</si>
  <si>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</si>
  <si>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</si>
  <si>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</si>
  <si>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</si>
  <si>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</si>
  <si>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</si>
  <si>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</si>
  <si>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</si>
  <si>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</si>
  <si>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</si>
  <si>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</si>
  <si>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</si>
  <si>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</si>
  <si>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</si>
  <si>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</si>
  <si>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</si>
  <si>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</si>
  <si>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</si>
  <si>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</si>
  <si>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</si>
  <si>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</si>
  <si>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</si>
  <si>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</si>
  <si>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</si>
  <si>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</si>
  <si>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</si>
  <si>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</si>
  <si>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</si>
  <si>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</si>
  <si>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</si>
  <si>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</si>
  <si>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</si>
  <si>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</si>
  <si>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</si>
  <si>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</si>
  <si>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</si>
  <si>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</si>
  <si>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</si>
  <si>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</si>
  <si>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</si>
  <si>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</si>
  <si>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</si>
  <si>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</si>
  <si>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</si>
  <si>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</si>
  <si>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</si>
  <si>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</si>
  <si>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</si>
  <si>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</si>
  <si>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</si>
  <si>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</si>
  <si>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</si>
  <si>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</si>
  <si>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</si>
  <si>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</si>
  <si>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</si>
  <si>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</si>
  <si>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</si>
  <si>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</si>
  <si>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</si>
  <si>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</si>
  <si>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</si>
  <si>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</si>
  <si>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</si>
  <si>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</si>
  <si>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</si>
  <si>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</si>
  <si>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</si>
  <si>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</si>
  <si>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</si>
  <si>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</si>
  <si>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</si>
  <si>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</si>
  <si>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</si>
  <si>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</si>
  <si>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</si>
  <si>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</si>
  <si>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</si>
  <si>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</si>
  <si>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</si>
  <si>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</si>
  <si>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</si>
  <si>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</si>
  <si>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</si>
  <si>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</si>
  <si>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</si>
  <si>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</si>
  <si>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</si>
  <si>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</si>
  <si>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</si>
  <si>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</si>
  <si>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</si>
  <si>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</si>
  <si>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</si>
  <si>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</si>
  <si>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</si>
  <si>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</si>
  <si>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</si>
  <si>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</si>
  <si>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</si>
  <si>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</si>
  <si>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</si>
  <si>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</si>
  <si>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</si>
  <si>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</si>
  <si>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</si>
  <si>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</si>
  <si>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</si>
  <si>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</si>
  <si>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</si>
  <si>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</si>
  <si>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</si>
  <si>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</si>
  <si>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</si>
  <si>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</si>
  <si>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</si>
  <si>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</si>
  <si>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</si>
  <si>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</si>
  <si>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</si>
  <si>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</si>
  <si>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</si>
  <si>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</si>
  <si>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</si>
  <si>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</si>
  <si>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</si>
  <si>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</si>
  <si>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</si>
  <si>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</si>
  <si>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</si>
  <si>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</si>
  <si>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</si>
  <si>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</si>
  <si>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</si>
  <si>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</si>
  <si>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</si>
  <si>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</si>
  <si>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</si>
  <si>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</si>
  <si>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</si>
  <si>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</si>
  <si>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</si>
  <si>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</si>
  <si>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</si>
  <si>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</si>
  <si>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</si>
  <si>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</si>
  <si>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</si>
  <si>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</si>
  <si>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</si>
  <si>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</si>
  <si>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</si>
  <si>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</si>
  <si>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</si>
  <si>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</si>
  <si>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</si>
  <si>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</si>
  <si>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</si>
  <si>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</si>
  <si>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</si>
  <si>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</si>
  <si>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</si>
  <si>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</si>
  <si>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</si>
  <si>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</si>
  <si>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</si>
  <si>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</si>
  <si>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</si>
  <si>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</si>
  <si>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</si>
  <si>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</si>
  <si>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</si>
  <si>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</si>
  <si>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</si>
  <si>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</si>
  <si>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</si>
  <si>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</si>
  <si>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</si>
  <si>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</si>
  <si>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</si>
  <si>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</si>
  <si>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</si>
  <si>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</si>
  <si>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</si>
  <si>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</si>
  <si>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</si>
  <si>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</si>
  <si>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</si>
  <si>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</si>
  <si>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</si>
  <si>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</si>
  <si>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</si>
  <si>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</si>
  <si>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</si>
  <si>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</si>
  <si>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</si>
  <si>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</si>
  <si>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</si>
  <si>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</si>
  <si>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</si>
  <si>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</si>
  <si>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</si>
  <si>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</si>
  <si>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</si>
  <si>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</si>
  <si>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</si>
  <si>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</si>
  <si>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</si>
  <si>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</si>
  <si>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</si>
  <si>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</si>
  <si>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</si>
  <si>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</si>
  <si>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</si>
  <si>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</si>
  <si>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</si>
  <si>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</si>
  <si>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</si>
  <si>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</si>
  <si>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</si>
  <si>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</si>
  <si>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</si>
  <si>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</si>
  <si>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</si>
  <si>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</si>
  <si>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</si>
  <si>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</si>
  <si>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</si>
  <si>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</si>
  <si>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</si>
  <si>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</si>
  <si>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</si>
  <si>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</si>
  <si>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</si>
  <si>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</si>
  <si>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</si>
  <si>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</si>
  <si>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</si>
  <si>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</si>
  <si>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</si>
  <si>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</si>
  <si>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</si>
  <si>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</si>
  <si>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</si>
  <si>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</si>
  <si>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</si>
  <si>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</si>
  <si>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</si>
  <si>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</si>
  <si>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</si>
  <si>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</si>
  <si>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</si>
  <si>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</si>
  <si>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</si>
  <si>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</si>
  <si>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</si>
  <si>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</si>
  <si>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</si>
  <si>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</si>
  <si>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</si>
  <si>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</si>
  <si>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</si>
  <si>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</si>
  <si>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</si>
  <si>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</si>
  <si>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</si>
  <si>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</si>
  <si>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</si>
  <si>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</si>
  <si>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</si>
  <si>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</si>
  <si>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</si>
  <si>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</si>
  <si>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</si>
  <si>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</si>
  <si>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</si>
  <si>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</si>
  <si>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</si>
  <si>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</si>
  <si>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</si>
  <si>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</si>
  <si>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</si>
  <si>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</si>
  <si>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</si>
  <si>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</si>
  <si>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</si>
  <si>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</si>
  <si>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</si>
  <si>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</si>
  <si>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</si>
  <si>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</si>
  <si>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</si>
  <si>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</si>
  <si>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</si>
  <si>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</si>
  <si>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</si>
  <si>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</si>
  <si>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</si>
  <si>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</si>
  <si>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</si>
  <si>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</si>
  <si>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</si>
  <si>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</si>
  <si>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</si>
  <si>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</si>
  <si>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</si>
  <si>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</si>
  <si>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</si>
  <si>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</si>
  <si>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</si>
  <si>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</si>
  <si>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</si>
  <si>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</si>
  <si>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</si>
  <si>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</si>
  <si>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</si>
  <si>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</si>
  <si>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</si>
  <si>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</si>
  <si>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</si>
  <si>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</si>
  <si>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</si>
  <si>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</si>
  <si>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</si>
  <si>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</si>
  <si>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</si>
  <si>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</si>
  <si>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</si>
  <si>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</si>
  <si>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</si>
  <si>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</si>
  <si>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</si>
  <si>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</si>
  <si>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</si>
  <si>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</si>
  <si>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</si>
  <si>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</si>
  <si>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</si>
  <si>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</si>
  <si>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</si>
  <si>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</si>
  <si>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</si>
  <si>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</si>
  <si>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</si>
  <si>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</si>
  <si>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</si>
  <si>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</si>
  <si>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</si>
  <si>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</si>
  <si>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</si>
  <si>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</si>
  <si>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</si>
  <si>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</si>
  <si>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</si>
  <si>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</si>
  <si>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</si>
  <si>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</si>
  <si>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</si>
  <si>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</si>
  <si>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</si>
  <si>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</si>
  <si>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</si>
  <si>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</si>
  <si>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</si>
  <si>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</si>
  <si>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</si>
  <si>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</si>
  <si>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</si>
  <si>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</si>
  <si>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</si>
  <si>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</si>
  <si>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</si>
  <si>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</si>
  <si>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</si>
  <si>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</si>
  <si>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</si>
  <si>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</si>
  <si>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</si>
  <si>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</si>
  <si>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</si>
  <si>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</si>
  <si>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</si>
  <si>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</si>
  <si>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</si>
  <si>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</si>
  <si>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</si>
  <si>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</si>
  <si>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</si>
  <si>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</si>
  <si>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</si>
  <si>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</si>
  <si>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</si>
  <si>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</si>
  <si>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</si>
  <si>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</si>
  <si>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</si>
  <si>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</si>
  <si>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</si>
  <si>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</si>
  <si>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</si>
  <si>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</si>
  <si>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</si>
  <si>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</si>
  <si>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</si>
  <si>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</si>
  <si>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</si>
  <si>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</si>
  <si>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</si>
  <si>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</si>
  <si>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</si>
  <si>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</si>
  <si>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</si>
  <si>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</si>
  <si>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</si>
  <si>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</si>
  <si>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</si>
  <si>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</si>
  <si>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</si>
  <si>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</si>
  <si>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</si>
  <si>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</si>
  <si>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</si>
  <si>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</si>
  <si>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</si>
  <si>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</si>
  <si>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</si>
  <si>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</si>
  <si>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</si>
  <si>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</si>
  <si>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</si>
  <si>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</si>
  <si>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</si>
  <si>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</si>
  <si>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</si>
  <si>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</si>
  <si>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</si>
  <si>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</si>
  <si>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</si>
  <si>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</si>
  <si>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</si>
  <si>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</si>
  <si>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</si>
  <si>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</si>
  <si>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</si>
  <si>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</si>
  <si>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</si>
  <si>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</si>
  <si>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</si>
  <si>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</si>
  <si>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</si>
  <si>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</si>
  <si>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</si>
  <si>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</si>
  <si>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</si>
  <si>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</si>
  <si>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</si>
  <si>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</si>
  <si>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</si>
  <si>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</si>
  <si>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</si>
  <si>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</si>
  <si>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</si>
  <si>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</si>
  <si>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</si>
  <si>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</si>
  <si>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</si>
  <si>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</si>
  <si>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</si>
  <si>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</si>
  <si>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</si>
  <si>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</si>
  <si>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</si>
  <si>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</si>
  <si>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</si>
  <si>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</si>
  <si>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</si>
  <si>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</si>
  <si>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</si>
  <si>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</si>
  <si>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</si>
  <si>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</si>
  <si>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</si>
  <si>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</si>
  <si>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</si>
  <si>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</si>
  <si>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</si>
  <si>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</si>
  <si>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</si>
  <si>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</si>
  <si>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</si>
  <si>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</si>
  <si>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</si>
  <si>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</si>
  <si>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</si>
  <si>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</si>
  <si>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</si>
  <si>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</si>
  <si>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</si>
  <si>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</si>
  <si>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</si>
  <si>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</si>
  <si>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</si>
  <si>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</si>
  <si>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</si>
  <si>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</si>
  <si>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</si>
  <si>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</si>
  <si>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</si>
  <si>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</si>
  <si>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</si>
  <si>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</si>
  <si>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</si>
  <si>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</si>
  <si>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</si>
  <si>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</si>
  <si>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</si>
  <si>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</si>
  <si>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</si>
  <si>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</si>
  <si>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</si>
  <si>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</si>
  <si>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</si>
  <si>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</si>
  <si>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</si>
  <si>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</si>
  <si>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</si>
  <si>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</si>
  <si>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</si>
  <si>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</si>
  <si>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</si>
  <si>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</si>
  <si>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</si>
  <si>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</si>
  <si>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</si>
  <si>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</si>
  <si>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</si>
  <si>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</si>
  <si>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</si>
  <si>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</si>
  <si>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</si>
  <si>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</si>
  <si>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</si>
  <si>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</si>
  <si>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</si>
  <si>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</si>
  <si>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</si>
  <si>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</si>
  <si>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</si>
  <si>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</si>
  <si>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</si>
  <si>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</si>
  <si>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</si>
  <si>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</si>
  <si>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</si>
  <si>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</si>
  <si>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</si>
  <si>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</si>
  <si>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</si>
  <si>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</si>
  <si>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</si>
  <si>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</si>
  <si>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</si>
  <si>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</si>
  <si>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</si>
  <si>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</si>
  <si>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</si>
  <si>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</si>
  <si>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</si>
  <si>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</si>
  <si>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</si>
  <si>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</si>
  <si>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</si>
  <si>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</si>
  <si>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</si>
  <si>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</si>
  <si>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</si>
  <si>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</si>
  <si>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</si>
  <si>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</si>
  <si>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</si>
  <si>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</si>
  <si>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</si>
  <si>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</si>
  <si>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</si>
  <si>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</si>
  <si>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</si>
  <si>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</si>
  <si>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</si>
  <si>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</si>
  <si>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</si>
  <si>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</si>
  <si>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</si>
  <si>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</si>
  <si>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</si>
  <si>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</si>
  <si>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</si>
  <si>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</si>
  <si>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</si>
  <si>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</si>
  <si>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</si>
  <si>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</si>
  <si>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</si>
  <si>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</si>
  <si>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</si>
  <si>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</si>
  <si>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</si>
  <si>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</si>
  <si>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</si>
  <si>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</si>
  <si>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</si>
  <si>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</si>
  <si>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</si>
  <si>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</si>
  <si>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</si>
  <si>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</si>
  <si>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</si>
  <si>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</si>
  <si>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</si>
  <si>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</si>
  <si>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</si>
  <si>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</si>
  <si>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</si>
  <si>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</si>
  <si>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</si>
  <si>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</si>
  <si>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</si>
  <si>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</si>
  <si>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</si>
  <si>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</si>
  <si>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</si>
  <si>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</si>
  <si>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</si>
  <si>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</si>
  <si>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</si>
  <si>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</si>
  <si>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</si>
  <si>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</si>
  <si>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</si>
  <si>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</si>
  <si>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</si>
  <si>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</si>
  <si>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</si>
  <si>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</si>
  <si>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</si>
  <si>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</si>
  <si>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</si>
  <si>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</si>
  <si>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</si>
  <si>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</si>
  <si>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</si>
  <si>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</si>
  <si>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</si>
  <si>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</si>
  <si>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</si>
  <si>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</si>
  <si>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</si>
  <si>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</si>
  <si>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</si>
  <si>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</si>
  <si>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</si>
  <si>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</si>
  <si>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</si>
  <si>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</si>
  <si>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</si>
  <si>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</si>
  <si>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</si>
  <si>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</si>
  <si>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</si>
  <si>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</si>
  <si>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</si>
  <si>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</si>
  <si>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</si>
  <si>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</si>
  <si>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</si>
  <si>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</si>
  <si>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</si>
  <si>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</si>
  <si>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</si>
  <si>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</si>
  <si>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</si>
  <si>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</si>
  <si>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</si>
  <si>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</si>
  <si>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</si>
  <si>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</si>
  <si>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</si>
  <si>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</si>
  <si>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</si>
  <si>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</si>
  <si>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</si>
  <si>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</si>
  <si>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</si>
  <si>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</si>
  <si>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</si>
  <si>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</si>
  <si>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</si>
  <si>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</si>
  <si>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</si>
  <si>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</si>
  <si>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</si>
  <si>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</si>
  <si>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</si>
  <si>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</si>
  <si>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</si>
  <si>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</si>
  <si>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</si>
  <si>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</si>
  <si>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</si>
  <si>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</si>
  <si>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</si>
  <si>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</si>
  <si>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</si>
  <si>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</si>
  <si>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</si>
  <si>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</si>
  <si>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</si>
  <si>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</si>
  <si>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</si>
  <si>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</si>
  <si>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</si>
  <si>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</si>
  <si>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</si>
  <si>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</si>
  <si>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</si>
  <si>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</si>
  <si>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</si>
  <si>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</si>
  <si>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</si>
  <si>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</si>
  <si>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</si>
  <si>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</si>
  <si>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</si>
  <si>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</si>
  <si>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</si>
  <si>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</si>
  <si>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</si>
  <si>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</si>
  <si>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</si>
  <si>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</si>
  <si>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</si>
  <si>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</si>
  <si>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</si>
  <si>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</si>
  <si>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</si>
  <si>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</si>
  <si>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</si>
  <si>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</si>
  <si>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</si>
  <si>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</si>
  <si>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</si>
  <si>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</si>
  <si>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</si>
  <si>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</si>
  <si>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</si>
  <si>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</si>
  <si>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</si>
  <si>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</si>
  <si>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</si>
  <si>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</si>
  <si>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</si>
  <si>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</si>
  <si>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</si>
  <si>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</si>
  <si>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</si>
  <si>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</si>
  <si>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</si>
  <si>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</si>
  <si>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</si>
  <si>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</si>
  <si>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</si>
  <si>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</si>
  <si>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</si>
  <si>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</si>
  <si>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</si>
  <si>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</si>
  <si>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</si>
  <si>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</si>
  <si>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</si>
  <si>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</si>
  <si>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</si>
  <si>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</si>
  <si>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</si>
  <si>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</si>
  <si>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</si>
  <si>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</si>
  <si>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</si>
  <si>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</si>
  <si>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</si>
  <si>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</si>
  <si>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</si>
  <si>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</si>
  <si>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</si>
  <si>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</si>
  <si>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</si>
  <si>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</si>
  <si>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</si>
  <si>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</si>
  <si>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</si>
  <si>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</si>
  <si>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</si>
  <si>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</si>
  <si>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</si>
  <si>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</si>
  <si>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</si>
  <si>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</si>
  <si>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</si>
  <si>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</si>
  <si>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</si>
  <si>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</si>
  <si>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</si>
  <si>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</si>
  <si>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</si>
  <si>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</si>
  <si>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</si>
  <si>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</si>
  <si>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</si>
  <si>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</si>
  <si>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</si>
  <si>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</si>
  <si>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</si>
  <si>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</si>
  <si>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</si>
  <si>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</si>
  <si>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</si>
  <si>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</si>
  <si>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</si>
  <si>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</si>
  <si>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</si>
  <si>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</si>
  <si>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</si>
  <si>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</si>
  <si>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</si>
  <si>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</si>
  <si>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</si>
  <si>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</si>
  <si>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</si>
  <si>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</si>
  <si>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</si>
  <si>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</si>
  <si>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</si>
  <si>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</si>
  <si>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</si>
  <si>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</si>
  <si>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</si>
  <si>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</si>
  <si>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</si>
  <si>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</si>
  <si>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</si>
  <si>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</si>
  <si>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</si>
  <si>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</si>
  <si>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</si>
  <si>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</si>
  <si>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</si>
  <si>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</si>
  <si>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</si>
  <si>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</si>
  <si>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</si>
  <si>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</si>
  <si>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</si>
  <si>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</si>
  <si>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</si>
  <si>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</si>
  <si>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</si>
  <si>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</si>
  <si>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</si>
  <si>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</si>
  <si>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</si>
  <si>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</si>
  <si>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</si>
  <si>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</si>
  <si>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</si>
  <si>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</si>
  <si>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</si>
  <si>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</si>
  <si>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</si>
  <si>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</si>
  <si>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</si>
  <si>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</si>
  <si>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</si>
  <si>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</si>
  <si>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</si>
  <si>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</si>
  <si>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</si>
  <si>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</si>
  <si>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</si>
  <si>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</si>
  <si>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</si>
  <si>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</si>
  <si>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</si>
  <si>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</si>
  <si>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</si>
  <si>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</si>
  <si>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</si>
  <si>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</si>
  <si>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</si>
  <si>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</si>
  <si>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</si>
  <si>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</si>
  <si>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</si>
  <si>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</si>
  <si>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</si>
  <si>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</si>
  <si>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</si>
  <si>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</si>
  <si>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</si>
  <si>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</si>
  <si>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</si>
  <si>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</si>
  <si>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</si>
  <si>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</si>
  <si>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</si>
  <si>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</si>
  <si>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</si>
  <si>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</si>
  <si>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</si>
  <si>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</si>
  <si>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</si>
  <si>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</si>
  <si>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</si>
  <si>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</si>
  <si>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</si>
  <si>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</si>
  <si>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</si>
  <si>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</si>
  <si>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</si>
  <si>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</si>
  <si>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</si>
  <si>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</si>
  <si>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</si>
  <si>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</si>
  <si>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</si>
  <si>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</si>
  <si>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</si>
  <si>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</si>
  <si>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</si>
  <si>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</si>
  <si>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</si>
  <si>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</si>
  <si>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</si>
  <si>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</si>
  <si>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</si>
  <si>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</si>
  <si>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</si>
  <si>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</si>
  <si>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</si>
  <si>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</si>
  <si>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</si>
  <si>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</si>
  <si>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</si>
  <si>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</si>
  <si>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</si>
  <si>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</si>
  <si>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</si>
  <si>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</si>
  <si>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</si>
  <si>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</si>
  <si>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</si>
  <si>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</si>
  <si>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</si>
  <si>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</si>
  <si>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</si>
  <si>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</si>
  <si>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</si>
  <si>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</si>
  <si>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</si>
  <si>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</si>
  <si>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</si>
  <si>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</si>
  <si>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</si>
  <si>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</si>
  <si>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</si>
  <si>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</si>
  <si>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</si>
  <si>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</si>
  <si>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</si>
  <si>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</si>
  <si>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</si>
  <si>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</si>
  <si>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</si>
  <si>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</si>
  <si>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</si>
  <si>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</si>
  <si>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</si>
  <si>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</si>
  <si>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</si>
  <si>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</si>
  <si>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</si>
  <si>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</si>
  <si>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</si>
  <si>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</si>
  <si>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</si>
  <si>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</si>
  <si>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</si>
  <si>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</si>
  <si>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</si>
  <si>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</si>
  <si>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</si>
  <si>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</si>
  <si>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</si>
  <si>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</si>
  <si>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</si>
  <si>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</si>
  <si>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</si>
  <si>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</si>
  <si>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</si>
  <si>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</si>
  <si>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</si>
  <si>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</si>
  <si>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</si>
  <si>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</si>
  <si>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</si>
  <si>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</si>
  <si>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</si>
  <si>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</si>
  <si>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</si>
  <si>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</si>
  <si>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</si>
  <si>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</si>
  <si>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</si>
  <si>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</si>
  <si>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</si>
  <si>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</si>
  <si>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</si>
  <si>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</si>
  <si>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</si>
  <si>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</si>
  <si>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</si>
  <si>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</si>
  <si>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</si>
  <si>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</si>
  <si>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</si>
  <si>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</si>
  <si>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</si>
  <si>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</si>
  <si>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</si>
  <si>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</si>
  <si>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</si>
  <si>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</si>
  <si>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</si>
  <si>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</si>
  <si>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</si>
  <si>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</si>
  <si>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</si>
  <si>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</si>
  <si>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</si>
  <si>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</si>
  <si>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</si>
  <si>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</si>
  <si>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</si>
  <si>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</si>
  <si>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</si>
  <si>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</si>
  <si>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</si>
  <si>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</si>
  <si>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</si>
  <si>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</si>
  <si>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</si>
  <si>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</si>
  <si>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</si>
  <si>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</si>
  <si>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</si>
  <si>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</si>
  <si>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</si>
  <si>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</si>
  <si>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</si>
  <si>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</si>
  <si>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</si>
  <si>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</si>
  <si>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</si>
  <si>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</si>
  <si>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</si>
  <si>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</si>
  <si>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</si>
  <si>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</si>
  <si>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</si>
  <si>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</si>
  <si>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</si>
  <si>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</si>
  <si>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</si>
  <si>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</si>
  <si>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</si>
  <si>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</si>
  <si>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</si>
  <si>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</si>
  <si>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</si>
  <si>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</si>
  <si>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</si>
  <si>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</si>
  <si>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</si>
  <si>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</si>
  <si>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</si>
  <si>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</si>
  <si>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</si>
  <si>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</si>
  <si>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</si>
  <si>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</si>
  <si>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</si>
  <si>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</si>
  <si>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</si>
  <si>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</si>
  <si>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</si>
  <si>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</si>
  <si>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</si>
  <si>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</si>
  <si>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</si>
  <si>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</si>
  <si>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</si>
  <si>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</si>
  <si>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</si>
  <si>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</si>
  <si>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</si>
  <si>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</si>
  <si>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</si>
  <si>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</si>
  <si>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</si>
  <si>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</si>
  <si>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</si>
  <si>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</si>
  <si>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</si>
  <si>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</si>
  <si>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</si>
  <si>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</si>
  <si>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</si>
  <si>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</si>
  <si>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</si>
  <si>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</si>
  <si>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</si>
  <si>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</si>
  <si>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</si>
  <si>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</si>
  <si>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</si>
  <si>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</si>
  <si>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</si>
  <si>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</si>
  <si>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</si>
  <si>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</si>
  <si>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</si>
  <si>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</si>
  <si>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</si>
  <si>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</si>
  <si>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</si>
  <si>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</si>
  <si>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</si>
  <si>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</si>
  <si>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</si>
  <si>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</si>
  <si>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</si>
  <si>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</si>
  <si>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</si>
  <si>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</si>
  <si>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</si>
  <si>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</si>
  <si>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</si>
  <si>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</si>
  <si>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</si>
  <si>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</si>
  <si>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</si>
  <si>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</si>
  <si>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</si>
  <si>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</si>
  <si>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</si>
  <si>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</si>
  <si>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</si>
  <si>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</si>
  <si>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</si>
  <si>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</si>
  <si>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</si>
  <si>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</si>
  <si>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</si>
  <si>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</si>
  <si>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</si>
  <si>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</si>
  <si>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</si>
  <si>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</si>
  <si>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</si>
  <si>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</si>
  <si>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</si>
  <si>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</si>
  <si>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</si>
  <si>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</si>
  <si>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</si>
  <si>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</si>
  <si>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</si>
  <si>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</si>
  <si>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</si>
  <si>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</si>
  <si>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</si>
  <si>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</si>
  <si>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</si>
  <si>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</si>
  <si>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</si>
  <si>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</si>
  <si>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</si>
  <si>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</si>
  <si>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</si>
  <si>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</si>
  <si>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</si>
  <si>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</si>
  <si>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</si>
  <si>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</si>
  <si>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</si>
  <si>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</si>
  <si>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</si>
  <si>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</si>
  <si>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</si>
  <si>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</si>
  <si>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</si>
  <si>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</si>
  <si>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</si>
  <si>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</si>
  <si>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</si>
  <si>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</si>
  <si>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</si>
  <si>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</si>
  <si>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</si>
  <si>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</si>
  <si>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</si>
  <si>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</si>
  <si>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</si>
  <si>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</si>
  <si>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</si>
  <si>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</si>
  <si>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</si>
  <si>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</si>
  <si>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</si>
  <si>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</si>
  <si>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</si>
  <si>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</si>
  <si>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</si>
  <si>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</si>
  <si>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</si>
  <si>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</si>
  <si>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</si>
  <si>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</si>
  <si>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</si>
  <si>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</si>
  <si>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</si>
  <si>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</si>
  <si>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</si>
  <si>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</si>
  <si>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</si>
  <si>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</si>
  <si>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</si>
  <si>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</si>
  <si>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</si>
  <si>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</si>
  <si>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</si>
  <si>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</si>
  <si>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</si>
  <si>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</si>
  <si>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</si>
  <si>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</si>
  <si>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</si>
  <si>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</si>
  <si>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</si>
  <si>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</si>
  <si>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</si>
  <si>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</si>
  <si>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</si>
  <si>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</si>
  <si>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</si>
  <si>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</si>
  <si>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</si>
  <si>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</si>
  <si>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</si>
  <si>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</si>
  <si>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</si>
  <si>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</si>
  <si>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</si>
  <si>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</si>
  <si>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</si>
  <si>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</si>
  <si>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</si>
  <si>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</si>
  <si>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</si>
  <si>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</si>
  <si>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</si>
  <si>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</si>
  <si>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</si>
  <si>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</si>
  <si>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</si>
  <si>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</si>
  <si>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</si>
  <si>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</si>
  <si>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</si>
  <si>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</si>
  <si>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</si>
  <si>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</si>
  <si>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</si>
  <si>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</si>
  <si>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</si>
  <si>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</si>
  <si>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</si>
  <si>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</si>
  <si>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</si>
  <si>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</si>
  <si>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</si>
  <si>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</si>
  <si>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</si>
  <si>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</si>
  <si>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</si>
  <si>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</si>
  <si>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</si>
  <si>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</si>
  <si>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</si>
  <si>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</si>
  <si>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</si>
  <si>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</si>
  <si>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</si>
  <si>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</si>
  <si>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</si>
  <si>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</si>
  <si>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</si>
  <si>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</si>
  <si>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</si>
  <si>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</si>
  <si>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</si>
  <si>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</si>
  <si>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</si>
  <si>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</si>
  <si>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</si>
  <si>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</si>
  <si>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</si>
  <si>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</si>
  <si>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</si>
  <si>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</si>
  <si>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</si>
  <si>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</si>
  <si>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</si>
  <si>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</si>
  <si>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</si>
  <si>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</si>
  <si>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</si>
  <si>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</si>
  <si>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</si>
  <si>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</si>
  <si>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</si>
  <si>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</si>
  <si>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</si>
  <si>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</si>
  <si>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</si>
  <si>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</si>
  <si>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</si>
  <si>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</si>
  <si>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</si>
  <si>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</si>
  <si>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</si>
  <si>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</si>
  <si>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</si>
  <si>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</si>
  <si>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</si>
  <si>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</si>
  <si>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</si>
  <si>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</si>
  <si>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</si>
  <si>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</si>
  <si>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</si>
  <si>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</si>
  <si>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</si>
  <si>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</si>
  <si>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</si>
  <si>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</si>
  <si>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</si>
  <si>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</si>
  <si>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</si>
  <si>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</si>
  <si>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</si>
  <si>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</si>
  <si>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</si>
  <si>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</si>
  <si>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</si>
  <si>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</si>
  <si>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</si>
  <si>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</si>
  <si>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</si>
  <si>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</si>
  <si>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</si>
  <si>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</si>
  <si>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</si>
  <si>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</si>
  <si>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</si>
  <si>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</si>
  <si>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</si>
  <si>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</si>
  <si>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</si>
  <si>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</si>
  <si>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</si>
  <si>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</si>
  <si>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</si>
  <si>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</si>
  <si>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</si>
  <si>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</si>
  <si>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</si>
  <si>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</si>
  <si>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</si>
  <si>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</si>
  <si>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</si>
  <si>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</si>
  <si>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</si>
  <si>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</si>
  <si>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</si>
  <si>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</si>
  <si>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</si>
  <si>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</si>
  <si>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</si>
  <si>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</si>
  <si>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</si>
  <si>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</si>
  <si>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</si>
  <si>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</si>
  <si>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</si>
  <si>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</si>
  <si>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</si>
  <si>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</si>
  <si>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</si>
  <si>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</si>
  <si>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</si>
  <si>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</si>
  <si>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</si>
  <si>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</si>
  <si>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</si>
  <si>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</si>
  <si>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</si>
  <si>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</si>
  <si>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</si>
  <si>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</si>
  <si>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</si>
  <si>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</si>
  <si>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</si>
  <si>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</si>
  <si>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</si>
  <si>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</si>
  <si>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</si>
  <si>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</si>
  <si>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</si>
  <si>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</si>
  <si>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</si>
  <si>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</si>
  <si>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</si>
  <si>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</si>
  <si>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</si>
  <si>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</si>
  <si>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</si>
  <si>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</si>
  <si>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</si>
  <si>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</si>
  <si>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</si>
  <si>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</si>
  <si>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</si>
  <si>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</si>
  <si>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</si>
  <si>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</si>
  <si>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</si>
  <si>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</si>
  <si>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</si>
  <si>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</si>
  <si>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</si>
  <si>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</si>
  <si>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</si>
  <si>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</si>
  <si>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</si>
  <si>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</si>
  <si>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</si>
  <si>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</si>
  <si>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</si>
  <si>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</si>
  <si>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</si>
  <si>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</si>
  <si>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</si>
  <si>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</si>
  <si>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</si>
  <si>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</si>
  <si>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</si>
  <si>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</si>
  <si>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</si>
  <si>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</si>
  <si>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</si>
  <si>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</si>
  <si>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</si>
  <si>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</si>
  <si>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</si>
  <si>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</si>
  <si>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</si>
  <si>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</si>
  <si>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</si>
  <si>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</si>
  <si>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</si>
  <si>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</si>
  <si>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</si>
  <si>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</si>
  <si>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</si>
  <si>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</si>
  <si>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</si>
  <si>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</si>
  <si>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</si>
  <si>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</si>
  <si>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</si>
  <si>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</si>
  <si>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</si>
  <si>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</si>
  <si>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</si>
  <si>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</si>
  <si>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</si>
  <si>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</si>
  <si>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</si>
  <si>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</si>
  <si>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</si>
  <si>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</si>
  <si>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</si>
  <si>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</si>
  <si>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</si>
  <si>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</si>
  <si>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</si>
  <si>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</si>
  <si>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</si>
  <si>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</si>
  <si>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</si>
  <si>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</si>
  <si>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</si>
  <si>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</si>
  <si>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</si>
  <si>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</si>
  <si>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</si>
  <si>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</si>
  <si>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</si>
  <si>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</si>
  <si>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</si>
  <si>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</si>
  <si>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</si>
  <si>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</si>
  <si>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</si>
  <si>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</si>
  <si>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</si>
  <si>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</si>
  <si>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</si>
  <si>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</si>
  <si>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</si>
  <si>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</si>
  <si>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</si>
  <si>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</si>
  <si>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</si>
  <si>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</si>
  <si>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</si>
  <si>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</si>
  <si>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</si>
  <si>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</si>
  <si>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</si>
  <si>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</si>
  <si>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</si>
  <si>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</si>
  <si>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</si>
  <si>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</si>
  <si>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</si>
  <si>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</si>
  <si>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</si>
  <si>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</si>
  <si>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</si>
  <si>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</si>
  <si>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</si>
  <si>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</si>
  <si>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</si>
  <si>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</si>
  <si>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</si>
  <si>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</si>
  <si>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</si>
  <si>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</si>
  <si>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</si>
  <si>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</si>
  <si>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</si>
  <si>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</si>
  <si>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</si>
  <si>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</si>
  <si>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</si>
  <si>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</si>
  <si>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</si>
  <si>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</si>
  <si>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</si>
  <si>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</si>
  <si>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</si>
  <si>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</si>
  <si>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</si>
  <si>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</si>
  <si>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</si>
  <si>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</si>
  <si>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</si>
  <si>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</si>
  <si>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</si>
  <si>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</si>
  <si>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</si>
  <si>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</si>
  <si>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</si>
  <si>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</si>
  <si>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</si>
  <si>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</si>
  <si>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</si>
  <si>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</si>
  <si>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</si>
  <si>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</si>
  <si>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</si>
  <si>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</si>
  <si>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</si>
  <si>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</si>
  <si>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</si>
  <si>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</si>
  <si>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</si>
  <si>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</si>
  <si>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</si>
  <si>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</si>
  <si>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</si>
  <si>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</si>
  <si>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</si>
  <si>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</si>
  <si>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</si>
  <si>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</si>
  <si>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</si>
  <si>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</si>
  <si>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</si>
  <si>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</si>
  <si>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</si>
  <si>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</si>
  <si>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</si>
  <si>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</si>
  <si>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</si>
  <si>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</si>
  <si>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</si>
  <si>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</si>
  <si>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</si>
  <si>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</si>
  <si>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</si>
  <si>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</si>
  <si>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</si>
  <si>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</si>
  <si>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</si>
  <si>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</si>
  <si>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</si>
  <si>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</si>
  <si>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</si>
  <si>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</si>
  <si>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</si>
  <si>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</si>
  <si>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</si>
  <si>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</si>
  <si>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</si>
  <si>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</si>
  <si>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</si>
  <si>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</si>
  <si>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</si>
  <si>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</si>
  <si>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</si>
  <si>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</si>
  <si>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</si>
  <si>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</si>
  <si>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</si>
  <si>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</si>
  <si>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</si>
  <si>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</si>
  <si>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</si>
  <si>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</si>
  <si>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</si>
  <si>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</si>
  <si>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</si>
  <si>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</si>
  <si>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</si>
  <si>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</si>
  <si>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</si>
  <si>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</si>
  <si>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</si>
  <si>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</si>
  <si>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</si>
  <si>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</si>
  <si>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</si>
  <si>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</si>
  <si>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</si>
  <si>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</si>
  <si>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</si>
  <si>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</si>
  <si>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</si>
  <si>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</si>
  <si>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</si>
  <si>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</si>
  <si>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</si>
  <si>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</si>
  <si>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</si>
  <si>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</si>
  <si>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</si>
  <si>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</si>
  <si>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</si>
  <si>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</si>
  <si>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</si>
  <si>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</si>
  <si>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</si>
  <si>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</si>
  <si>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</si>
  <si>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</si>
  <si>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</si>
  <si>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</si>
  <si>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</si>
  <si>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</si>
  <si>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</si>
  <si>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</si>
  <si>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</si>
  <si>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</si>
  <si>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</si>
  <si>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</si>
  <si>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</si>
  <si>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</si>
  <si>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</si>
  <si>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</si>
  <si>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</si>
  <si>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</si>
  <si>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</si>
  <si>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</si>
  <si>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</si>
  <si>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</si>
  <si>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</si>
  <si>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</si>
  <si>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</si>
  <si>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</si>
  <si>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</si>
  <si>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</si>
  <si>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</si>
  <si>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</si>
  <si>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</si>
  <si>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</si>
  <si>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</si>
  <si>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</si>
  <si>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</si>
  <si>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</si>
  <si>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</si>
  <si>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</si>
  <si>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</si>
  <si>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</si>
  <si>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</si>
  <si>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</si>
  <si>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</si>
  <si>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</si>
  <si>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</si>
  <si>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</si>
  <si>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</si>
  <si>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</si>
  <si>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</si>
  <si>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</si>
  <si>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</si>
  <si>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</si>
  <si>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</si>
  <si>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</si>
  <si>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</si>
  <si>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</si>
  <si>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</si>
  <si>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</si>
  <si>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</si>
  <si>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</si>
  <si>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</si>
  <si>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</si>
  <si>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</si>
  <si>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</si>
  <si>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</si>
  <si>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</si>
  <si>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</si>
  <si>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</si>
  <si>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</si>
  <si>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</si>
  <si>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</si>
  <si>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</si>
  <si>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</si>
  <si>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</si>
  <si>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</si>
  <si>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</si>
  <si>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</si>
  <si>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</si>
  <si>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</si>
  <si>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</si>
  <si>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</si>
  <si>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</si>
  <si>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</si>
  <si>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</si>
  <si>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</si>
  <si>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</si>
  <si>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</si>
  <si>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</si>
  <si>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</si>
  <si>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</si>
  <si>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</si>
  <si>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</si>
  <si>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</si>
  <si>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</si>
  <si>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</si>
  <si>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</si>
  <si>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</si>
  <si>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</si>
  <si>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</si>
  <si>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</si>
  <si>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</si>
  <si>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</si>
  <si>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</si>
  <si>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</si>
  <si>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</si>
  <si>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</si>
  <si>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</si>
  <si>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</si>
  <si>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</si>
  <si>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</si>
  <si>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</si>
  <si>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</si>
  <si>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</si>
  <si>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</si>
  <si>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</si>
  <si>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</si>
  <si>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</si>
  <si>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</si>
  <si>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</si>
  <si>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</si>
  <si>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</si>
  <si>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</si>
  <si>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</si>
  <si>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</si>
  <si>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</si>
  <si>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</si>
  <si>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</si>
  <si>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</si>
  <si>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</si>
  <si>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</si>
  <si>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</si>
  <si>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</si>
  <si>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</si>
  <si>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</si>
  <si>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</si>
  <si>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</si>
  <si>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</si>
  <si>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</si>
  <si>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</si>
  <si>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</si>
  <si>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</si>
  <si>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</si>
  <si>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</si>
  <si>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</si>
  <si>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</si>
  <si>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</si>
  <si>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</si>
  <si>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</si>
  <si>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</si>
  <si>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</si>
  <si>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</si>
  <si>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</si>
  <si>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</si>
  <si>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</si>
  <si>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</si>
  <si>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</si>
  <si>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</si>
  <si>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</si>
  <si>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</si>
  <si>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</si>
  <si>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</si>
  <si>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</si>
  <si>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</si>
  <si>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</si>
  <si>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</si>
  <si>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</si>
  <si>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</si>
  <si>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</si>
  <si>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</si>
  <si>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</si>
  <si>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</si>
  <si>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</si>
  <si>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</si>
  <si>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</si>
  <si>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</si>
  <si>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</si>
  <si>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</si>
  <si>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</si>
  <si>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</si>
  <si>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</si>
  <si>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</si>
  <si>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</si>
  <si>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</si>
  <si>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</si>
  <si>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</si>
  <si>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</si>
  <si>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</si>
  <si>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</si>
  <si>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</si>
  <si>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</si>
  <si>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</si>
  <si>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</si>
  <si>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</si>
  <si>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</si>
  <si>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</si>
  <si>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</si>
  <si>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</si>
  <si>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</si>
  <si>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</si>
  <si>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</si>
  <si>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</si>
  <si>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</si>
  <si>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</si>
  <si>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</si>
  <si>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</si>
  <si>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</si>
  <si>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</si>
  <si>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</si>
  <si>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</si>
  <si>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</si>
  <si>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</si>
  <si>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</si>
  <si>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</si>
  <si>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</si>
  <si>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</si>
  <si>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</si>
  <si>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</si>
  <si>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</si>
  <si>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</si>
  <si>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</si>
  <si>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</si>
  <si>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</si>
  <si>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</si>
  <si>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</si>
  <si>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</si>
  <si>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</si>
  <si>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</si>
  <si>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</si>
  <si>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</si>
  <si>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</si>
  <si>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</si>
  <si>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</si>
  <si>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</si>
  <si>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</si>
  <si>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</si>
  <si>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</si>
  <si>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</si>
  <si>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</si>
  <si>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</si>
  <si>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</si>
  <si>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</si>
  <si>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</si>
  <si>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</si>
  <si>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</si>
  <si>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</si>
  <si>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</si>
  <si>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</si>
  <si>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</si>
  <si>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</si>
  <si>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</si>
  <si>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</si>
  <si>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</si>
  <si>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</si>
  <si>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</si>
  <si>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</si>
  <si>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</si>
  <si>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</si>
  <si>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</si>
  <si>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</si>
  <si>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</si>
  <si>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</si>
  <si>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</si>
  <si>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</si>
  <si>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</si>
  <si>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</si>
  <si>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</si>
  <si>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</si>
  <si>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</si>
  <si>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</si>
  <si>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</si>
  <si>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</si>
  <si>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</si>
  <si>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</si>
  <si>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</si>
  <si>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</si>
  <si>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</si>
  <si>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</si>
  <si>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</si>
  <si>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</si>
  <si>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</si>
  <si>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</si>
  <si>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</si>
  <si>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</si>
  <si>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</si>
  <si>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</si>
  <si>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</si>
  <si>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</si>
  <si>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</si>
  <si>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</si>
  <si>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</si>
  <si>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</si>
  <si>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</si>
  <si>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</si>
  <si>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</si>
  <si>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</si>
  <si>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</si>
  <si>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</si>
  <si>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</si>
  <si>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</si>
  <si>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</si>
  <si>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</si>
  <si>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</si>
  <si>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</si>
  <si>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</si>
  <si>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</si>
  <si>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</si>
  <si>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</si>
  <si>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</si>
  <si>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</si>
  <si>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</si>
  <si>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</si>
  <si>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</si>
  <si>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</si>
  <si>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</si>
  <si>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</si>
  <si>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</si>
  <si>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</si>
  <si>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</si>
  <si>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</si>
  <si>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</si>
  <si>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</si>
  <si>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</si>
  <si>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</si>
  <si>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</si>
  <si>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</si>
  <si>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</si>
  <si>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</si>
  <si>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</si>
  <si>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</si>
  <si>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</si>
  <si>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</si>
  <si>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</si>
  <si>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</si>
  <si>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</si>
  <si>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</si>
  <si>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</si>
  <si>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</si>
  <si>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</si>
  <si>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</si>
  <si>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</si>
  <si>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</si>
  <si>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</si>
  <si>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</si>
  <si>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</si>
  <si>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</si>
  <si>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</si>
  <si>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</si>
  <si>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</si>
  <si>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</si>
  <si>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</si>
  <si>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</si>
  <si>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</si>
  <si>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</si>
  <si>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</si>
  <si>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</si>
  <si>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</si>
  <si>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</si>
  <si>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</si>
  <si>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</si>
  <si>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</si>
  <si>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</si>
  <si>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</si>
  <si>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</si>
  <si>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</si>
  <si>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</si>
  <si>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</si>
  <si>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</si>
  <si>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</si>
  <si>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</si>
  <si>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</si>
  <si>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</si>
  <si>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</si>
  <si>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</si>
  <si>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</si>
  <si>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</si>
  <si>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</si>
  <si>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</si>
  <si>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</si>
  <si>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</si>
  <si>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</si>
  <si>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</si>
  <si>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</si>
  <si>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</si>
  <si>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</si>
  <si>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</si>
  <si>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</si>
  <si>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</si>
  <si>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</si>
  <si>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</si>
  <si>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</si>
  <si>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</si>
  <si>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</si>
  <si>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</si>
  <si>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</si>
  <si>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</si>
  <si>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</si>
  <si>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</si>
  <si>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</si>
  <si>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</si>
  <si>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</si>
  <si>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</si>
  <si>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</si>
  <si>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</si>
  <si>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</si>
  <si>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</si>
  <si>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</si>
  <si>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</si>
  <si>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</si>
  <si>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</si>
  <si>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</si>
  <si>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</si>
  <si>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</si>
  <si>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</si>
  <si>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</si>
  <si>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</si>
  <si>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</si>
  <si>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</si>
  <si>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</si>
  <si>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</si>
  <si>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</si>
  <si>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</si>
  <si>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</si>
  <si>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</si>
  <si>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</si>
  <si>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</si>
  <si>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</si>
  <si>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</si>
  <si>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</si>
  <si>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</si>
  <si>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</si>
  <si>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</si>
  <si>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</si>
  <si>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</si>
  <si>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</si>
  <si>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</si>
  <si>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</si>
  <si>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</si>
  <si>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</si>
  <si>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</si>
  <si>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</si>
  <si>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</si>
  <si>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</si>
  <si>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</si>
  <si>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</si>
  <si>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</si>
  <si>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</si>
  <si>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</si>
  <si>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</si>
  <si>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</si>
  <si>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</si>
  <si>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</si>
  <si>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</si>
  <si>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</si>
  <si>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</si>
  <si>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</si>
  <si>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</si>
  <si>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</si>
  <si>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</si>
  <si>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</si>
  <si>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</si>
  <si>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</si>
  <si>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</si>
  <si>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</si>
  <si>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</si>
  <si>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</si>
  <si>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</si>
  <si>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</si>
  <si>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</si>
  <si>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</si>
  <si>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</si>
  <si>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</si>
  <si>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</si>
  <si>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</si>
  <si>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</si>
  <si>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</si>
  <si>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</si>
  <si>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</si>
  <si>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</si>
  <si>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</si>
  <si>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</si>
  <si>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</si>
  <si>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</si>
  <si>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</si>
  <si>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</si>
  <si>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</si>
  <si>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</si>
  <si>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</si>
  <si>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</si>
  <si>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</si>
  <si>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</si>
  <si>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</si>
  <si>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</si>
  <si>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</si>
  <si>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</si>
  <si>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</si>
  <si>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</si>
  <si>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</si>
  <si>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</si>
  <si>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</si>
  <si>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</si>
  <si>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</si>
  <si>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</si>
  <si>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</si>
  <si>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</si>
  <si>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</si>
  <si>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</si>
  <si>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</si>
  <si>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</si>
  <si>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</si>
  <si>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</si>
  <si>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</si>
  <si>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</si>
  <si>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</si>
  <si>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</si>
  <si>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</si>
  <si>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</si>
  <si>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</si>
  <si>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</si>
  <si>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</si>
  <si>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</si>
  <si>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</si>
  <si>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</si>
  <si>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</si>
  <si>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</si>
  <si>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</si>
  <si>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</si>
  <si>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</si>
  <si>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</si>
  <si>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</si>
  <si>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</si>
  <si>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</si>
  <si>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</si>
  <si>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</si>
  <si>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</si>
  <si>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</si>
  <si>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</si>
  <si>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</si>
  <si>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</si>
  <si>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</si>
  <si>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</si>
  <si>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</si>
  <si>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</si>
  <si>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</si>
  <si>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</si>
  <si>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</si>
  <si>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</si>
  <si>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</si>
  <si>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</si>
  <si>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</si>
  <si>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</si>
  <si>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</si>
  <si>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</si>
  <si>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</si>
  <si>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</si>
  <si>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</si>
  <si>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</si>
  <si>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</si>
  <si>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</si>
  <si>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</si>
  <si>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</si>
  <si>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</si>
  <si>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</si>
  <si>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</si>
  <si>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</si>
  <si>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</si>
  <si>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</si>
  <si>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</si>
  <si>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</si>
  <si>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</si>
  <si>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</si>
  <si>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</si>
  <si>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</si>
  <si>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</si>
  <si>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</si>
  <si>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</si>
  <si>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</si>
  <si>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</si>
  <si>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</si>
  <si>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</si>
  <si>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</si>
  <si>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</si>
  <si>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</si>
  <si>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</si>
  <si>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</si>
  <si>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</si>
  <si>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</si>
  <si>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</si>
  <si>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</si>
  <si>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</si>
  <si>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</si>
  <si>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</si>
  <si>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</si>
  <si>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</si>
  <si>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</si>
  <si>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</si>
  <si>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</si>
  <si>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</si>
  <si>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</si>
  <si>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</si>
  <si>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</si>
  <si>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</si>
  <si>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</si>
  <si>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</si>
  <si>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</si>
  <si>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</si>
  <si>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</si>
  <si>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</si>
  <si>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</si>
  <si>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</si>
  <si>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</si>
  <si>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</si>
  <si>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</si>
  <si>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</si>
  <si>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</si>
  <si>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</si>
  <si>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</si>
  <si>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</si>
  <si>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</si>
  <si>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</si>
  <si>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</si>
  <si>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</si>
  <si>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</si>
  <si>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</si>
  <si>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</si>
  <si>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</si>
  <si>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</si>
  <si>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</si>
  <si>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</si>
  <si>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</si>
  <si>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</si>
  <si>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</si>
  <si>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</si>
  <si>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</si>
  <si>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</si>
  <si>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</si>
  <si>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</si>
  <si>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</si>
  <si>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</si>
  <si>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</si>
  <si>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</si>
  <si>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</si>
  <si>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</si>
  <si>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</si>
  <si>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</si>
  <si>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</si>
  <si>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</si>
  <si>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</si>
  <si>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</si>
  <si>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</si>
  <si>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</si>
  <si>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</si>
  <si>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</si>
  <si>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</si>
  <si>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</si>
  <si>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</si>
  <si>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</si>
  <si>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</si>
  <si>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</si>
  <si>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</si>
  <si>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</si>
  <si>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</si>
  <si>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</si>
  <si>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</si>
  <si>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</si>
  <si>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</si>
  <si>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</si>
  <si>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</si>
  <si>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</si>
  <si>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</si>
  <si>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</si>
  <si>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</si>
  <si>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</si>
  <si>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</si>
  <si>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</si>
  <si>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</si>
  <si>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</si>
  <si>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</si>
  <si>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</si>
  <si>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</si>
  <si>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</si>
  <si>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</si>
  <si>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</si>
  <si>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</si>
  <si>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</si>
  <si>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</si>
  <si>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</si>
  <si>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</si>
  <si>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</si>
  <si>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</si>
  <si>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</si>
  <si>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</si>
  <si>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</si>
  <si>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</si>
  <si>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</si>
  <si>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</si>
  <si>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</si>
  <si>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</si>
  <si>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</si>
  <si>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</si>
  <si>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</si>
  <si>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</si>
  <si>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</si>
  <si>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</si>
  <si>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</si>
  <si>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</si>
  <si>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</si>
  <si>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</si>
  <si>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</si>
  <si>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</si>
  <si>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</si>
  <si>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</si>
  <si>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</si>
  <si>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</si>
  <si>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</si>
  <si>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</si>
  <si>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</si>
  <si>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</si>
  <si>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</si>
  <si>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</si>
  <si>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</si>
  <si>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</si>
  <si>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</si>
  <si>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</si>
  <si>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</si>
  <si>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</si>
  <si>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</si>
  <si>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</si>
  <si>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</si>
  <si>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</si>
  <si>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</si>
  <si>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</si>
  <si>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</si>
  <si>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</si>
  <si>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</si>
  <si>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</si>
  <si>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</si>
  <si>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</si>
  <si>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</si>
  <si>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</si>
  <si>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</si>
  <si>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</si>
  <si>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</si>
  <si>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</si>
  <si>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</si>
  <si>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</si>
  <si>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</si>
  <si>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</si>
  <si>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</si>
  <si>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</si>
  <si>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</si>
  <si>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</si>
  <si>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</si>
  <si>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</si>
  <si>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</si>
  <si>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</si>
  <si>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</si>
  <si>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</si>
  <si>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</si>
  <si>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</si>
  <si>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</si>
  <si>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</si>
  <si>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</si>
  <si>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</si>
  <si>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</si>
  <si>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</si>
  <si>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</si>
  <si>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</si>
  <si>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</si>
  <si>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</si>
  <si>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</si>
  <si>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</si>
  <si>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</si>
  <si>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</si>
  <si>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</si>
  <si>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</si>
  <si>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</si>
  <si>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</si>
  <si>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</si>
  <si>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</si>
  <si>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</si>
  <si>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</si>
  <si>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</si>
  <si>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</si>
  <si>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</si>
  <si>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</si>
  <si>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</si>
  <si>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</si>
  <si>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</si>
  <si>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</si>
  <si>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</si>
  <si>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</si>
  <si>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</si>
  <si>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</si>
  <si>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</si>
  <si>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</si>
  <si>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</si>
  <si>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</si>
  <si>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</si>
  <si>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</si>
  <si>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</si>
  <si>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</si>
  <si>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</si>
  <si>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</si>
  <si>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</si>
  <si>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</si>
  <si>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</si>
  <si>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</si>
  <si>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</si>
  <si>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</si>
  <si>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</si>
  <si>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</si>
  <si>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</si>
  <si>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</si>
  <si>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</si>
  <si>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</si>
  <si>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</si>
  <si>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</si>
  <si>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</si>
  <si>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</si>
  <si>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</si>
  <si>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</si>
  <si>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</si>
  <si>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</si>
  <si>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</si>
  <si>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</si>
  <si>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</si>
  <si>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</si>
  <si>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</si>
  <si>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</si>
  <si>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</si>
  <si>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</si>
  <si>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</si>
  <si>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</si>
  <si>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</si>
  <si>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</si>
  <si>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</si>
  <si>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</si>
  <si>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</si>
  <si>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</si>
  <si>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</si>
  <si>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</si>
  <si>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</si>
  <si>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</si>
  <si>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</si>
  <si>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</si>
  <si>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</si>
  <si>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</si>
  <si>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</si>
  <si>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</si>
  <si>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</si>
  <si>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</si>
  <si>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</si>
  <si>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</si>
  <si>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</si>
  <si>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</si>
  <si>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</si>
  <si>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</si>
  <si>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</si>
  <si>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</si>
  <si>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</si>
  <si>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</si>
  <si>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</si>
  <si>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</si>
  <si>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</si>
  <si>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</si>
  <si>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</si>
  <si>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</si>
  <si>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</si>
  <si>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</si>
  <si>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</si>
  <si>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</si>
  <si>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</si>
  <si>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</si>
  <si>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</si>
  <si>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</si>
  <si>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</si>
  <si>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</si>
  <si>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</si>
  <si>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</si>
  <si>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</si>
  <si>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</si>
  <si>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</si>
  <si>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</si>
  <si>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</si>
  <si>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</si>
  <si>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</si>
  <si>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</si>
  <si>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</si>
  <si>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</si>
  <si>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</si>
  <si>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</si>
  <si>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</si>
  <si>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</si>
  <si>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</si>
  <si>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</si>
  <si>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</si>
  <si>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</si>
  <si>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</si>
  <si>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</si>
  <si>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</si>
  <si>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</si>
  <si>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</si>
  <si>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</si>
  <si>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</si>
  <si>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</si>
  <si>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</si>
  <si>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</si>
  <si>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</si>
  <si>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</si>
  <si>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</si>
  <si>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</si>
  <si>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</si>
  <si>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</si>
  <si>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</si>
  <si>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</si>
  <si>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</si>
  <si>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</si>
  <si>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</si>
  <si>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</si>
  <si>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</si>
  <si>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</si>
  <si>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</si>
  <si>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</si>
  <si>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</si>
  <si>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</si>
  <si>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</si>
  <si>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</si>
  <si>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</si>
  <si>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</si>
  <si>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</si>
  <si>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</si>
  <si>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</si>
  <si>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</si>
  <si>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</si>
  <si>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</si>
  <si>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</si>
  <si>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</si>
  <si>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</si>
  <si>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</si>
  <si>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</si>
  <si>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</si>
  <si>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</si>
  <si>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</si>
  <si>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</si>
  <si>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</si>
  <si>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</si>
  <si>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</si>
  <si>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</si>
  <si>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</si>
  <si>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</si>
  <si>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</si>
  <si>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</si>
  <si>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</si>
  <si>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</si>
  <si>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</si>
  <si>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</si>
  <si>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</si>
  <si>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</si>
  <si>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</si>
  <si>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</si>
  <si>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</si>
  <si>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</si>
  <si>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</si>
  <si>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</si>
  <si>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</si>
  <si>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</si>
  <si>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</si>
  <si>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</si>
  <si>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</si>
  <si>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</si>
  <si>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</si>
  <si>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</si>
  <si>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</si>
  <si>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</si>
  <si>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</si>
  <si>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</si>
  <si>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</si>
  <si>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</si>
  <si>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</si>
  <si>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</si>
  <si>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</si>
  <si>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</si>
  <si>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</si>
  <si>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</si>
  <si>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</si>
  <si>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</si>
  <si>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</si>
  <si>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</si>
  <si>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</si>
  <si>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</si>
  <si>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</si>
  <si>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</si>
  <si>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</si>
  <si>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</si>
  <si>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</si>
  <si>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</si>
  <si>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</si>
  <si>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</si>
  <si>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</si>
  <si>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</si>
  <si>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</si>
  <si>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</si>
  <si>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</si>
  <si>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</si>
  <si>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</si>
  <si>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</si>
  <si>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</si>
  <si>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</si>
  <si>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</si>
  <si>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</si>
  <si>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</si>
  <si>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</si>
  <si>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</si>
  <si>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</si>
  <si>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</si>
  <si>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</si>
  <si>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</si>
  <si>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</si>
  <si>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</si>
  <si>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</si>
  <si>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</si>
  <si>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</si>
  <si>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</si>
  <si>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</si>
  <si>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</si>
  <si>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</si>
  <si>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</si>
  <si>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</si>
  <si>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</si>
  <si>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</si>
  <si>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</si>
  <si>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</si>
  <si>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</si>
  <si>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</si>
  <si>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</si>
  <si>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</si>
  <si>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</si>
  <si>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</si>
  <si>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</si>
  <si>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</si>
  <si>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</si>
  <si>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</si>
  <si>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</si>
  <si>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</si>
  <si>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</si>
  <si>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</si>
  <si>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</si>
  <si>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</si>
  <si>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</si>
  <si>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</si>
  <si>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</si>
  <si>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</si>
  <si>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</si>
  <si>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</si>
  <si>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</si>
  <si>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</si>
  <si>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</si>
  <si>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</si>
  <si>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</si>
  <si>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</si>
  <si>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</si>
  <si>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</si>
  <si>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</si>
  <si>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</si>
  <si>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</si>
  <si>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</si>
  <si>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</si>
  <si>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</si>
  <si>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</si>
  <si>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</si>
  <si>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</si>
  <si>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</si>
  <si>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</si>
  <si>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</si>
  <si>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</si>
  <si>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</si>
  <si>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</si>
  <si>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</si>
  <si>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</si>
  <si>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</si>
  <si>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</si>
  <si>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</si>
  <si>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</si>
  <si>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</si>
  <si>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</si>
  <si>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</si>
  <si>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</si>
  <si>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</si>
  <si>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</si>
  <si>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</si>
  <si>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</si>
  <si>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</si>
  <si>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</si>
  <si>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</si>
  <si>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</si>
  <si>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</si>
  <si>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</si>
  <si>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</si>
  <si>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</si>
  <si>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</si>
  <si>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</si>
  <si>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</si>
  <si>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</si>
  <si>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</si>
  <si>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</si>
  <si>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</si>
  <si>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</si>
  <si>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</si>
  <si>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</si>
  <si>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</si>
  <si>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</si>
  <si>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</si>
  <si>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</si>
  <si>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</si>
  <si>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</si>
  <si>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</si>
  <si>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</si>
  <si>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</si>
  <si>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</si>
  <si>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</si>
  <si>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</si>
  <si>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</si>
  <si>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</si>
  <si>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</si>
  <si>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</si>
  <si>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</si>
  <si>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</si>
  <si>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</si>
  <si>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</si>
  <si>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</si>
  <si>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</si>
  <si>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</si>
  <si>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</si>
  <si>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</si>
  <si>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</si>
  <si>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</si>
  <si>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</si>
  <si>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</si>
  <si>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</si>
  <si>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</si>
  <si>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</si>
  <si>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</si>
  <si>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</si>
  <si>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</si>
  <si>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</si>
  <si>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</si>
  <si>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</si>
  <si>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</si>
  <si>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</si>
  <si>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</si>
  <si>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</si>
  <si>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</si>
  <si>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</si>
  <si>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</si>
  <si>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</si>
  <si>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</si>
  <si>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</si>
  <si>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</si>
  <si>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</si>
  <si>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</si>
  <si>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</si>
  <si>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</si>
  <si>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</si>
  <si>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</si>
  <si>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</si>
  <si>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</si>
  <si>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</si>
  <si>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</si>
  <si>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</si>
  <si>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</si>
  <si>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</si>
  <si>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</si>
  <si>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</si>
  <si>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</si>
  <si>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</si>
  <si>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</si>
  <si>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</si>
  <si>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</si>
  <si>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</si>
  <si>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</si>
  <si>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</si>
  <si>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</si>
  <si>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</si>
  <si>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</si>
  <si>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</si>
  <si>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</si>
  <si>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</si>
  <si>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</si>
  <si>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</si>
  <si>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</si>
  <si>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</si>
  <si>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</si>
  <si>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</si>
  <si>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</si>
  <si>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</si>
  <si>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</si>
  <si>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</si>
  <si>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</si>
  <si>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</si>
  <si>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</si>
  <si>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</si>
  <si>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</si>
  <si>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</si>
  <si>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</si>
  <si>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</si>
  <si>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</si>
  <si>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</si>
  <si>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</si>
  <si>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</si>
  <si>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</si>
  <si>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</si>
  <si>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</si>
  <si>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</si>
  <si>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</si>
  <si>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</si>
  <si>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</si>
  <si>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</si>
  <si>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</si>
  <si>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</si>
  <si>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</si>
  <si>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</si>
  <si>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</si>
  <si>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</si>
  <si>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</si>
  <si>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</si>
  <si>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</si>
  <si>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</si>
  <si>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</si>
  <si>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</si>
  <si>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</si>
  <si>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</si>
  <si>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</si>
  <si>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</si>
  <si>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</si>
  <si>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</si>
  <si>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</si>
  <si>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</si>
  <si>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</si>
  <si>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</si>
  <si>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</si>
  <si>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</si>
  <si>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</si>
  <si>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</si>
  <si>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</si>
  <si>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</si>
  <si>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</si>
  <si>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</si>
  <si>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</si>
  <si>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</si>
  <si>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</si>
  <si>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</si>
  <si>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</si>
  <si>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</si>
  <si>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</si>
  <si>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</si>
  <si>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</si>
  <si>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</si>
  <si>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</si>
  <si>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</si>
  <si>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</si>
  <si>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</si>
  <si>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</si>
  <si>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</si>
  <si>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</si>
  <si>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</si>
  <si>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</si>
  <si>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</si>
  <si>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</si>
  <si>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</si>
  <si>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</si>
  <si>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</si>
  <si>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</si>
  <si>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</si>
  <si>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</si>
  <si>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</si>
  <si>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</si>
  <si>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</si>
  <si>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</si>
  <si>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</si>
  <si>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</si>
  <si>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</si>
  <si>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</si>
  <si>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</si>
  <si>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</si>
  <si>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</si>
  <si>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</si>
  <si>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</si>
  <si>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</si>
  <si>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</si>
  <si>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</si>
  <si>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</si>
  <si>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</si>
  <si>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</si>
  <si>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</si>
  <si>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</si>
  <si>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</si>
  <si>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</si>
  <si>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</si>
  <si>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</si>
  <si>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</si>
  <si>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</si>
  <si>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</si>
  <si>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</si>
  <si>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</si>
  <si>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</si>
  <si>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</si>
  <si>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</si>
  <si>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</si>
  <si>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</si>
  <si>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</si>
  <si>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</si>
  <si>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</si>
  <si>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</si>
  <si>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</si>
  <si>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</si>
  <si>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</si>
  <si>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</si>
  <si>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</si>
  <si>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</si>
  <si>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</si>
  <si>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</si>
  <si>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</si>
  <si>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</si>
  <si>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</si>
  <si>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</si>
  <si>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</si>
  <si>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</si>
  <si>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</si>
  <si>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</si>
  <si>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</si>
  <si>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</si>
  <si>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</si>
  <si>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</si>
  <si>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</si>
  <si>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</si>
  <si>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</si>
  <si>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</si>
  <si>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</si>
  <si>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</si>
  <si>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</si>
  <si>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</si>
  <si>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</si>
  <si>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</si>
  <si>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</si>
  <si>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</si>
  <si>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</si>
  <si>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</si>
  <si>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</si>
  <si>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</si>
  <si>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</si>
  <si>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</si>
  <si>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</si>
  <si>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</si>
  <si>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</si>
  <si>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</si>
  <si>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</si>
  <si>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</si>
  <si>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</si>
  <si>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</si>
  <si>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</si>
  <si>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</si>
  <si>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</si>
  <si>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</si>
  <si>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</si>
  <si>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</si>
  <si>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</si>
  <si>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</si>
  <si>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</si>
  <si>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</si>
  <si>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</si>
  <si>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</si>
  <si>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</si>
  <si>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</si>
  <si>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</si>
  <si>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</si>
  <si>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</si>
  <si>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</si>
  <si>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</si>
  <si>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</si>
  <si>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</si>
  <si>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</si>
  <si>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</si>
  <si>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</si>
  <si>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</si>
  <si>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</si>
  <si>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</si>
  <si>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</si>
  <si>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</si>
  <si>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</si>
  <si>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</si>
  <si>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</si>
  <si>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</si>
  <si>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</si>
  <si>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</si>
  <si>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</si>
  <si>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</si>
  <si>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</si>
  <si>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</si>
  <si>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</si>
  <si>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</si>
  <si>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</si>
  <si>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</si>
  <si>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</si>
  <si>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</si>
  <si>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</si>
  <si>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</si>
  <si>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</si>
  <si>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</si>
  <si>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</si>
  <si>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</si>
  <si>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</si>
  <si>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</si>
  <si>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</si>
  <si>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</si>
  <si>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</si>
  <si>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</si>
  <si>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</si>
  <si>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</si>
  <si>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</si>
  <si>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</si>
  <si>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</si>
  <si>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</si>
  <si>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</si>
  <si>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</si>
  <si>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</si>
  <si>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</si>
  <si>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</si>
  <si>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</si>
  <si>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</si>
  <si>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</si>
  <si>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</si>
  <si>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</si>
  <si>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</si>
  <si>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</si>
  <si>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</si>
  <si>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</si>
  <si>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</si>
  <si>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</si>
  <si>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</si>
  <si>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</si>
  <si>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</si>
  <si>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</si>
  <si>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</si>
  <si>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</si>
  <si>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</si>
  <si>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</si>
  <si>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</si>
  <si>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</si>
  <si>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</si>
  <si>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</si>
  <si>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</si>
  <si>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</si>
  <si>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</si>
  <si>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</si>
  <si>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</si>
  <si>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</si>
  <si>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</si>
  <si>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</si>
  <si>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</si>
  <si>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</si>
  <si>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</si>
  <si>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</si>
  <si>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</si>
  <si>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</si>
  <si>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</si>
  <si>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</si>
  <si>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</si>
  <si>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</si>
  <si>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</si>
  <si>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</si>
  <si>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</si>
  <si>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</si>
  <si>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</si>
  <si>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</si>
  <si>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</si>
  <si>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</si>
  <si>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</si>
  <si>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</si>
  <si>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</si>
  <si>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</si>
  <si>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</si>
  <si>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</si>
  <si>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</si>
  <si>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</si>
  <si>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</si>
  <si>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</si>
  <si>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</si>
  <si>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</si>
  <si>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</si>
  <si>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</si>
  <si>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</si>
  <si>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</si>
  <si>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</si>
  <si>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</si>
  <si>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</si>
  <si>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</si>
  <si>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</si>
  <si>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</si>
  <si>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</si>
  <si>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</si>
  <si>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</si>
  <si>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</si>
  <si>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</si>
  <si>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</si>
  <si>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</si>
  <si>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</si>
  <si>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</si>
  <si>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</si>
  <si>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</si>
  <si>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</si>
  <si>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</si>
  <si>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</si>
  <si>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</si>
  <si>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</si>
  <si>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</si>
  <si>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</si>
  <si>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</si>
  <si>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</si>
  <si>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</si>
  <si>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</si>
  <si>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</si>
  <si>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</si>
  <si>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</si>
  <si>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</si>
  <si>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</si>
  <si>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</si>
  <si>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</si>
  <si>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</si>
  <si>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</si>
  <si>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</si>
  <si>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</si>
  <si>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</si>
  <si>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</si>
  <si>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</si>
  <si>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</si>
  <si>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</si>
  <si>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</si>
  <si>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</si>
  <si>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</si>
  <si>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</si>
  <si>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</si>
  <si>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</si>
  <si>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</si>
  <si>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</si>
  <si>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</si>
  <si>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</si>
  <si>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</si>
  <si>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</si>
  <si>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</si>
  <si>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</si>
  <si>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</si>
  <si>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</si>
  <si>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</si>
  <si>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</si>
  <si>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</si>
  <si>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</si>
  <si>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</si>
  <si>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</si>
  <si>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</si>
  <si>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</si>
  <si>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</si>
  <si>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</si>
  <si>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</si>
  <si>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</si>
  <si>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</si>
  <si>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</si>
  <si>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</si>
  <si>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</si>
  <si>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</si>
  <si>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</si>
  <si>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</si>
  <si>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</si>
  <si>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</si>
  <si>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</si>
  <si>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</si>
  <si>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</si>
  <si>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</si>
  <si>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</si>
  <si>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</si>
  <si>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</si>
  <si>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</si>
  <si>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</si>
  <si>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</si>
  <si>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</si>
  <si>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</si>
  <si>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</si>
  <si>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</si>
  <si>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</si>
  <si>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</si>
  <si>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</si>
  <si>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</si>
  <si>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</si>
  <si>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</si>
  <si>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</si>
  <si>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</si>
  <si>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</si>
  <si>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</si>
  <si>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</si>
  <si>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</si>
  <si>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</si>
  <si>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</si>
  <si>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</si>
  <si>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</si>
  <si>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</si>
  <si>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</si>
  <si>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</si>
  <si>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</si>
  <si>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</si>
  <si>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</si>
  <si>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</si>
  <si>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</si>
  <si>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</si>
  <si>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</si>
  <si>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</si>
  <si>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</si>
  <si>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</si>
  <si>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</si>
  <si>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</si>
  <si>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</si>
  <si>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</si>
  <si>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</si>
  <si>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</si>
  <si>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</si>
  <si>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</si>
  <si>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</si>
  <si>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</si>
  <si>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</si>
  <si>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</si>
  <si>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</si>
  <si>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</si>
  <si>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</si>
  <si>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</si>
  <si>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</si>
  <si>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</si>
  <si>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</si>
  <si>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</si>
  <si>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</si>
  <si>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</si>
  <si>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</si>
  <si>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</si>
  <si>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</si>
  <si>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</si>
  <si>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</si>
  <si>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</si>
  <si>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</si>
  <si>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</si>
  <si>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</si>
  <si>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</si>
  <si>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</si>
  <si>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</si>
  <si>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</si>
  <si>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</si>
  <si>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</si>
  <si>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</si>
  <si>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</si>
  <si>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</si>
  <si>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</si>
  <si>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</si>
  <si>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</si>
  <si>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</si>
  <si>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</si>
  <si>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</si>
  <si>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</si>
  <si>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</si>
  <si>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</si>
  <si>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</si>
  <si>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</si>
  <si>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</si>
  <si>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</si>
  <si>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</si>
  <si>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</si>
  <si>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</si>
  <si>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</si>
  <si>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</si>
  <si>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</si>
  <si>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</si>
  <si>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</si>
  <si>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</si>
  <si>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</si>
  <si>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</si>
  <si>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</si>
  <si>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</si>
  <si>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</si>
  <si>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</si>
  <si>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</si>
  <si>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</si>
  <si>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</si>
  <si>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</si>
  <si>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</si>
  <si>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</si>
  <si>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</si>
  <si>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</si>
  <si>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</si>
  <si>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</si>
  <si>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</si>
  <si>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</si>
  <si>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</si>
  <si>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</si>
  <si>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</si>
  <si>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</si>
  <si>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</si>
  <si>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</si>
  <si>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</si>
  <si>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</si>
  <si>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</si>
  <si>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</si>
  <si>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</si>
  <si>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</si>
  <si>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</si>
  <si>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</si>
  <si>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</si>
  <si>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</si>
  <si>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</si>
  <si>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</si>
  <si>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</si>
  <si>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</si>
  <si>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</si>
  <si>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</si>
  <si>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</si>
  <si>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</si>
  <si>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</si>
  <si>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</si>
  <si>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</si>
  <si>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</si>
  <si>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</si>
  <si>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</si>
  <si>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</si>
  <si>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</si>
  <si>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</si>
  <si>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</si>
  <si>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</si>
  <si>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</si>
  <si>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</si>
  <si>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</si>
  <si>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</si>
  <si>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</si>
  <si>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</si>
  <si>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</si>
  <si>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</si>
  <si>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</si>
  <si>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</si>
  <si>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</si>
  <si>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</si>
  <si>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</si>
  <si>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</si>
  <si>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</si>
  <si>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</si>
  <si>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</si>
  <si>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</si>
  <si>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</si>
  <si>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</si>
  <si>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</si>
  <si>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</si>
  <si>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</si>
  <si>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</si>
  <si>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</si>
  <si>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</si>
  <si>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</si>
  <si>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</si>
  <si>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</si>
  <si>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</si>
  <si>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</si>
  <si>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</si>
  <si>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</si>
  <si>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</si>
  <si>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</si>
  <si>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</si>
  <si>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</si>
  <si>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</si>
  <si>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</si>
  <si>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</si>
  <si>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</si>
  <si>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</si>
  <si>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</si>
  <si>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</si>
  <si>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</si>
  <si>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</si>
  <si>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</si>
  <si>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</si>
  <si>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</si>
  <si>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</si>
  <si>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</si>
  <si>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</si>
  <si>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</si>
  <si>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</si>
  <si>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</si>
  <si>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</si>
  <si>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</si>
  <si>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</si>
  <si>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</si>
  <si>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</si>
  <si>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</si>
  <si>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</si>
  <si>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</si>
  <si>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</si>
  <si>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</si>
  <si>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</si>
  <si>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</si>
  <si>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</si>
  <si>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</si>
  <si>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</si>
  <si>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</si>
  <si>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</si>
  <si>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</si>
  <si>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</si>
  <si>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</si>
  <si>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</si>
  <si>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</si>
  <si>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</si>
  <si>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</si>
  <si>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</si>
  <si>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</si>
  <si>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</si>
  <si>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</si>
  <si>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</si>
  <si>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</si>
  <si>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</si>
  <si>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</si>
  <si>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</si>
  <si>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</si>
  <si>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</si>
  <si>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</si>
  <si>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</si>
  <si>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</si>
  <si>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</si>
  <si>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</si>
  <si>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</si>
  <si>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</si>
  <si>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</si>
  <si>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</si>
  <si>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</si>
  <si>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</si>
  <si>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</si>
  <si>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</si>
  <si>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</si>
  <si>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</si>
  <si>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</si>
  <si>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</si>
  <si>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</si>
  <si>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</si>
  <si>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</si>
  <si>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</si>
  <si>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</si>
  <si>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</si>
  <si>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</si>
  <si>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</si>
  <si>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</si>
  <si>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</si>
  <si>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</si>
  <si>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</si>
  <si>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</si>
  <si>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</si>
  <si>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</si>
  <si>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</si>
  <si>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</si>
  <si>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</si>
  <si>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</si>
  <si>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</si>
  <si>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</si>
  <si>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</si>
  <si>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</si>
  <si>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</si>
  <si>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</si>
  <si>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</si>
  <si>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</si>
  <si>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</si>
  <si>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</si>
  <si>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</si>
  <si>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</si>
  <si>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</si>
  <si>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</si>
  <si>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</si>
  <si>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</si>
  <si>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</si>
  <si>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</si>
  <si>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</si>
  <si>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</si>
  <si>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</si>
  <si>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</si>
  <si>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</si>
  <si>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</si>
  <si>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</si>
  <si>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</si>
  <si>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</si>
  <si>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</si>
  <si>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</si>
  <si>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</si>
  <si>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</si>
  <si>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</si>
  <si>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</si>
  <si>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</si>
  <si>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</si>
  <si>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</si>
  <si>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</si>
  <si>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</si>
  <si>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</si>
  <si>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</si>
  <si>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</si>
  <si>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</si>
  <si>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</si>
  <si>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</si>
  <si>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</si>
  <si>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</si>
  <si>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</si>
  <si>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</si>
  <si>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</si>
  <si>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</si>
  <si>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</si>
  <si>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</si>
  <si>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</si>
  <si>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</si>
  <si>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</si>
  <si>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</si>
  <si>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</si>
  <si>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</si>
  <si>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</si>
  <si>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</si>
  <si>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</si>
  <si>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</si>
  <si>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</si>
  <si>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</si>
  <si>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</si>
  <si>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</si>
  <si>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</si>
  <si>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</si>
  <si>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</si>
  <si>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</si>
  <si>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</si>
  <si>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</si>
  <si>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</si>
  <si>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</si>
  <si>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</si>
  <si>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</si>
  <si>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</si>
  <si>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</si>
  <si>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</si>
  <si>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</si>
  <si>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</si>
  <si>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</si>
  <si>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</si>
  <si>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</si>
  <si>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</si>
  <si>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</si>
  <si>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</si>
  <si>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</si>
  <si>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</si>
  <si>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</si>
  <si>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</si>
  <si>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</si>
  <si>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</si>
  <si>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</si>
  <si>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</si>
  <si>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</si>
  <si>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</si>
  <si>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</si>
  <si>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</si>
  <si>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</si>
  <si>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</si>
  <si>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</si>
  <si>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</si>
  <si>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</si>
  <si>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</si>
  <si>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</si>
  <si>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</si>
  <si>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</si>
  <si>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</si>
  <si>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</si>
  <si>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</si>
  <si>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</si>
  <si>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</si>
  <si>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</si>
  <si>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</si>
  <si>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</si>
  <si>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</si>
  <si>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</si>
  <si>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</si>
  <si>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</si>
  <si>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</si>
  <si>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</si>
  <si>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</si>
  <si>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</si>
  <si>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</si>
  <si>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</si>
  <si>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</si>
  <si>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</si>
  <si>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</si>
  <si>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</si>
  <si>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</si>
  <si>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</si>
  <si>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</si>
  <si>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</si>
  <si>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</si>
  <si>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</si>
  <si>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</si>
  <si>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</si>
  <si>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</si>
  <si>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</si>
  <si>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</si>
  <si>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</si>
  <si>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</si>
  <si>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</si>
  <si>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</si>
  <si>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</si>
  <si>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</si>
  <si>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</si>
  <si>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</si>
  <si>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</si>
  <si>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</si>
  <si>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</si>
  <si>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</si>
  <si>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</si>
  <si>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</si>
  <si>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</si>
  <si>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</si>
  <si>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</si>
  <si>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</si>
  <si>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</si>
  <si>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</si>
  <si>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</si>
  <si>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</si>
  <si>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</si>
  <si>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</si>
  <si>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</si>
  <si>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</si>
  <si>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</si>
  <si>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</si>
  <si>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</si>
  <si>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</si>
  <si>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</si>
  <si>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</si>
  <si>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</si>
  <si>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</si>
  <si>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</si>
  <si>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</si>
  <si>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</si>
  <si>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</si>
  <si>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</si>
  <si>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</si>
  <si>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</si>
  <si>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</si>
  <si>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</si>
  <si>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</si>
  <si>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</si>
  <si>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</si>
  <si>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</si>
  <si>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</si>
  <si>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</si>
  <si>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</si>
  <si>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</si>
  <si>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</si>
  <si>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</si>
  <si>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</si>
  <si>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</si>
  <si>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</si>
  <si>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</si>
  <si>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</si>
  <si>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</si>
  <si>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</si>
  <si>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</si>
  <si>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</si>
  <si>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</si>
  <si>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</si>
  <si>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</si>
  <si>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</si>
  <si>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</si>
  <si>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</si>
  <si>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</si>
  <si>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</si>
  <si>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</si>
  <si>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</si>
  <si>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</si>
  <si>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</si>
  <si>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</si>
  <si>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</si>
  <si>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</si>
  <si>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</si>
  <si>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</si>
  <si>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</si>
  <si>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</si>
  <si>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</si>
  <si>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</si>
  <si>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</si>
  <si>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</si>
  <si>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</si>
  <si>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</si>
  <si>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</si>
  <si>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</si>
  <si>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</si>
  <si>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</si>
  <si>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</si>
  <si>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</si>
  <si>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</si>
  <si>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</si>
  <si>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</si>
  <si>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</si>
  <si>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</si>
  <si>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</si>
  <si>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</si>
  <si>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</si>
  <si>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</si>
  <si>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</si>
  <si>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</si>
  <si>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</si>
  <si>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</si>
  <si>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</si>
  <si>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</si>
  <si>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</si>
  <si>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</si>
  <si>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</si>
  <si>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</si>
  <si>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</si>
  <si>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</si>
  <si>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</si>
  <si>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</si>
  <si>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</si>
  <si>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</si>
  <si>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</si>
  <si>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</si>
  <si>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</si>
  <si>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</si>
  <si>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</si>
  <si>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</si>
  <si>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</si>
  <si>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</si>
  <si>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</si>
  <si>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</si>
  <si>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</si>
  <si>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</si>
  <si>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</si>
  <si>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</si>
  <si>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</si>
  <si>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</si>
  <si>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</si>
  <si>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</si>
  <si>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</si>
  <si>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</si>
  <si>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</si>
  <si>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</si>
  <si>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</si>
  <si>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</si>
  <si>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</si>
  <si>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</si>
  <si>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</si>
  <si>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</si>
  <si>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</si>
  <si>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</si>
  <si>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</si>
  <si>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</si>
  <si>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</si>
  <si>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</si>
  <si>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</si>
  <si>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</si>
  <si>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</si>
  <si>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</si>
  <si>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</si>
  <si>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</si>
  <si>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</si>
  <si>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</si>
  <si>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</si>
  <si>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</si>
  <si>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</si>
  <si>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</si>
  <si>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</si>
  <si>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</si>
  <si>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</si>
  <si>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</si>
  <si>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</si>
  <si>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</si>
  <si>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</si>
  <si>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</si>
  <si>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</si>
  <si>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</si>
  <si>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</si>
  <si>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</si>
  <si>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</si>
  <si>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</si>
  <si>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</si>
  <si>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</si>
  <si>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</si>
  <si>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</si>
  <si>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</si>
  <si>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</si>
  <si>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</si>
  <si>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</si>
  <si>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</si>
  <si>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</si>
  <si>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</si>
  <si>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</si>
  <si>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</si>
  <si>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</si>
  <si>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</si>
  <si>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</si>
  <si>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</si>
  <si>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</si>
  <si>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</si>
  <si>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</si>
  <si>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</si>
  <si>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</si>
  <si>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</si>
  <si>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</si>
  <si>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</si>
  <si>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</si>
  <si>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</si>
  <si>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</si>
  <si>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</si>
  <si>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</si>
  <si>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</si>
  <si>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</si>
  <si>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</si>
  <si>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</si>
  <si>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</si>
  <si>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</si>
  <si>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</si>
  <si>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</si>
  <si>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</si>
  <si>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</si>
  <si>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</si>
  <si>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</si>
  <si>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</si>
  <si>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</si>
  <si>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</si>
  <si>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</si>
  <si>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</si>
  <si>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</si>
  <si>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</si>
  <si>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</si>
  <si>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</si>
  <si>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</si>
  <si>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</si>
  <si>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</si>
  <si>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</si>
  <si>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</si>
  <si>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</si>
  <si>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</si>
  <si>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</si>
  <si>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</si>
  <si>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</si>
  <si>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</si>
  <si>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</si>
  <si>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</si>
  <si>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</si>
  <si>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</si>
  <si>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</si>
  <si>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</si>
  <si>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</si>
  <si>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</si>
  <si>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</si>
  <si>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</si>
  <si>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</si>
  <si>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</si>
  <si>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</si>
  <si>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</si>
  <si>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</si>
  <si>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</si>
  <si>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</si>
  <si>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</si>
  <si>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</si>
  <si>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</si>
  <si>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</si>
  <si>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</si>
  <si>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</si>
  <si>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</si>
  <si>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</si>
  <si>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</si>
  <si>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</si>
  <si>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</si>
  <si>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</si>
  <si>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</si>
  <si>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</si>
  <si>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</si>
  <si>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</si>
  <si>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</si>
  <si>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</si>
  <si>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</si>
  <si>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</si>
  <si>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</si>
  <si>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</si>
  <si>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</si>
  <si>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</si>
  <si>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</si>
  <si>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</si>
  <si>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</si>
  <si>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</si>
  <si>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</si>
  <si>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</si>
  <si>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</si>
  <si>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</si>
  <si>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</si>
  <si>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</si>
  <si>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</si>
  <si>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</si>
  <si>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</si>
  <si>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</si>
  <si>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</si>
  <si>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</si>
  <si>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</si>
  <si>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</si>
  <si>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</si>
  <si>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</si>
  <si>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</si>
  <si>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</si>
  <si>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</si>
  <si>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</si>
  <si>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</si>
  <si>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</si>
  <si>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</si>
  <si>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</si>
  <si>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</si>
  <si>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</si>
  <si>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</si>
  <si>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</si>
  <si>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</si>
  <si>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</si>
  <si>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</si>
  <si>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</si>
  <si>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</si>
  <si>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</si>
  <si>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</si>
  <si>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</si>
  <si>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</si>
  <si>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</si>
  <si>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</si>
  <si>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</si>
  <si>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</si>
  <si>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</si>
  <si>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</si>
  <si>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</si>
  <si>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</si>
  <si>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</si>
  <si>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</si>
  <si>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</si>
  <si>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</si>
  <si>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</si>
  <si>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</si>
  <si>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</si>
  <si>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</si>
  <si>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</si>
  <si>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</si>
  <si>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</si>
  <si>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</si>
  <si>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</si>
  <si>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</si>
  <si>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</si>
  <si>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</si>
  <si>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</si>
  <si>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</si>
  <si>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</si>
  <si>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</si>
  <si>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</si>
  <si>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</si>
  <si>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</si>
  <si>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</si>
  <si>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</si>
  <si>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</si>
  <si>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</si>
  <si>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</si>
  <si>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</si>
  <si>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</si>
  <si>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</si>
  <si>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</si>
  <si>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</si>
  <si>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</si>
  <si>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</si>
  <si>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</si>
  <si>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</si>
  <si>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</si>
  <si>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</si>
  <si>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</si>
  <si>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</si>
  <si>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</si>
  <si>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</si>
  <si>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</si>
  <si>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</si>
  <si>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</si>
  <si>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</si>
  <si>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</si>
  <si>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</si>
  <si>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</si>
  <si>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</si>
  <si>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</si>
  <si>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</si>
  <si>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</si>
  <si>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</si>
  <si>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</si>
  <si>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</si>
  <si>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</si>
  <si>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</si>
  <si>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</si>
  <si>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</si>
  <si>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</si>
  <si>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</si>
  <si>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</si>
  <si>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</si>
  <si>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</si>
  <si>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</si>
  <si>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</si>
  <si>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</si>
  <si>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</si>
  <si>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</si>
  <si>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</si>
  <si>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</si>
  <si>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</si>
  <si>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</si>
  <si>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</si>
  <si>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</si>
  <si>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</si>
  <si>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</si>
  <si>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</si>
  <si>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</si>
  <si>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</si>
  <si>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</si>
  <si>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</si>
  <si>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</si>
  <si>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</si>
  <si>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</si>
  <si>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</si>
  <si>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</si>
  <si>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</si>
  <si>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</si>
  <si>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</si>
  <si>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</si>
  <si>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</si>
  <si>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</si>
  <si>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</si>
  <si>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</si>
  <si>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</si>
  <si>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</si>
  <si>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</si>
  <si>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</si>
  <si>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</si>
  <si>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</si>
  <si>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</si>
  <si>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</si>
  <si>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</si>
  <si>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</si>
  <si>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</si>
  <si>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</si>
  <si>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</si>
  <si>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</si>
  <si>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</si>
  <si>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</si>
  <si>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</si>
  <si>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</si>
  <si>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</si>
  <si>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</si>
  <si>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</si>
  <si>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</si>
  <si>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</si>
  <si>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</si>
  <si>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</si>
  <si>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</si>
  <si>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</si>
  <si>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</si>
  <si>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</si>
  <si>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</si>
  <si>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</si>
  <si>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</si>
  <si>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</si>
  <si>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</si>
  <si>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</si>
  <si>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</si>
  <si>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</si>
  <si>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</si>
  <si>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</si>
  <si>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</si>
  <si>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</si>
  <si>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</si>
  <si>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</si>
  <si>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</si>
  <si>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</si>
  <si>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</si>
  <si>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</si>
  <si>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</si>
  <si>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</si>
  <si>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</si>
  <si>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</si>
  <si>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</si>
  <si>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</si>
  <si>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</si>
  <si>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</si>
  <si>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</si>
  <si>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</si>
  <si>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</si>
  <si>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</si>
  <si>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</si>
  <si>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</si>
  <si>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</si>
  <si>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</si>
  <si>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</si>
  <si>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</si>
  <si>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</si>
  <si>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</si>
  <si>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</si>
  <si>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</si>
  <si>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</si>
  <si>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</si>
  <si>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</si>
  <si>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</si>
  <si>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</si>
  <si>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</si>
  <si>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</si>
  <si>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</si>
  <si>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</si>
  <si>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</si>
  <si>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</si>
  <si>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</si>
  <si>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</si>
  <si>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</si>
  <si>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</si>
  <si>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</si>
  <si>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</si>
  <si>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</si>
  <si>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</si>
  <si>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</si>
  <si>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</si>
  <si>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</si>
  <si>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</si>
  <si>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</si>
  <si>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</si>
  <si>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</si>
  <si>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</si>
  <si>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</si>
  <si>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</si>
  <si>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</si>
  <si>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</si>
  <si>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</si>
  <si>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</si>
  <si>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</si>
  <si>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</si>
  <si>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</si>
  <si>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</si>
  <si>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</si>
  <si>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</si>
  <si>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</si>
  <si>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</si>
  <si>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</si>
  <si>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</si>
  <si>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</si>
  <si>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</si>
  <si>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</si>
  <si>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</si>
  <si>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</si>
  <si>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</si>
  <si>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</si>
  <si>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</si>
  <si>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</si>
  <si>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</si>
  <si>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</si>
  <si>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</si>
  <si>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</si>
  <si>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</si>
  <si>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</si>
  <si>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</si>
  <si>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</si>
  <si>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</si>
  <si>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</si>
  <si>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</si>
  <si>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</si>
  <si>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</si>
  <si>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</si>
  <si>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</si>
  <si>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</si>
  <si>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</si>
  <si>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</si>
  <si>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</si>
  <si>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</si>
  <si>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</si>
  <si>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</si>
  <si>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</si>
  <si>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</si>
  <si>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</si>
  <si>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</si>
  <si>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</si>
  <si>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</si>
  <si>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</si>
  <si>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</si>
  <si>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</si>
  <si>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</si>
  <si>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</si>
  <si>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</si>
  <si>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</si>
  <si>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</si>
  <si>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</si>
  <si>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</si>
  <si>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</si>
  <si>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</si>
  <si>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</si>
  <si>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</si>
  <si>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</si>
  <si>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</si>
  <si>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</si>
  <si>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</si>
  <si>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</si>
  <si>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</si>
  <si>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</si>
  <si>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</si>
  <si>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</si>
  <si>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</si>
  <si>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</si>
  <si>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</si>
  <si>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</si>
  <si>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</si>
  <si>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</si>
  <si>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</si>
  <si>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</si>
  <si>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</si>
  <si>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</si>
  <si>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</si>
  <si>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</si>
  <si>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</si>
  <si>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</si>
  <si>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</si>
  <si>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</si>
  <si>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</si>
  <si>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</si>
  <si>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</si>
  <si>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</si>
  <si>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</si>
  <si>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</si>
  <si>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</si>
  <si>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</si>
  <si>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</si>
  <si>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</si>
  <si>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</si>
  <si>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</si>
  <si>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</si>
  <si>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</si>
  <si>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</si>
  <si>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</si>
  <si>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</si>
  <si>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</si>
  <si>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</si>
  <si>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</si>
  <si>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</si>
  <si>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</si>
  <si>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</si>
  <si>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</si>
  <si>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</si>
  <si>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</si>
  <si>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</si>
  <si>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</si>
  <si>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</si>
  <si>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</si>
  <si>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</si>
  <si>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</si>
  <si>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</si>
  <si>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</si>
  <si>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</si>
  <si>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</si>
  <si>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</si>
  <si>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</si>
  <si>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</si>
  <si>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</si>
  <si>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</si>
  <si>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</si>
  <si>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</si>
  <si>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</si>
  <si>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</si>
  <si>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</si>
  <si>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</si>
  <si>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</si>
  <si>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</si>
  <si>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</si>
  <si>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</si>
  <si>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</si>
  <si>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</si>
  <si>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</si>
  <si>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</si>
  <si>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</si>
  <si>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</si>
  <si>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</si>
  <si>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</si>
  <si>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</si>
  <si>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</si>
  <si>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</si>
  <si>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</si>
  <si>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</si>
  <si>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</si>
  <si>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</si>
  <si>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</si>
  <si>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</si>
  <si>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</si>
  <si>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</si>
  <si>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</si>
  <si>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</si>
  <si>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</si>
  <si>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</si>
  <si>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</si>
  <si>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</si>
  <si>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</si>
  <si>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</si>
  <si>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</si>
  <si>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</si>
  <si>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</si>
  <si>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</si>
  <si>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</si>
  <si>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</si>
  <si>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</si>
  <si>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</si>
  <si>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</si>
  <si>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</si>
  <si>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</si>
  <si>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</si>
  <si>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</si>
  <si>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</si>
  <si>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</si>
  <si>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</si>
  <si>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</si>
  <si>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</si>
  <si>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</si>
  <si>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</si>
  <si>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</si>
  <si>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</si>
  <si>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</si>
  <si>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</si>
  <si>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</si>
  <si>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</si>
  <si>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</si>
  <si>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</si>
  <si>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</si>
  <si>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</si>
  <si>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</si>
  <si>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</si>
  <si>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</si>
  <si>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</si>
  <si>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</si>
  <si>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</si>
  <si>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</si>
  <si>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</si>
  <si>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</si>
  <si>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</si>
  <si>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</si>
  <si>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</si>
  <si>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</si>
  <si>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</si>
  <si>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</si>
  <si>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</si>
  <si>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</si>
  <si>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</si>
  <si>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</si>
  <si>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</si>
  <si>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</si>
  <si>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</si>
  <si>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</si>
  <si>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</si>
  <si>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</si>
  <si>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</si>
  <si>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</si>
  <si>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</si>
  <si>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</si>
  <si>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</si>
  <si>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</si>
  <si>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</si>
  <si>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</si>
  <si>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</si>
  <si>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</si>
  <si>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</si>
  <si>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</si>
  <si>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</si>
  <si>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</si>
  <si>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</si>
  <si>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</si>
  <si>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</si>
  <si>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</si>
  <si>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</si>
  <si>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</si>
  <si>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</si>
  <si>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</si>
  <si>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</si>
  <si>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</si>
  <si>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</si>
  <si>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</si>
  <si>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</si>
  <si>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</si>
  <si>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</si>
  <si>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</si>
  <si>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</si>
  <si>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</si>
  <si>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</si>
  <si>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</si>
  <si>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</si>
  <si>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</si>
  <si>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</si>
  <si>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</si>
  <si>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</si>
  <si>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</si>
  <si>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</si>
  <si>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</si>
  <si>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</si>
  <si>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</si>
  <si>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</si>
  <si>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</si>
  <si>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</si>
  <si>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</si>
  <si>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</si>
  <si>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</si>
  <si>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</si>
  <si>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</si>
  <si>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</si>
  <si>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</si>
  <si>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</si>
  <si>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</si>
  <si>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</si>
  <si>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</si>
  <si>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</si>
  <si>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</si>
  <si>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</si>
  <si>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</si>
  <si>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</si>
  <si>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</si>
  <si>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</si>
  <si>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</si>
  <si>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</si>
  <si>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</si>
  <si>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</si>
  <si>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</si>
  <si>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</si>
  <si>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</si>
  <si>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</si>
  <si>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</si>
  <si>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</si>
  <si>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</si>
  <si>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</si>
  <si>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</si>
  <si>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</si>
  <si>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</si>
  <si>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</si>
  <si>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</si>
  <si>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</si>
  <si>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</si>
  <si>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</si>
  <si>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</si>
  <si>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</si>
  <si>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</si>
  <si>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</si>
  <si>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</si>
  <si>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</si>
  <si>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</si>
  <si>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</si>
  <si>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</si>
  <si>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</si>
  <si>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</si>
  <si>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</si>
  <si>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</si>
  <si>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</si>
  <si>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</si>
  <si>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</si>
  <si>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</si>
  <si>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</si>
  <si>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</si>
  <si>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</si>
  <si>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</si>
  <si>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</si>
  <si>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</si>
  <si>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</si>
  <si>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</si>
  <si>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</si>
  <si>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</si>
  <si>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</si>
  <si>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</si>
  <si>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</si>
  <si>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</si>
  <si>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</si>
  <si>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</si>
  <si>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</si>
  <si>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</si>
  <si>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</si>
  <si>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</si>
  <si>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</si>
  <si>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</si>
  <si>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</si>
  <si>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</si>
  <si>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</si>
  <si>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</si>
  <si>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</si>
  <si>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</si>
  <si>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</si>
  <si>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</si>
  <si>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</si>
  <si>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</si>
  <si>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</si>
  <si>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</si>
  <si>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</si>
  <si>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</si>
  <si>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</si>
  <si>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</si>
  <si>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</si>
  <si>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</si>
  <si>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</si>
  <si>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</si>
  <si>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</si>
  <si>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</si>
  <si>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</si>
  <si>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</si>
  <si>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</si>
  <si>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</si>
  <si>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</si>
  <si>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</si>
  <si>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</si>
  <si>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</si>
  <si>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</si>
  <si>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</si>
  <si>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</si>
  <si>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</si>
  <si>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</si>
  <si>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</si>
  <si>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</si>
  <si>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</si>
  <si>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</si>
  <si>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</si>
  <si>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</si>
  <si>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</si>
  <si>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</si>
  <si>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</si>
  <si>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</si>
  <si>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</si>
  <si>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</si>
  <si>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</si>
  <si>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</si>
  <si>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</si>
  <si>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</si>
  <si>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</si>
  <si>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</si>
  <si>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</si>
  <si>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</si>
  <si>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</si>
  <si>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</si>
  <si>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</si>
  <si>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</si>
  <si>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</si>
  <si>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</si>
  <si>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</si>
  <si>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</si>
  <si>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</si>
  <si>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</si>
  <si>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</si>
  <si>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</si>
  <si>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</si>
  <si>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</si>
  <si>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</si>
  <si>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</si>
  <si>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</si>
  <si>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</si>
  <si>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</si>
  <si>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</si>
  <si>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</si>
  <si>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</si>
  <si>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</si>
  <si>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</si>
  <si>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</si>
  <si>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</si>
  <si>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</si>
  <si>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</si>
  <si>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</si>
  <si>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</si>
  <si>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</si>
  <si>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</si>
  <si>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</si>
  <si>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</si>
  <si>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</si>
  <si>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</si>
  <si>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</si>
  <si>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</si>
  <si>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</si>
  <si>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</si>
  <si>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</si>
  <si>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</si>
  <si>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</si>
  <si>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</si>
  <si>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</si>
  <si>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</si>
  <si>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</si>
  <si>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</si>
  <si>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</si>
  <si>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</si>
  <si>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</si>
  <si>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</si>
  <si>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</si>
  <si>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</si>
  <si>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</si>
  <si>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</si>
  <si>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</si>
  <si>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</si>
  <si>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</si>
  <si>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</si>
  <si>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</si>
  <si>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</si>
  <si>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</si>
  <si>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</si>
  <si>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</si>
  <si>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</si>
  <si>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</si>
  <si>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</si>
  <si>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</si>
  <si>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</si>
  <si>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</si>
  <si>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</si>
  <si>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</si>
  <si>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</si>
  <si>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</si>
  <si>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</si>
  <si>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</si>
  <si>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</si>
  <si>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</si>
  <si>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</si>
  <si>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</si>
  <si>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</si>
  <si>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</si>
  <si>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</si>
  <si>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</si>
  <si>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</si>
  <si>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</si>
  <si>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</si>
  <si>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</si>
  <si>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</si>
  <si>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</si>
  <si>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</si>
  <si>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</si>
  <si>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</si>
  <si>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</si>
  <si>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</si>
  <si>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</si>
  <si>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</si>
  <si>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</si>
  <si>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</si>
  <si>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</si>
  <si>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</si>
  <si>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</si>
  <si>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</si>
  <si>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</si>
  <si>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</si>
  <si>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</si>
  <si>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</si>
  <si>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</si>
  <si>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</si>
  <si>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</si>
  <si>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</si>
  <si>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</si>
  <si>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</si>
  <si>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</si>
  <si>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</si>
  <si>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</si>
  <si>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</si>
  <si>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</si>
  <si>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</si>
  <si>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</si>
  <si>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</si>
  <si>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</si>
  <si>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</si>
  <si>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</si>
  <si>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</si>
  <si>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</si>
  <si>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</si>
  <si>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</si>
  <si>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</si>
  <si>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</si>
  <si>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</si>
  <si>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</si>
  <si>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</si>
  <si>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</si>
  <si>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</si>
  <si>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</si>
  <si>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</si>
  <si>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</si>
  <si>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</si>
  <si>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</si>
  <si>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</si>
  <si>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</si>
  <si>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</si>
  <si>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</si>
  <si>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</si>
  <si>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</si>
  <si>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</si>
  <si>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</si>
  <si>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</si>
  <si>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</si>
  <si>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</si>
  <si>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</si>
  <si>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</si>
  <si>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</si>
  <si>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</si>
  <si>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</si>
  <si>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</si>
  <si>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</si>
  <si>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</si>
  <si>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</si>
  <si>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</si>
  <si>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</si>
  <si>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</si>
  <si>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</si>
  <si>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</si>
  <si>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</si>
  <si>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</si>
  <si>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</si>
  <si>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</si>
  <si>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</si>
  <si>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</si>
  <si>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</si>
  <si>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</si>
  <si>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</si>
  <si>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</si>
  <si>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</si>
  <si>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</si>
  <si>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</si>
  <si>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</si>
  <si>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</si>
  <si>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</si>
  <si>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</si>
  <si>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</si>
  <si>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</si>
  <si>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</si>
  <si>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</si>
  <si>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</si>
  <si>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</si>
  <si>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</si>
  <si>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</si>
  <si>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</si>
  <si>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</si>
  <si>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</si>
  <si>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</si>
  <si>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</si>
  <si>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</si>
  <si>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</si>
  <si>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</si>
  <si>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</si>
  <si>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</si>
  <si>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</si>
  <si>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</si>
  <si>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</si>
  <si>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</si>
  <si>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</si>
  <si>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</si>
  <si>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</si>
  <si>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</si>
  <si>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</si>
  <si>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</si>
  <si>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</si>
  <si>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</si>
  <si>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</si>
  <si>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</si>
  <si>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</si>
  <si>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</si>
  <si>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</si>
  <si>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</si>
  <si>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</si>
  <si>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</si>
  <si>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</si>
  <si>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</si>
  <si>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</si>
  <si>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</si>
  <si>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</si>
  <si>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</si>
  <si>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</si>
  <si>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</si>
  <si>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</si>
  <si>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</si>
  <si>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</si>
  <si>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</si>
  <si>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</si>
  <si>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</si>
  <si>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</si>
  <si>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</si>
  <si>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</si>
  <si>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</si>
  <si>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</si>
  <si>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</si>
  <si>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</si>
  <si>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</si>
  <si>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</si>
  <si>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</si>
  <si>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</si>
  <si>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</si>
  <si>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</si>
  <si>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</si>
  <si>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</si>
  <si>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</si>
  <si>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</si>
  <si>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</si>
  <si>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</si>
  <si>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</si>
  <si>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</si>
  <si>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</si>
  <si>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</si>
  <si>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</si>
  <si>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</si>
  <si>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</si>
  <si>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</si>
  <si>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</si>
  <si>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</si>
  <si>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</si>
  <si>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</si>
  <si>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</si>
  <si>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</si>
  <si>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</si>
  <si>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</si>
  <si>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</si>
  <si>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</si>
  <si>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</si>
  <si>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</si>
  <si>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</si>
  <si>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</si>
  <si>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</si>
  <si>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</si>
  <si>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</si>
  <si>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</si>
  <si>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</si>
  <si>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</si>
  <si>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</si>
  <si>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</si>
  <si>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</si>
  <si>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</si>
  <si>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</si>
  <si>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</si>
  <si>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</si>
  <si>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</si>
  <si>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</si>
  <si>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</si>
  <si>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</si>
  <si>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</si>
  <si>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</si>
  <si>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</si>
  <si>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</si>
  <si>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</si>
  <si>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</si>
  <si>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</si>
  <si>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</si>
  <si>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</si>
  <si>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</si>
  <si>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</si>
  <si>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</si>
  <si>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</si>
  <si>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</si>
  <si>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</si>
  <si>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</si>
  <si>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</si>
  <si>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</si>
  <si>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</si>
  <si>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</si>
  <si>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</si>
  <si>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</si>
  <si>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</si>
  <si>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</si>
  <si>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</si>
  <si>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</si>
  <si>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</si>
  <si>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</si>
  <si>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</si>
  <si>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</si>
  <si>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</si>
  <si>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</si>
  <si>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</si>
  <si>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</si>
  <si>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</si>
  <si>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</si>
  <si>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</si>
  <si>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</si>
  <si>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</si>
  <si>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</si>
  <si>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</si>
  <si>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</si>
  <si>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</si>
  <si>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</si>
  <si>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</si>
  <si>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</si>
  <si>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</si>
  <si>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</si>
  <si>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</si>
  <si>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</si>
  <si>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</si>
  <si>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</si>
  <si>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</si>
  <si>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</si>
  <si>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</si>
  <si>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</si>
  <si>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</si>
  <si>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</si>
  <si>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</si>
  <si>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</si>
  <si>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</si>
  <si>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</si>
  <si>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</si>
  <si>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</si>
  <si>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</si>
  <si>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</si>
  <si>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</si>
  <si>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</si>
  <si>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</si>
  <si>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</si>
  <si>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</si>
  <si>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</si>
  <si>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</si>
  <si>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</si>
  <si>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</si>
  <si>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</si>
  <si>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</si>
  <si>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</si>
  <si>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</si>
  <si>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</si>
  <si>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</si>
  <si>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</si>
  <si>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</si>
  <si>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</si>
  <si>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</si>
  <si>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</si>
  <si>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</si>
  <si>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</si>
  <si>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</si>
  <si>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</si>
  <si>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</si>
  <si>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</si>
  <si>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</si>
  <si>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</si>
  <si>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</si>
  <si>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</si>
  <si>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</si>
  <si>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</si>
  <si>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</si>
  <si>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</si>
  <si>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</si>
  <si>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</si>
  <si>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</si>
  <si>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</si>
  <si>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</si>
  <si>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</si>
  <si>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</si>
  <si>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</si>
  <si>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</si>
  <si>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</si>
  <si>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</si>
  <si>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</si>
  <si>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</si>
  <si>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</si>
  <si>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</si>
  <si>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</si>
  <si>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</si>
  <si>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</si>
  <si>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</si>
  <si>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</si>
  <si>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</si>
  <si>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</si>
  <si>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</si>
  <si>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</si>
  <si>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</si>
  <si>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</si>
  <si>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</si>
  <si>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</si>
  <si>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</si>
  <si>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</si>
  <si>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</si>
  <si>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</si>
  <si>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</si>
  <si>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</si>
  <si>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</si>
  <si>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</si>
  <si>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</si>
  <si>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</si>
  <si>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</si>
  <si>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</si>
  <si>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</si>
  <si>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</si>
  <si>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</si>
  <si>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</si>
  <si>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</si>
  <si>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</si>
  <si>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</si>
  <si>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</si>
  <si>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</si>
  <si>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</si>
  <si>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</si>
  <si>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</si>
  <si>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</si>
  <si>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</si>
  <si>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</si>
  <si>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</si>
  <si>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</si>
  <si>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</si>
  <si>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</si>
  <si>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</si>
  <si>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</si>
  <si>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</si>
  <si>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</si>
  <si>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</si>
  <si>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</si>
  <si>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</si>
  <si>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</si>
  <si>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</si>
  <si>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</si>
  <si>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</si>
  <si>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</si>
  <si>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</si>
  <si>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</si>
  <si>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</si>
  <si>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</si>
  <si>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</si>
  <si>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</si>
  <si>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</si>
  <si>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</si>
  <si>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</si>
  <si>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</si>
  <si>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</si>
  <si>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</si>
  <si>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</si>
  <si>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</si>
  <si>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</si>
  <si>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</si>
  <si>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</si>
  <si>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</si>
  <si>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</si>
  <si>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</si>
  <si>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</si>
  <si>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</si>
  <si>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</si>
  <si>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</si>
  <si>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</si>
  <si>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</si>
  <si>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</si>
  <si>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</si>
  <si>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</si>
  <si>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</si>
  <si>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</si>
  <si>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</si>
  <si>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</si>
  <si>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</si>
  <si>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</si>
  <si>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</si>
  <si>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</si>
  <si>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</si>
  <si>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</si>
  <si>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</si>
  <si>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</si>
  <si>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</si>
  <si>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</si>
  <si>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</si>
  <si>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</si>
  <si>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</si>
  <si>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</si>
  <si>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</si>
  <si>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</si>
  <si>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</si>
  <si>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</si>
  <si>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</si>
  <si>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</si>
  <si>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</si>
  <si>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</si>
  <si>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</si>
  <si>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</si>
  <si>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</si>
  <si>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</si>
  <si>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</si>
  <si>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</si>
  <si>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</si>
  <si>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</si>
  <si>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</si>
  <si>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</si>
  <si>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</si>
  <si>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</si>
  <si>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</si>
  <si>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</si>
  <si>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</si>
  <si>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</si>
  <si>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</si>
  <si>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</si>
  <si>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</si>
  <si>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</si>
  <si>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</si>
  <si>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</si>
  <si>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</si>
  <si>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</si>
  <si>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</si>
  <si>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</si>
  <si>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</si>
  <si>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</si>
  <si>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</si>
  <si>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</si>
  <si>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</si>
  <si>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</si>
  <si>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</si>
  <si>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</si>
  <si>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</si>
  <si>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</si>
  <si>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</si>
  <si>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</si>
  <si>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</si>
  <si>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</si>
  <si>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</si>
  <si>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</si>
  <si>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</si>
  <si>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</si>
  <si>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</si>
  <si>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</si>
  <si>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</si>
  <si>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</si>
  <si>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</si>
  <si>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</si>
  <si>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</si>
  <si>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</si>
  <si>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</si>
  <si>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</si>
  <si>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</si>
  <si>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</si>
  <si>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</si>
  <si>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</si>
  <si>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</si>
  <si>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</si>
  <si>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</si>
  <si>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</si>
  <si>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</si>
  <si>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</si>
  <si>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</si>
  <si>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</si>
  <si>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</si>
  <si>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</si>
  <si>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</si>
  <si>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</si>
  <si>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</si>
  <si>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</si>
  <si>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</si>
  <si>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</si>
  <si>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</si>
  <si>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</si>
  <si>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</si>
  <si>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</si>
  <si>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</si>
  <si>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</si>
  <si>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</si>
  <si>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</si>
  <si>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</si>
  <si>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</si>
  <si>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</si>
  <si>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</si>
  <si>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</si>
  <si>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</si>
  <si>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</si>
  <si>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</si>
  <si>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</si>
  <si>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</si>
  <si>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</si>
  <si>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</si>
  <si>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</si>
  <si>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</si>
  <si>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</si>
  <si>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</si>
  <si>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</si>
  <si>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</si>
  <si>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</si>
  <si>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</si>
  <si>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</si>
  <si>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</si>
  <si>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</si>
  <si>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</si>
  <si>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</si>
  <si>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</si>
  <si>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</si>
  <si>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</si>
  <si>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</si>
  <si>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</si>
  <si>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</si>
  <si>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</si>
  <si>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</si>
  <si>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</si>
  <si>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</si>
  <si>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</si>
  <si>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</si>
  <si>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</si>
  <si>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</si>
  <si>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</si>
  <si>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</si>
  <si>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</si>
  <si>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</si>
  <si>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</si>
  <si>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</si>
  <si>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</si>
  <si>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</si>
  <si>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</si>
  <si>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</si>
  <si>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</si>
  <si>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</si>
  <si>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</si>
  <si>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</si>
  <si>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</si>
  <si>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</si>
  <si>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</si>
  <si>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</si>
  <si>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</si>
  <si>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</si>
  <si>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</si>
  <si>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</si>
  <si>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</si>
  <si>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</si>
  <si>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</si>
  <si>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</si>
  <si>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</si>
  <si>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</si>
  <si>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</si>
  <si>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</si>
  <si>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</si>
  <si>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</si>
  <si>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</si>
  <si>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</si>
  <si>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</si>
  <si>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</si>
  <si>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</si>
  <si>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</si>
  <si>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</si>
  <si>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</si>
  <si>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</si>
  <si>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</si>
  <si>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</si>
  <si>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</si>
  <si>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</si>
  <si>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</si>
  <si>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</si>
  <si>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</si>
  <si>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</si>
  <si>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</si>
  <si>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</si>
  <si>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</si>
  <si>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</si>
  <si>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</si>
  <si>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</si>
  <si>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</si>
  <si>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</si>
  <si>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</si>
  <si>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</si>
  <si>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</si>
  <si>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</si>
  <si>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</si>
  <si>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</si>
  <si>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</si>
  <si>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</si>
  <si>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</si>
  <si>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</si>
  <si>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</si>
  <si>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</si>
  <si>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</si>
  <si>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</si>
  <si>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</si>
  <si>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</si>
  <si>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</si>
  <si>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</si>
  <si>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</si>
  <si>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</si>
  <si>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</si>
  <si>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</si>
  <si>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</si>
  <si>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</si>
  <si>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</si>
  <si>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</si>
  <si>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</si>
  <si>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</si>
  <si>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</si>
  <si>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</si>
  <si>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</si>
  <si>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</si>
  <si>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</si>
  <si>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</si>
  <si>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</si>
  <si>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</si>
  <si>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</si>
  <si>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</si>
  <si>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</si>
  <si>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</si>
  <si>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</si>
  <si>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</si>
  <si>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</si>
  <si>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</si>
  <si>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</si>
  <si>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</si>
  <si>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</si>
  <si>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</si>
  <si>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</si>
  <si>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</si>
  <si>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</si>
  <si>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</si>
  <si>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</si>
  <si>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</si>
  <si>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</si>
  <si>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</si>
  <si>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</si>
  <si>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</si>
  <si>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</si>
  <si>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</si>
  <si>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</si>
  <si>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</si>
  <si>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</si>
  <si>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</si>
  <si>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</si>
  <si>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</si>
  <si>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</si>
  <si>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</si>
  <si>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</si>
  <si>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</si>
  <si>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</si>
  <si>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</si>
  <si>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</si>
  <si>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</si>
  <si>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</si>
  <si>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</si>
  <si>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</si>
  <si>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</si>
  <si>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</si>
  <si>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</si>
  <si>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</si>
  <si>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</si>
  <si>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</si>
  <si>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</si>
  <si>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</si>
  <si>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</si>
  <si>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</si>
  <si>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</si>
  <si>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</si>
  <si>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</si>
  <si>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</si>
  <si>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</si>
  <si>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</si>
  <si>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</si>
  <si>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</si>
  <si>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</si>
  <si>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</si>
  <si>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</si>
  <si>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</si>
  <si>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</si>
  <si>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</si>
  <si>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</si>
  <si>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</si>
  <si>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</si>
  <si>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</si>
  <si>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</si>
  <si>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</si>
  <si>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</si>
  <si>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</si>
  <si>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</si>
  <si>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</si>
  <si>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</si>
  <si>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</si>
  <si>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</si>
  <si>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</si>
  <si>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</si>
  <si>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</si>
  <si>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</si>
  <si>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</si>
  <si>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</si>
  <si>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</si>
  <si>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</si>
  <si>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</si>
  <si>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</si>
  <si>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</si>
  <si>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</si>
  <si>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</si>
  <si>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</si>
  <si>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</si>
  <si>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</si>
  <si>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</si>
  <si>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</si>
  <si>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</si>
  <si>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</si>
  <si>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</si>
  <si>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</si>
  <si>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</si>
  <si>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</si>
  <si>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</si>
  <si>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</si>
  <si>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</si>
  <si>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</si>
  <si>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</si>
  <si>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</si>
  <si>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</si>
  <si>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</si>
  <si>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</si>
  <si>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</si>
  <si>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</si>
  <si>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</si>
  <si>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</si>
  <si>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</si>
  <si>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</si>
  <si>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</si>
  <si>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</si>
  <si>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</si>
  <si>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</si>
  <si>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</si>
  <si>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</si>
  <si>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</si>
  <si>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</si>
  <si>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</si>
  <si>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</si>
  <si>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</si>
  <si>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</si>
  <si>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</si>
  <si>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</si>
  <si>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</si>
  <si>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</si>
  <si>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</si>
  <si>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</si>
  <si>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</si>
  <si>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</si>
  <si>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</si>
  <si>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</si>
  <si>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</si>
  <si>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</si>
  <si>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</si>
  <si>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</si>
  <si>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</si>
  <si>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</si>
  <si>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</si>
  <si>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</si>
  <si>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</si>
  <si>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</si>
  <si>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</si>
  <si>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</si>
  <si>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</si>
  <si>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</si>
  <si>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</si>
  <si>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</si>
  <si>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</si>
  <si>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</si>
  <si>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</si>
  <si>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</si>
  <si>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</si>
  <si>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</si>
  <si>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</si>
  <si>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</si>
  <si>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</si>
  <si>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</si>
  <si>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</si>
  <si>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</si>
  <si>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</si>
  <si>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</si>
  <si>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</si>
  <si>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</si>
  <si>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</si>
  <si>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</si>
  <si>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</si>
  <si>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</si>
  <si>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</si>
  <si>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</si>
  <si>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</si>
  <si>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</si>
  <si>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</si>
  <si>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</si>
  <si>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</si>
  <si>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</si>
  <si>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</si>
  <si>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</si>
  <si>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</si>
  <si>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</si>
  <si>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</si>
  <si>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</si>
  <si>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</si>
  <si>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</si>
  <si>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</si>
  <si>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</si>
  <si>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</si>
  <si>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</si>
  <si>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</si>
  <si>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</si>
  <si>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</si>
  <si>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</si>
  <si>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</si>
  <si>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</si>
  <si>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</si>
  <si>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</si>
  <si>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</si>
  <si>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</si>
  <si>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</si>
  <si>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</si>
  <si>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</si>
  <si>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</si>
  <si>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</si>
  <si>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</si>
  <si>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</si>
  <si>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</si>
  <si>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</si>
  <si>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</si>
  <si>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</si>
  <si>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</si>
  <si>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</si>
  <si>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</si>
  <si>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</si>
  <si>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</si>
  <si>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</si>
  <si>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</si>
  <si>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</si>
  <si>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</si>
  <si>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</si>
  <si>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</si>
  <si>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</si>
  <si>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</si>
  <si>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</si>
  <si>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</si>
  <si>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</si>
  <si>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</si>
  <si>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</si>
  <si>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</si>
  <si>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</si>
  <si>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</si>
  <si>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</si>
  <si>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</si>
  <si>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</si>
  <si>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</si>
  <si>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</si>
  <si>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</si>
  <si>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</si>
  <si>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</si>
  <si>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</si>
  <si>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</si>
  <si>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</si>
  <si>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</si>
  <si>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</si>
  <si>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</si>
  <si>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</si>
  <si>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</si>
  <si>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</si>
  <si>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</si>
  <si>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</si>
  <si>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</si>
  <si>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</si>
  <si>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</si>
  <si>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</si>
  <si>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</si>
  <si>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</si>
  <si>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</si>
  <si>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</si>
  <si>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</si>
  <si>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</si>
  <si>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</si>
  <si>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</si>
  <si>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</si>
  <si>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</si>
  <si>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</si>
  <si>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</si>
  <si>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</si>
  <si>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</si>
  <si>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</si>
  <si>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</si>
  <si>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</si>
  <si>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</si>
  <si>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</si>
  <si>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</si>
  <si>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</si>
  <si>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</si>
  <si>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</si>
  <si>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</si>
  <si>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</si>
  <si>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</si>
  <si>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</si>
  <si>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</si>
  <si>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</si>
  <si>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</si>
  <si>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</si>
  <si>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</si>
  <si>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</si>
  <si>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</si>
  <si>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</si>
  <si>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</si>
  <si>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</si>
  <si>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</si>
  <si>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</si>
  <si>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</si>
  <si>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</si>
  <si>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</si>
  <si>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</si>
  <si>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</si>
  <si>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</si>
  <si>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</si>
  <si>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</si>
  <si>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</si>
  <si>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</si>
  <si>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</si>
  <si>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</si>
  <si>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</si>
  <si>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</si>
  <si>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</si>
  <si>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</si>
  <si>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</si>
  <si>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</si>
  <si>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</si>
  <si>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</si>
  <si>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</si>
  <si>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</si>
  <si>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</si>
  <si>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</si>
  <si>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</si>
  <si>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</si>
  <si>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</si>
  <si>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</si>
  <si>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</si>
  <si>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</si>
  <si>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</si>
  <si>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</si>
  <si>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</si>
  <si>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</si>
  <si>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</si>
  <si>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</si>
  <si>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</si>
  <si>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</si>
  <si>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</si>
  <si>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</si>
  <si>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</si>
  <si>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</si>
  <si>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</si>
  <si>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</si>
  <si>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</si>
  <si>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</si>
  <si>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</si>
  <si>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</si>
  <si>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</si>
  <si>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</si>
  <si>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</si>
  <si>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</si>
  <si>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</si>
  <si>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</si>
  <si>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</si>
  <si>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</si>
  <si>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</si>
  <si>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</si>
  <si>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</si>
  <si>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</si>
  <si>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</si>
  <si>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</si>
  <si>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</si>
  <si>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</si>
  <si>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</si>
  <si>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</si>
  <si>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</si>
  <si>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</si>
  <si>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</si>
  <si>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</si>
  <si>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</si>
  <si>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</si>
  <si>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</si>
  <si>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</si>
  <si>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</si>
  <si>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</si>
  <si>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</si>
  <si>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</si>
  <si>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</si>
  <si>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</si>
  <si>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</si>
  <si>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</si>
  <si>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</si>
  <si>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</si>
  <si>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</si>
  <si>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</si>
  <si>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</si>
  <si>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</si>
  <si>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</si>
  <si>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</si>
  <si>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</si>
  <si>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</si>
  <si>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</si>
  <si>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</si>
  <si>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</si>
  <si>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</si>
  <si>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</si>
  <si>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</si>
  <si>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</si>
  <si>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</si>
  <si>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</si>
  <si>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</si>
  <si>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</si>
  <si>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</si>
  <si>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</si>
  <si>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</si>
  <si>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</si>
  <si>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</si>
  <si>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</si>
  <si>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</si>
  <si>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</si>
  <si>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</si>
  <si>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</si>
  <si>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</si>
  <si>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</si>
  <si>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</si>
  <si>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</si>
  <si>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</si>
  <si>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</si>
  <si>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</si>
  <si>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</si>
  <si>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</si>
  <si>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</si>
  <si>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</si>
  <si>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</si>
  <si>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</si>
  <si>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</si>
  <si>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</si>
  <si>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</si>
  <si>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</si>
  <si>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</si>
  <si>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</si>
  <si>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</si>
  <si>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</si>
  <si>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</si>
  <si>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</si>
  <si>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</si>
  <si>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</si>
  <si>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</si>
  <si>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</si>
  <si>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</si>
  <si>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</si>
  <si>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</si>
  <si>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</si>
  <si>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</si>
  <si>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</si>
  <si>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</si>
  <si>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</si>
  <si>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</si>
  <si>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</si>
  <si>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</si>
  <si>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</si>
  <si>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</si>
  <si>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</si>
  <si>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</si>
  <si>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</si>
  <si>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</si>
  <si>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</si>
  <si>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</si>
  <si>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</si>
  <si>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</si>
  <si>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</si>
  <si>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</si>
  <si>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</si>
  <si>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</si>
  <si>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</si>
  <si>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</si>
  <si>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</si>
  <si>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</si>
  <si>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</si>
  <si>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</si>
  <si>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</si>
  <si>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</si>
  <si>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</si>
  <si>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</si>
  <si>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</si>
  <si>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</si>
  <si>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</si>
  <si>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</si>
  <si>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</si>
  <si>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</si>
  <si>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</si>
  <si>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</si>
  <si>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</si>
  <si>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</si>
  <si>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</si>
  <si>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</si>
  <si>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</si>
  <si>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</si>
  <si>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</si>
  <si>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</si>
  <si>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</si>
  <si>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</si>
  <si>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</si>
  <si>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</si>
  <si>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</si>
  <si>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</si>
  <si>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</si>
  <si>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</si>
  <si>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</si>
  <si>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</si>
  <si>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</si>
  <si>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</si>
  <si>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</si>
  <si>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</si>
  <si>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</si>
  <si>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</si>
  <si>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</si>
  <si>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</si>
  <si>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</si>
  <si>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</si>
  <si>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</si>
  <si>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</si>
  <si>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</si>
  <si>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</si>
  <si>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</si>
  <si>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</si>
  <si>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</si>
  <si>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</si>
  <si>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</si>
  <si>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</si>
  <si>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</si>
  <si>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</si>
  <si>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</si>
  <si>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</si>
  <si>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</si>
  <si>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</si>
  <si>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</si>
  <si>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</si>
  <si>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</si>
  <si>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</si>
  <si>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</si>
  <si>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</si>
  <si>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</si>
  <si>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</si>
  <si>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</si>
  <si>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</si>
  <si>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</si>
  <si>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</si>
  <si>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</si>
  <si>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</si>
  <si>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</si>
  <si>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</si>
  <si>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</si>
  <si>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</si>
  <si>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</si>
  <si>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</si>
  <si>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</si>
  <si>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</si>
  <si>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</si>
  <si>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</si>
  <si>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</si>
  <si>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</si>
  <si>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</si>
  <si>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</si>
  <si>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</si>
  <si>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</si>
  <si>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</si>
  <si>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</si>
  <si>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</si>
  <si>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</si>
  <si>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</si>
  <si>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</si>
  <si>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</si>
  <si>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</si>
  <si>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</si>
  <si>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</si>
  <si>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</si>
  <si>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</si>
  <si>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</si>
  <si>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</si>
  <si>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</si>
  <si>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</si>
  <si>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</si>
  <si>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</si>
  <si>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</si>
  <si>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</si>
  <si>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</si>
  <si>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</si>
  <si>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</si>
  <si>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</si>
  <si>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</si>
  <si>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</si>
  <si>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</si>
  <si>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</si>
  <si>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</si>
  <si>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</si>
  <si>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</si>
  <si>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</si>
  <si>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</si>
  <si>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</si>
  <si>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</si>
  <si>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</si>
  <si>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</si>
  <si>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</si>
  <si>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</si>
  <si>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</si>
  <si>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</si>
  <si>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</si>
  <si>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</si>
  <si>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</si>
  <si>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</si>
  <si>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</si>
  <si>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</si>
  <si>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</si>
  <si>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</si>
  <si>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</si>
  <si>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</si>
  <si>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</si>
  <si>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</si>
  <si>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</si>
  <si>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</si>
  <si>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</si>
  <si>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</si>
  <si>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</si>
  <si>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</si>
  <si>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</si>
  <si>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</si>
  <si>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</si>
  <si>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</si>
  <si>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</si>
  <si>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</si>
  <si>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</si>
  <si>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</si>
  <si>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</si>
  <si>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</si>
  <si>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</si>
  <si>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</si>
  <si>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</si>
  <si>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</si>
  <si>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</si>
  <si>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</si>
  <si>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</si>
  <si>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</si>
  <si>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</si>
  <si>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</si>
  <si>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</si>
  <si>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</si>
  <si>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</si>
  <si>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</si>
  <si>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</si>
  <si>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</si>
  <si>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</si>
  <si>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</si>
  <si>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</si>
  <si>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</si>
  <si>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</si>
  <si>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</si>
  <si>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</si>
  <si>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</si>
  <si>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</si>
  <si>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</si>
  <si>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</si>
  <si>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</si>
  <si>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</si>
  <si>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</si>
  <si>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</si>
  <si>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</si>
  <si>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</si>
  <si>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</si>
  <si>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</si>
  <si>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</si>
  <si>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</si>
  <si>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</si>
  <si>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</si>
  <si>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</si>
  <si>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</si>
  <si>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</si>
  <si>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</si>
  <si>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</si>
  <si>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</si>
  <si>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</si>
  <si>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</si>
  <si>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</si>
  <si>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</si>
  <si>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</si>
  <si>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</si>
  <si>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</si>
  <si>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</si>
  <si>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</si>
  <si>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</si>
  <si>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</si>
  <si>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</si>
  <si>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</si>
  <si>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</si>
  <si>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</si>
  <si>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</si>
  <si>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</si>
  <si>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</si>
  <si>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</si>
  <si>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</si>
  <si>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</si>
  <si>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</si>
  <si>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</si>
  <si>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</si>
  <si>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</si>
  <si>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</si>
  <si>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</si>
  <si>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</si>
  <si>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</si>
  <si>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</si>
  <si>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</si>
  <si>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</si>
  <si>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</si>
  <si>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</si>
  <si>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</si>
  <si>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</si>
  <si>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</si>
  <si>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</si>
  <si>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</si>
  <si>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</si>
  <si>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</si>
  <si>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</si>
  <si>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</si>
  <si>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</si>
  <si>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</si>
  <si>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</si>
  <si>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</si>
  <si>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</si>
  <si>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</si>
  <si>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</si>
  <si>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</si>
  <si>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</si>
  <si>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</si>
  <si>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</si>
  <si>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</si>
  <si>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</si>
  <si>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</si>
  <si>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</si>
  <si>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</si>
  <si>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</si>
  <si>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</si>
  <si>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</si>
  <si>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</si>
  <si>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</si>
  <si>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</si>
  <si>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</si>
  <si>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</si>
  <si>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</si>
  <si>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</si>
  <si>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</si>
  <si>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</si>
  <si>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</si>
  <si>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</si>
  <si>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</si>
  <si>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</si>
  <si>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</si>
  <si>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</si>
  <si>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</si>
  <si>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</si>
  <si>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</si>
  <si>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</si>
  <si>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</si>
  <si>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</si>
  <si>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</si>
  <si>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</si>
  <si>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</si>
  <si>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</si>
  <si>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</si>
  <si>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</si>
  <si>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</si>
  <si>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</si>
  <si>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</si>
  <si>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</si>
  <si>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</si>
  <si>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</si>
  <si>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</si>
  <si>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</si>
  <si>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</si>
  <si>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</si>
  <si>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</si>
  <si>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</si>
  <si>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</si>
  <si>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</si>
  <si>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</si>
  <si>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</si>
  <si>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</si>
  <si>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</si>
  <si>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</si>
  <si>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</si>
  <si>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</si>
  <si>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</si>
  <si>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</si>
  <si>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</si>
  <si>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</si>
  <si>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</si>
  <si>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</si>
  <si>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</si>
  <si>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</si>
  <si>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</si>
  <si>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</si>
  <si>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</si>
  <si>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</si>
  <si>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</si>
  <si>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</si>
  <si>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</si>
  <si>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</si>
  <si>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</si>
  <si>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</si>
  <si>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</si>
  <si>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</si>
  <si>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</si>
  <si>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</si>
  <si>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</si>
  <si>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</si>
  <si>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</si>
  <si>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</si>
  <si>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</si>
  <si>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</si>
  <si>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</si>
  <si>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</si>
  <si>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</si>
  <si>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</si>
  <si>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</si>
  <si>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</si>
  <si>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</si>
  <si>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</si>
  <si>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</si>
  <si>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</si>
  <si>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</si>
  <si>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</si>
  <si>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</si>
  <si>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</si>
  <si>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</si>
  <si>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</si>
  <si>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</si>
  <si>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</si>
  <si>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</si>
  <si>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</si>
  <si>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</si>
  <si>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</si>
  <si>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</si>
  <si>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</si>
  <si>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</si>
  <si>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</si>
  <si>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</si>
  <si>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</si>
  <si>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</si>
  <si>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</si>
  <si>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</si>
  <si>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</si>
  <si>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</si>
  <si>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</si>
  <si>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</si>
  <si>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</si>
  <si>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</si>
  <si>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</si>
  <si>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</si>
  <si>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</si>
  <si>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</si>
  <si>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</si>
  <si>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</si>
  <si>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</si>
  <si>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</si>
  <si>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</si>
  <si>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</si>
  <si>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</si>
  <si>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</si>
  <si>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</si>
  <si>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</si>
  <si>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</si>
  <si>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</si>
  <si>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</si>
  <si>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</si>
  <si>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</si>
  <si>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</si>
  <si>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</si>
  <si>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</si>
  <si>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</si>
  <si>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</si>
  <si>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</si>
  <si>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</si>
  <si>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</si>
  <si>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</si>
  <si>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</si>
  <si>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</si>
  <si>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</si>
  <si>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</si>
  <si>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</si>
  <si>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</si>
  <si>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</si>
  <si>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</si>
  <si>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</si>
  <si>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</si>
  <si>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</si>
  <si>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</si>
  <si>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</si>
  <si>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</si>
  <si>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</si>
  <si>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</si>
  <si>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</si>
  <si>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</si>
  <si>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</si>
  <si>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</si>
  <si>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</si>
  <si>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</si>
  <si>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</si>
  <si>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</si>
  <si>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</si>
  <si>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</si>
  <si>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</si>
  <si>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</si>
  <si>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</si>
  <si>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</si>
  <si>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</si>
  <si>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</si>
  <si>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</si>
  <si>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</si>
  <si>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</si>
  <si>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</si>
  <si>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</si>
  <si>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</si>
  <si>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</si>
  <si>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</si>
  <si>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</si>
  <si>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</si>
  <si>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</si>
  <si>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</si>
  <si>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</si>
  <si>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</si>
  <si>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</si>
  <si>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</si>
  <si>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</si>
  <si>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</si>
  <si>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</si>
  <si>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</si>
  <si>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</si>
  <si>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</si>
  <si>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</si>
  <si>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</si>
  <si>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</si>
  <si>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</si>
  <si>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</si>
  <si>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</si>
  <si>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</si>
  <si>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</si>
  <si>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</si>
  <si>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</si>
  <si>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</si>
  <si>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</si>
  <si>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</si>
  <si>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</si>
  <si>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</si>
  <si>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</si>
  <si>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</si>
  <si>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</si>
  <si>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</si>
  <si>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</si>
  <si>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</si>
  <si>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</si>
  <si>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</si>
  <si>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</si>
  <si>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</si>
  <si>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</si>
  <si>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</si>
  <si>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</si>
  <si>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</si>
  <si>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</si>
  <si>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</si>
  <si>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</si>
  <si>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</si>
  <si>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</si>
  <si>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</si>
  <si>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</si>
  <si>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</si>
  <si>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</si>
  <si>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</si>
  <si>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</si>
  <si>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</si>
  <si>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</si>
  <si>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</si>
  <si>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</si>
  <si>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</si>
  <si>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</si>
  <si>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</si>
  <si>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</si>
  <si>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</si>
  <si>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</si>
  <si>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</si>
  <si>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</si>
  <si>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</si>
  <si>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</si>
  <si>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</si>
  <si>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</si>
  <si>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</si>
  <si>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</si>
  <si>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</si>
  <si>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</si>
  <si>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</si>
  <si>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</si>
  <si>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</si>
  <si>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</si>
  <si>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</si>
  <si>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</si>
  <si>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</si>
  <si>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</si>
  <si>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</si>
  <si>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</si>
  <si>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</si>
  <si>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</si>
  <si>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</si>
  <si>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</si>
  <si>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</si>
  <si>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</si>
  <si>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</si>
  <si>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</si>
  <si>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</si>
  <si>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</si>
  <si>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</si>
  <si>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</si>
  <si>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</si>
  <si>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</si>
  <si>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</si>
  <si>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</si>
  <si>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</si>
  <si>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</si>
  <si>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</si>
  <si>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</si>
  <si>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</si>
  <si>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</si>
  <si>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</si>
  <si>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</si>
  <si>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</si>
  <si>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</si>
  <si>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</si>
  <si>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</si>
  <si>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</si>
  <si>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</si>
  <si>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</si>
  <si>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</si>
  <si>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</si>
  <si>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</si>
  <si>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</si>
  <si>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</si>
  <si>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</si>
  <si>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</si>
  <si>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</si>
  <si>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</si>
  <si>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</si>
  <si>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</si>
  <si>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</si>
  <si>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</si>
  <si>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</si>
  <si>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</si>
  <si>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</si>
  <si>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</si>
  <si>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</si>
  <si>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</si>
  <si>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</si>
  <si>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</si>
  <si>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</si>
  <si>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</si>
  <si>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</si>
  <si>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</si>
  <si>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</si>
  <si>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</si>
  <si>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</si>
  <si>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</si>
  <si>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</si>
  <si>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</si>
  <si>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</si>
  <si>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</si>
  <si>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</si>
  <si>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</si>
  <si>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</si>
  <si>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</si>
  <si>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</si>
  <si>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</si>
  <si>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</si>
  <si>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</si>
  <si>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</si>
  <si>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</si>
  <si>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</si>
  <si>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</si>
  <si>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</si>
  <si>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</si>
  <si>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</si>
  <si>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</si>
  <si>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</si>
  <si>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</si>
  <si>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</si>
  <si>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</si>
  <si>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</si>
  <si>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</si>
  <si>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</si>
  <si>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</si>
  <si>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</si>
  <si>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</si>
  <si>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</si>
  <si>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</si>
  <si>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</si>
  <si>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</si>
  <si>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</si>
  <si>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</si>
  <si>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</si>
  <si>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</si>
  <si>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</si>
  <si>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</si>
  <si>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</si>
  <si>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</si>
  <si>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</si>
  <si>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</si>
  <si>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</si>
  <si>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</si>
  <si>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</si>
  <si>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</si>
  <si>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</si>
  <si>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</si>
  <si>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</si>
  <si>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</si>
  <si>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</si>
  <si>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</si>
  <si>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</si>
  <si>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</si>
  <si>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</si>
  <si>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</si>
  <si>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</si>
  <si>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</si>
  <si>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</si>
  <si>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</si>
  <si>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</si>
  <si>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</si>
  <si>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</si>
  <si>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</si>
  <si>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</si>
  <si>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</si>
  <si>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</si>
  <si>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</si>
  <si>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</si>
  <si>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</si>
  <si>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</si>
  <si>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</si>
  <si>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</si>
  <si>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</si>
  <si>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</si>
  <si>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</si>
  <si>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</si>
  <si>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</si>
  <si>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</si>
  <si>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</si>
  <si>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</si>
  <si>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</si>
  <si>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</si>
  <si>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</si>
  <si>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</si>
  <si>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</si>
  <si>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</si>
  <si>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</si>
  <si>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</si>
  <si>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</si>
  <si>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</si>
  <si>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</si>
  <si>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</si>
  <si>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</si>
  <si>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</si>
  <si>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</si>
  <si>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</si>
  <si>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</si>
  <si>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</si>
  <si>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</si>
  <si>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</si>
  <si>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</si>
  <si>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</si>
  <si>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</si>
  <si>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</si>
  <si>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</si>
  <si>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</si>
  <si>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</si>
  <si>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</si>
  <si>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</si>
  <si>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</si>
  <si>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</si>
  <si>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</si>
  <si>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</si>
  <si>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</si>
  <si>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</si>
  <si>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</si>
  <si>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</si>
  <si>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</si>
  <si>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</si>
  <si>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</si>
  <si>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</si>
  <si>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</si>
  <si>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</si>
  <si>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</si>
  <si>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</si>
  <si>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</si>
  <si>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</si>
  <si>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</si>
  <si>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</si>
  <si>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</si>
  <si>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</si>
  <si>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</si>
  <si>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</si>
  <si>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</si>
  <si>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</si>
  <si>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</si>
  <si>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</si>
  <si>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</si>
  <si>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</si>
  <si>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</si>
  <si>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</si>
  <si>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</si>
  <si>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</si>
  <si>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</si>
  <si>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</si>
  <si>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</si>
  <si>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</si>
  <si>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</si>
  <si>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</si>
  <si>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</si>
  <si>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</si>
  <si>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</si>
  <si>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</si>
  <si>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</si>
  <si>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</si>
  <si>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</si>
  <si>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</si>
  <si>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</si>
  <si>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</si>
  <si>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</si>
  <si>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</si>
  <si>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</si>
  <si>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</si>
  <si>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</si>
  <si>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</si>
  <si>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</si>
  <si>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</si>
  <si>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</si>
  <si>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</si>
  <si>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</si>
  <si>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</si>
  <si>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</si>
  <si>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</si>
  <si>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</si>
  <si>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</si>
  <si>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</si>
  <si>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</si>
  <si>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</si>
  <si>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</si>
  <si>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</si>
  <si>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</si>
  <si>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</si>
  <si>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</si>
  <si>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</si>
  <si>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</si>
  <si>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</si>
  <si>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</si>
  <si>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</si>
  <si>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</si>
  <si>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</si>
  <si>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</si>
  <si>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</si>
  <si>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</si>
  <si>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</si>
  <si>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</si>
  <si>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</si>
  <si>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</si>
  <si>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</si>
  <si>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</si>
  <si>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</si>
  <si>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</si>
  <si>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</si>
  <si>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</si>
  <si>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</si>
  <si>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</si>
  <si>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</si>
  <si>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</si>
  <si>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</si>
  <si>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</si>
  <si>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</si>
  <si>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</si>
  <si>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</si>
  <si>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</si>
  <si>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</si>
  <si>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</si>
  <si>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</si>
  <si>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</si>
  <si>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</si>
  <si>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</si>
  <si>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</si>
  <si>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</si>
  <si>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</si>
  <si>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</si>
  <si>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</si>
  <si>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</si>
  <si>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</si>
  <si>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</si>
  <si>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</si>
  <si>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</si>
  <si>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</si>
  <si>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</si>
  <si>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</si>
  <si>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</si>
  <si>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</si>
  <si>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</si>
  <si>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</si>
  <si>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</si>
  <si>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</si>
  <si>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</si>
  <si>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</si>
  <si>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</si>
  <si>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</si>
  <si>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</si>
  <si>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</si>
  <si>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</si>
  <si>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</si>
  <si>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</si>
  <si>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</si>
  <si>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</si>
  <si>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</si>
  <si>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</si>
  <si>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</si>
  <si>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</si>
  <si>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</si>
  <si>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</si>
  <si>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</si>
  <si>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</si>
  <si>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</si>
  <si>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</si>
  <si>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</si>
  <si>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</si>
  <si>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</si>
  <si>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</si>
  <si>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</si>
  <si>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</si>
  <si>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</si>
  <si>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</si>
  <si>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</si>
  <si>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</si>
  <si>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</si>
  <si>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</si>
  <si>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</si>
  <si>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</si>
  <si>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</si>
  <si>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</si>
  <si>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</si>
  <si>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</si>
  <si>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</si>
  <si>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</si>
  <si>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</si>
  <si>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</si>
  <si>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</si>
  <si>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</si>
  <si>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</si>
  <si>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</si>
  <si>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</si>
  <si>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</si>
  <si>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</si>
  <si>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</si>
  <si>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</si>
  <si>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</si>
  <si>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</si>
  <si>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</si>
  <si>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</si>
  <si>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</si>
  <si>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</si>
  <si>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</si>
  <si>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</si>
  <si>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</si>
  <si>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</si>
  <si>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</si>
  <si>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</si>
  <si>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</si>
  <si>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</si>
  <si>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</si>
  <si>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</si>
  <si>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</si>
  <si>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</si>
  <si>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</si>
  <si>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</si>
  <si>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</si>
  <si>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</si>
  <si>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</si>
  <si>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</si>
  <si>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</si>
  <si>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</si>
  <si>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</si>
  <si>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</si>
  <si>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</si>
  <si>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</si>
  <si>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</si>
  <si>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</si>
  <si>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</si>
  <si>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</si>
  <si>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</si>
  <si>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</si>
  <si>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</si>
  <si>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</si>
  <si>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</si>
  <si>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</si>
  <si>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</si>
  <si>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</si>
  <si>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</si>
  <si>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</si>
  <si>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</si>
  <si>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</si>
  <si>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</si>
  <si>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</si>
  <si>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</si>
  <si>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</si>
  <si>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</si>
  <si>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</si>
  <si>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</si>
  <si>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</si>
  <si>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</si>
  <si>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</si>
  <si>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</si>
  <si>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</si>
  <si>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</si>
  <si>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</si>
  <si>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</si>
  <si>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</si>
  <si>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</si>
  <si>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</si>
  <si>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</si>
  <si>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</si>
  <si>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</si>
  <si>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</si>
  <si>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</si>
  <si>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</si>
  <si>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</si>
  <si>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</si>
  <si>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</si>
  <si>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</si>
  <si>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</si>
  <si>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</si>
  <si>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</si>
  <si>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</si>
  <si>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</si>
  <si>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</si>
  <si>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</si>
  <si>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</si>
  <si>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</si>
  <si>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</si>
  <si>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</si>
  <si>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</si>
  <si>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</si>
  <si>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</si>
  <si>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</si>
  <si>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</si>
  <si>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</si>
  <si>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</si>
  <si>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</si>
  <si>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</si>
  <si>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</si>
  <si>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</si>
  <si>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</si>
  <si>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</si>
  <si>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</si>
  <si>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</si>
  <si>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</si>
  <si>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</si>
  <si>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</si>
  <si>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</si>
  <si>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</si>
  <si>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</si>
  <si>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</si>
  <si>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</si>
  <si>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</si>
  <si>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</si>
  <si>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</si>
  <si>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</si>
  <si>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</si>
  <si>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</si>
  <si>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</si>
  <si>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</si>
  <si>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</si>
  <si>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</si>
  <si>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</si>
  <si>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</si>
  <si>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</si>
  <si>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</si>
  <si>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</si>
  <si>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</si>
  <si>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</si>
  <si>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</si>
  <si>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</si>
  <si>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</si>
  <si>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</si>
  <si>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</si>
  <si>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</si>
  <si>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</si>
  <si>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</si>
  <si>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</si>
  <si>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</si>
  <si>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</si>
  <si>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</si>
  <si>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</si>
  <si>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</si>
  <si>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</si>
  <si>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</si>
  <si>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</si>
  <si>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</si>
  <si>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</si>
  <si>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</si>
  <si>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</si>
  <si>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</si>
  <si>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</si>
  <si>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</si>
  <si>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</si>
  <si>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</si>
  <si>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</si>
  <si>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</si>
  <si>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</si>
  <si>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</si>
  <si>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</si>
  <si>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</si>
  <si>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</si>
  <si>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</si>
  <si>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</si>
  <si>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</si>
  <si>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</si>
  <si>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</si>
  <si>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</si>
  <si>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</si>
  <si>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</si>
  <si>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</si>
  <si>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</si>
  <si>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</si>
  <si>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</si>
  <si>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</si>
  <si>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</si>
  <si>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</si>
  <si>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</si>
  <si>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</si>
  <si>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</si>
  <si>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</si>
  <si>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</si>
  <si>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</si>
  <si>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</si>
  <si>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</si>
  <si>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</si>
  <si>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</si>
  <si>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</si>
  <si>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</si>
  <si>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</si>
  <si>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</si>
  <si>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</si>
  <si>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</si>
  <si>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</si>
  <si>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</si>
  <si>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</si>
  <si>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</si>
  <si>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</si>
  <si>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</si>
  <si>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</si>
  <si>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</si>
  <si>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</si>
  <si>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</si>
  <si>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</si>
  <si>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</si>
  <si>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</si>
  <si>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</si>
  <si>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</si>
  <si>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</si>
  <si>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</si>
  <si>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</si>
  <si>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</si>
  <si>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</si>
  <si>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</si>
  <si>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</si>
  <si>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</si>
  <si>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</si>
  <si>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</si>
  <si>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</si>
  <si>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</si>
  <si>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</si>
  <si>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</si>
  <si>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</si>
  <si>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</si>
  <si>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</si>
  <si>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</si>
  <si>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</si>
  <si>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</si>
  <si>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</si>
  <si>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</si>
  <si>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</si>
  <si>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</si>
  <si>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</si>
  <si>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</si>
  <si>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</si>
  <si>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</si>
  <si>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</si>
  <si>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</si>
  <si>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</si>
  <si>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</si>
  <si>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</si>
  <si>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</si>
  <si>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</si>
  <si>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</si>
  <si>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</si>
  <si>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</si>
  <si>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</si>
  <si>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</si>
  <si>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</si>
  <si>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</si>
  <si>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</si>
  <si>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</si>
  <si>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</si>
  <si>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</si>
  <si>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</si>
  <si>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</si>
  <si>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</si>
  <si>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</si>
  <si>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</si>
  <si>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</si>
  <si>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</si>
  <si>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</si>
  <si>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</si>
  <si>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</si>
  <si>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</si>
  <si>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</si>
  <si>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</si>
  <si>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</si>
  <si>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</si>
  <si>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</si>
  <si>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</si>
  <si>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</si>
  <si>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</si>
  <si>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</si>
  <si>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</si>
  <si>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</si>
  <si>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</si>
  <si>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</si>
  <si>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</si>
  <si>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</si>
  <si>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</si>
  <si>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</si>
  <si>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</si>
  <si>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</si>
  <si>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</si>
  <si>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</si>
  <si>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</si>
  <si>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</si>
  <si>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</si>
  <si>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</si>
  <si>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</si>
  <si>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</si>
  <si>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</si>
  <si>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</si>
  <si>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</si>
  <si>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</si>
  <si>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</si>
  <si>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</si>
  <si>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</si>
  <si>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</si>
  <si>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</si>
  <si>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</si>
  <si>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</si>
  <si>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</si>
  <si>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</si>
  <si>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</si>
  <si>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</si>
  <si>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</si>
  <si>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</si>
  <si>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</si>
  <si>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</si>
  <si>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</si>
  <si>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</si>
  <si>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</si>
  <si>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</si>
  <si>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</si>
  <si>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</si>
  <si>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</si>
  <si>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</si>
  <si>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</si>
  <si>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</si>
  <si>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</si>
  <si>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</si>
  <si>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</si>
  <si>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</si>
  <si>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</si>
  <si>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</si>
  <si>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</si>
  <si>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</si>
  <si>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</si>
  <si>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</si>
  <si>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</si>
  <si>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</si>
  <si>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</si>
  <si>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</si>
  <si>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</si>
  <si>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</si>
  <si>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</si>
  <si>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</si>
  <si>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</si>
  <si>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</si>
  <si>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</si>
  <si>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</si>
  <si>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</si>
  <si>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</si>
  <si>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</si>
  <si>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</si>
  <si>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</si>
  <si>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</si>
  <si>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</si>
  <si>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</si>
  <si>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</si>
  <si>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</si>
  <si>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</si>
  <si>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</si>
  <si>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</si>
  <si>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</si>
  <si>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</si>
  <si>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</si>
  <si>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</si>
  <si>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</si>
  <si>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</si>
  <si>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</si>
  <si>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</si>
  <si>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</si>
  <si>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</si>
  <si>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</si>
  <si>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</si>
  <si>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</si>
  <si>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</si>
  <si>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</si>
  <si>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</si>
  <si>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</si>
  <si>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</si>
  <si>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</si>
  <si>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</si>
  <si>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</si>
  <si>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</si>
  <si>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</si>
  <si>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</si>
  <si>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</si>
  <si>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</si>
  <si>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</si>
  <si>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</si>
  <si>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</si>
  <si>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</si>
  <si>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</si>
  <si>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</si>
  <si>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</si>
  <si>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</si>
  <si>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</si>
  <si>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</si>
  <si>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</si>
  <si>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</si>
  <si>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</si>
  <si>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</si>
  <si>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</si>
  <si>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</si>
  <si>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</si>
  <si>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</si>
  <si>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</si>
  <si>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</si>
  <si>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</si>
  <si>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</si>
  <si>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</si>
  <si>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</si>
  <si>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</si>
  <si>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</si>
  <si>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</si>
  <si>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</si>
  <si>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</si>
  <si>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</si>
  <si>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</si>
  <si>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</si>
  <si>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</si>
  <si>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</si>
  <si>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</si>
  <si>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</si>
  <si>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</si>
  <si>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</si>
  <si>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</si>
  <si>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</si>
  <si>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</si>
  <si>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</si>
  <si>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</si>
  <si>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</si>
  <si>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</si>
  <si>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</si>
  <si>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</si>
  <si>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</si>
  <si>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</si>
  <si>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</si>
  <si>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</si>
  <si>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</si>
  <si>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</si>
  <si>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</si>
  <si>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</si>
  <si>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</si>
  <si>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</si>
  <si>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</si>
  <si>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</si>
  <si>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</si>
  <si>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</si>
  <si>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</si>
  <si>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</si>
  <si>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</si>
  <si>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</si>
  <si>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</si>
  <si>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</si>
  <si>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</si>
  <si>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</si>
  <si>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</si>
  <si>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</si>
  <si>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</si>
  <si>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</si>
  <si>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</si>
  <si>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</si>
  <si>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</si>
  <si>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</si>
  <si>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</si>
  <si>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</si>
  <si>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</si>
  <si>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</si>
  <si>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</si>
  <si>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</si>
  <si>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</si>
  <si>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</si>
  <si>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</si>
  <si>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</si>
  <si>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</si>
  <si>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</si>
  <si>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</si>
  <si>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</si>
  <si>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</si>
  <si>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</si>
  <si>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</si>
  <si>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</si>
  <si>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</si>
  <si>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</si>
  <si>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</si>
  <si>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</si>
  <si>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</si>
  <si>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</si>
  <si>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</si>
  <si>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</si>
  <si>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</si>
  <si>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</si>
  <si>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</si>
  <si>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</si>
  <si>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</si>
  <si>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</si>
  <si>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</si>
  <si>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</si>
  <si>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</si>
  <si>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</si>
  <si>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</si>
  <si>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</si>
  <si>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</si>
  <si>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</si>
  <si>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</si>
  <si>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</si>
  <si>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</si>
  <si>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</si>
  <si>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</si>
  <si>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</si>
  <si>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</si>
  <si>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</si>
  <si>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</si>
  <si>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</si>
  <si>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</si>
  <si>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</si>
  <si>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</si>
  <si>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</si>
  <si>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</si>
  <si>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</si>
  <si>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</si>
  <si>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</si>
  <si>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</si>
  <si>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</si>
  <si>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</si>
  <si>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</si>
  <si>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</si>
  <si>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</si>
  <si>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</si>
  <si>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</si>
  <si>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</si>
  <si>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</si>
  <si>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</si>
  <si>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</si>
  <si>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</si>
  <si>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</si>
  <si>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</si>
  <si>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</si>
  <si>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</si>
  <si>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</si>
  <si>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</si>
  <si>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</si>
  <si>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</si>
  <si>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</si>
  <si>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</si>
  <si>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</si>
  <si>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</si>
  <si>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</si>
  <si>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</si>
  <si>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</si>
  <si>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</si>
  <si>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</si>
  <si>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</si>
  <si>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</si>
  <si>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</si>
  <si>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</si>
  <si>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</si>
  <si>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</si>
  <si>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</si>
  <si>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</si>
  <si>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</si>
  <si>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</si>
  <si>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</si>
  <si>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</si>
  <si>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</si>
  <si>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</si>
  <si>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</si>
  <si>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</si>
  <si>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</si>
  <si>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</si>
  <si>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</si>
  <si>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</si>
  <si>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</si>
  <si>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</si>
  <si>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</si>
  <si>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</si>
  <si>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</si>
  <si>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</si>
  <si>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</si>
  <si>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</si>
  <si>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</si>
  <si>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</si>
  <si>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</si>
  <si>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</si>
  <si>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</si>
  <si>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</si>
  <si>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</si>
  <si>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</si>
  <si>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</si>
  <si>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</si>
  <si>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</si>
  <si>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</si>
  <si>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</si>
  <si>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</si>
  <si>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</si>
  <si>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</si>
  <si>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</si>
  <si>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</si>
  <si>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</si>
  <si>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</si>
  <si>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</si>
  <si>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</si>
  <si>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</si>
  <si>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</si>
  <si>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</si>
  <si>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</si>
  <si>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</si>
  <si>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</si>
  <si>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</si>
  <si>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</si>
  <si>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</si>
  <si>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</si>
  <si>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</si>
  <si>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</si>
  <si>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</si>
  <si>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</si>
  <si>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</si>
  <si>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</si>
  <si>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</si>
  <si>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</si>
  <si>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</si>
  <si>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</si>
  <si>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</si>
  <si>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</si>
  <si>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</si>
  <si>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</si>
  <si>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</si>
  <si>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</si>
  <si>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</si>
  <si>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</si>
  <si>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</si>
  <si>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</si>
  <si>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</si>
  <si>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</si>
  <si>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</si>
  <si>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</si>
  <si>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</si>
  <si>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</si>
  <si>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</si>
  <si>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</si>
  <si>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</si>
  <si>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</si>
  <si>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</si>
  <si>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</si>
  <si>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</si>
  <si>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</si>
  <si>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</si>
  <si>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</si>
  <si>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</si>
  <si>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</si>
  <si>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</si>
  <si>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</si>
  <si>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</si>
  <si>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</si>
  <si>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</si>
  <si>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</si>
  <si>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</si>
  <si>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</si>
  <si>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</si>
  <si>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</si>
  <si>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</si>
  <si>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</si>
  <si>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</si>
  <si>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</si>
  <si>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</si>
  <si>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</si>
  <si>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</si>
  <si>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</si>
  <si>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</si>
  <si>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</si>
  <si>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</si>
  <si>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</si>
  <si>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</si>
  <si>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</si>
  <si>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</si>
  <si>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</si>
  <si>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</si>
  <si>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</si>
  <si>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</si>
  <si>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</si>
  <si>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</si>
  <si>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</si>
  <si>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</si>
  <si>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</si>
  <si>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</si>
  <si>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</si>
  <si>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</si>
  <si>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</si>
  <si>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</si>
  <si>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</si>
  <si>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</si>
  <si>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</si>
  <si>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</si>
  <si>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</si>
  <si>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</si>
  <si>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</si>
  <si>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</si>
  <si>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</si>
  <si>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</si>
  <si>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</si>
  <si>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</si>
  <si>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</si>
  <si>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</si>
  <si>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</si>
  <si>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</si>
  <si>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</si>
  <si>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</si>
  <si>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</si>
  <si>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</si>
  <si>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</si>
  <si>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</si>
  <si>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</si>
  <si>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</si>
  <si>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</si>
  <si>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</si>
  <si>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</si>
  <si>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</si>
  <si>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</si>
  <si>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</si>
  <si>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</si>
  <si>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</si>
  <si>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</si>
  <si>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</si>
  <si>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</si>
  <si>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</si>
  <si>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</si>
  <si>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</si>
  <si>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</si>
  <si>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</si>
  <si>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</si>
  <si>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</si>
  <si>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</si>
  <si>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</si>
  <si>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</si>
  <si>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</si>
  <si>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</si>
  <si>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</si>
  <si>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</si>
  <si>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</si>
  <si>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</si>
  <si>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</si>
  <si>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</si>
  <si>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</si>
  <si>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</si>
  <si>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</si>
  <si>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</si>
  <si>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</si>
  <si>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</si>
  <si>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</si>
  <si>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</si>
  <si>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</si>
  <si>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</si>
  <si>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</si>
  <si>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</si>
  <si>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</si>
  <si>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</si>
  <si>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</si>
  <si>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</si>
  <si>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</si>
  <si>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</si>
  <si>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</si>
  <si>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</si>
  <si>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</si>
  <si>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</si>
  <si>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</si>
  <si>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</si>
  <si>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</si>
  <si>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</si>
  <si>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</si>
  <si>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</si>
  <si>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</si>
  <si>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</si>
  <si>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</si>
  <si>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</si>
  <si>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</si>
  <si>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</si>
  <si>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</si>
  <si>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</si>
  <si>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</si>
  <si>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</si>
  <si>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</si>
  <si>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</si>
  <si>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</si>
  <si>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</si>
  <si>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</si>
  <si>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</si>
  <si>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</si>
  <si>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</si>
  <si>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</si>
  <si>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</si>
  <si>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</si>
  <si>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</si>
  <si>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</si>
  <si>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</si>
  <si>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</si>
  <si>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</si>
  <si>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</si>
  <si>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</si>
  <si>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</si>
  <si>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</si>
  <si>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</si>
  <si>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</si>
  <si>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</si>
  <si>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</si>
  <si>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</si>
  <si>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</si>
  <si>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</si>
  <si>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</si>
  <si>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</si>
  <si>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</si>
  <si>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</si>
  <si>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</si>
  <si>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</si>
  <si>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</si>
  <si>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</si>
  <si>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</si>
  <si>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</si>
  <si>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</si>
  <si>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</si>
  <si>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</si>
  <si>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</si>
  <si>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</si>
  <si>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</si>
  <si>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</si>
  <si>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</si>
  <si>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</si>
  <si>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</si>
  <si>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</si>
  <si>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</si>
  <si>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</si>
  <si>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</si>
  <si>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</si>
  <si>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</si>
  <si>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</si>
  <si>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</si>
  <si>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</si>
  <si>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</si>
  <si>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</si>
  <si>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</si>
  <si>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</si>
  <si>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</si>
  <si>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</si>
  <si>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</si>
  <si>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</si>
  <si>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</si>
  <si>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</si>
  <si>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</si>
  <si>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</si>
  <si>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</si>
  <si>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</si>
  <si>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</si>
  <si>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</si>
  <si>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</si>
  <si>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</si>
  <si>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</si>
  <si>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</si>
  <si>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</si>
  <si>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</si>
  <si>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</si>
  <si>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</si>
  <si>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</si>
  <si>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</si>
  <si>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</si>
  <si>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</si>
  <si>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</si>
  <si>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</si>
  <si>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</si>
  <si>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</si>
  <si>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</si>
  <si>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</si>
  <si>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</si>
  <si>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</si>
  <si>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</si>
  <si>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</si>
  <si>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</si>
  <si>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</si>
  <si>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</si>
  <si>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</si>
  <si>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</si>
  <si>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</si>
  <si>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</si>
  <si>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</si>
  <si>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</si>
  <si>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</si>
  <si>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</si>
  <si>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</si>
  <si>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</si>
  <si>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</si>
  <si>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</si>
  <si>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</si>
  <si>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</si>
  <si>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</si>
  <si>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</si>
  <si>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</si>
  <si>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</si>
  <si>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</si>
  <si>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</si>
  <si>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</si>
  <si>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</si>
  <si>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</si>
  <si>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</si>
  <si>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</si>
  <si>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</si>
  <si>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</si>
  <si>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</si>
  <si>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</si>
  <si>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</si>
  <si>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</si>
  <si>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</si>
  <si>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</si>
  <si>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</si>
  <si>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</si>
  <si>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</si>
  <si>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</si>
  <si>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</si>
  <si>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</si>
  <si>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</si>
  <si>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</si>
  <si>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</si>
  <si>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</si>
  <si>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</si>
  <si>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</si>
  <si>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</si>
  <si>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</si>
  <si>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</si>
  <si>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</si>
  <si>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</si>
  <si>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</si>
  <si>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</si>
  <si>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</si>
  <si>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</si>
  <si>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</si>
  <si>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</si>
  <si>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</si>
  <si>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</si>
  <si>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</si>
  <si>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</si>
  <si>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</si>
  <si>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</si>
  <si>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</si>
  <si>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</si>
  <si>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</si>
  <si>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</si>
  <si>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</si>
  <si>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</si>
  <si>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</si>
  <si>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</si>
  <si>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</si>
  <si>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</si>
  <si>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</si>
  <si>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</si>
  <si>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</si>
  <si>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</si>
  <si>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</si>
  <si>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</si>
  <si>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</si>
  <si>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</si>
  <si>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</si>
  <si>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</si>
  <si>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</si>
  <si>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</si>
  <si>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</si>
  <si>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</si>
  <si>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</si>
  <si>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</si>
  <si>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</si>
  <si>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</si>
  <si>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</si>
  <si>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</si>
  <si>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</si>
  <si>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</si>
  <si>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</si>
  <si>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</si>
  <si>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</si>
  <si>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</si>
  <si>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</si>
  <si>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</si>
  <si>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</si>
  <si>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</si>
  <si>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</si>
  <si>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</si>
  <si>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</si>
  <si>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</si>
  <si>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</si>
  <si>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</si>
  <si>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</si>
  <si>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</si>
  <si>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</si>
  <si>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</si>
  <si>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</si>
  <si>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</si>
  <si>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</si>
  <si>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</si>
  <si>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</si>
  <si>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</si>
  <si>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</si>
  <si>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</si>
  <si>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</si>
  <si>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</si>
  <si>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</si>
  <si>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</si>
  <si>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</si>
  <si>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</si>
  <si>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</si>
  <si>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</si>
  <si>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</si>
  <si>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</si>
  <si>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</si>
  <si>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</si>
  <si>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</si>
  <si>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</si>
  <si>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</si>
  <si>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</si>
  <si>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</si>
  <si>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</si>
  <si>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</si>
  <si>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</si>
  <si>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</si>
  <si>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</si>
  <si>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</si>
  <si>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</si>
  <si>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</si>
  <si>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</si>
  <si>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</si>
  <si>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</si>
  <si>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</si>
  <si>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</si>
  <si>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</si>
  <si>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</si>
  <si>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</si>
  <si>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</si>
  <si>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</si>
  <si>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</si>
  <si>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</si>
  <si>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</si>
  <si>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</si>
  <si>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</si>
  <si>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</si>
  <si>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</si>
  <si>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</si>
  <si>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</si>
  <si>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</si>
  <si>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</si>
  <si>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</si>
  <si>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</si>
  <si>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</si>
  <si>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</si>
  <si>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</si>
  <si>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</si>
  <si>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</si>
  <si>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</si>
  <si>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</si>
  <si>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</si>
  <si>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</si>
  <si>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</si>
  <si>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</si>
  <si>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</si>
  <si>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</si>
  <si>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</si>
  <si>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</si>
  <si>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</si>
  <si>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</si>
  <si>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</si>
  <si>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</si>
  <si>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</si>
  <si>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</si>
  <si>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</si>
  <si>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</si>
  <si>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</si>
  <si>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</si>
  <si>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</si>
  <si>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</si>
  <si>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</si>
  <si>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</si>
  <si>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</si>
  <si>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</si>
  <si>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</si>
  <si>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</si>
  <si>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</si>
  <si>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</si>
  <si>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</si>
  <si>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</si>
  <si>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</si>
  <si>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</si>
  <si>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</si>
  <si>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</si>
  <si>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</si>
  <si>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</si>
  <si>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</si>
  <si>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</si>
  <si>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</si>
  <si>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</si>
  <si>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</si>
  <si>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</si>
  <si>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</si>
  <si>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</si>
  <si>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</si>
  <si>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</si>
  <si>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</si>
  <si>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</si>
  <si>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</si>
  <si>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</si>
  <si>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</si>
  <si>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</si>
  <si>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</si>
  <si>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</si>
  <si>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</si>
  <si>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</si>
  <si>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</si>
  <si>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</si>
  <si>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</si>
  <si>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</si>
  <si>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</si>
  <si>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</si>
  <si>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</si>
  <si>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</si>
  <si>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</si>
  <si>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</si>
  <si>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</si>
  <si>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</si>
  <si>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</si>
  <si>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</si>
  <si>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</si>
  <si>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</si>
  <si>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</si>
  <si>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</si>
  <si>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</si>
  <si>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</si>
  <si>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</si>
  <si>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</si>
  <si>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</si>
  <si>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</si>
  <si>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</si>
  <si>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</si>
  <si>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</si>
  <si>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</si>
  <si>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</si>
  <si>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</si>
  <si>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</si>
  <si>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</si>
  <si>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</si>
  <si>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</si>
  <si>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</si>
  <si>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</si>
  <si>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</si>
  <si>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</si>
  <si>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</si>
  <si>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</si>
  <si>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</si>
  <si>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</si>
  <si>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</si>
  <si>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</si>
  <si>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</si>
  <si>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</si>
  <si>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</si>
  <si>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</si>
  <si>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</si>
  <si>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</si>
  <si>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</si>
  <si>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</si>
  <si>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</si>
  <si>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</si>
  <si>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</si>
  <si>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</si>
  <si>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</si>
  <si>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</si>
  <si>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</si>
  <si>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</si>
  <si>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</si>
  <si>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</si>
  <si>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</si>
  <si>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</si>
  <si>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</si>
  <si>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</si>
  <si>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</si>
  <si>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</si>
  <si>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</si>
  <si>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</si>
  <si>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</si>
  <si>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</si>
  <si>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</si>
  <si>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</si>
  <si>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</si>
  <si>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</si>
  <si>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</si>
  <si>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</si>
  <si>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</si>
  <si>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</si>
  <si>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</si>
  <si>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</si>
  <si>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</si>
  <si>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</si>
  <si>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</si>
  <si>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</si>
  <si>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</si>
  <si>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</si>
  <si>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</si>
  <si>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</si>
  <si>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</si>
  <si>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</si>
  <si>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</si>
  <si>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</si>
  <si>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</si>
  <si>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</si>
  <si>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</si>
  <si>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</si>
  <si>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</si>
  <si>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</si>
  <si>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</si>
  <si>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</si>
  <si>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</si>
  <si>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</si>
  <si>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</si>
  <si>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</si>
  <si>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</si>
  <si>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</si>
  <si>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</si>
  <si>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</si>
  <si>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</si>
  <si>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</si>
  <si>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</si>
  <si>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</si>
  <si>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</si>
  <si>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</si>
  <si>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</si>
  <si>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</si>
  <si>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</si>
  <si>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</si>
  <si>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</si>
  <si>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</si>
  <si>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</si>
  <si>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</si>
  <si>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</si>
  <si>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</si>
  <si>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</si>
  <si>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</si>
  <si>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</si>
  <si>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</si>
  <si>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</si>
  <si>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</si>
  <si>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</si>
  <si>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</si>
  <si>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</si>
  <si>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</si>
  <si>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</si>
  <si>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</si>
  <si>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</si>
  <si>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</si>
  <si>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</si>
  <si>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</si>
  <si>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</si>
  <si>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</si>
  <si>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</si>
  <si>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</si>
  <si>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</si>
  <si>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</si>
  <si>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</si>
  <si>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</si>
  <si>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</si>
  <si>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</si>
  <si>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</si>
  <si>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</si>
  <si>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</si>
  <si>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</si>
  <si>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</si>
  <si>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</si>
  <si>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</si>
  <si>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</si>
  <si>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</si>
  <si>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</si>
  <si>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</si>
  <si>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</si>
  <si>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</si>
  <si>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</si>
  <si>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</si>
  <si>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</si>
  <si>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</si>
  <si>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</si>
  <si>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</si>
  <si>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</si>
  <si>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</si>
  <si>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</si>
  <si>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</si>
  <si>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</si>
  <si>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</si>
  <si>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</si>
  <si>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</si>
  <si>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</si>
  <si>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</si>
  <si>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</si>
  <si>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</si>
  <si>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</si>
  <si>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</si>
  <si>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</si>
  <si>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</si>
  <si>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</si>
  <si>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</si>
  <si>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</si>
  <si>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</si>
  <si>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</si>
  <si>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</si>
  <si>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</si>
  <si>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</si>
  <si>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</si>
  <si>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</si>
  <si>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</si>
  <si>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</si>
  <si>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</si>
  <si>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</si>
  <si>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</si>
  <si>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</si>
  <si>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</si>
  <si>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</si>
  <si>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</si>
  <si>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</si>
  <si>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</si>
  <si>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</si>
  <si>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</si>
  <si>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</si>
  <si>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</si>
  <si>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</si>
  <si>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</si>
  <si>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</si>
  <si>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</si>
  <si>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</si>
  <si>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</si>
  <si>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</si>
  <si>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</si>
  <si>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</si>
  <si>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</si>
  <si>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</si>
  <si>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</si>
  <si>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</si>
  <si>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</si>
  <si>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</si>
  <si>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</si>
  <si>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</si>
  <si>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</si>
  <si>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</si>
  <si>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</si>
  <si>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</si>
  <si>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</si>
  <si>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</si>
  <si>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</si>
  <si>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</si>
  <si>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</si>
  <si>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</si>
  <si>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</si>
  <si>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</si>
  <si>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</si>
  <si>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</si>
  <si>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</si>
  <si>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</si>
  <si>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</si>
  <si>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</si>
  <si>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</si>
  <si>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</si>
  <si>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</si>
  <si>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</si>
  <si>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</si>
  <si>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</si>
  <si>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</si>
  <si>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</si>
  <si>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</si>
  <si>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</si>
  <si>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</si>
  <si>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</si>
  <si>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</si>
  <si>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</si>
  <si>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</si>
  <si>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</si>
  <si>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</si>
  <si>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</si>
  <si>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</si>
  <si>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</si>
  <si>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</si>
  <si>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</si>
  <si>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</si>
  <si>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</si>
  <si>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</si>
  <si>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</si>
  <si>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</si>
  <si>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</si>
  <si>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</si>
  <si>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</si>
  <si>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</si>
  <si>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</si>
  <si>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</si>
  <si>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</si>
  <si>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</si>
  <si>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</si>
  <si>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</si>
  <si>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</si>
  <si>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</si>
  <si>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</si>
  <si>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</si>
  <si>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</si>
  <si>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</si>
  <si>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</si>
  <si>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</si>
  <si>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</si>
  <si>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</si>
  <si>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</si>
  <si>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</si>
  <si>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</si>
  <si>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</si>
  <si>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</si>
  <si>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</si>
  <si>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</si>
  <si>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</si>
  <si>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</si>
  <si>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</si>
  <si>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</si>
  <si>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</si>
  <si>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</si>
  <si>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</si>
  <si>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</si>
  <si>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</si>
  <si>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</si>
  <si>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</si>
  <si>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</si>
  <si>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</si>
  <si>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</si>
  <si>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</si>
  <si>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</si>
  <si>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</si>
  <si>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</si>
  <si>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</si>
  <si>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</si>
  <si>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</si>
  <si>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</si>
  <si>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</si>
  <si>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</si>
  <si>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</si>
  <si>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</si>
  <si>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</si>
  <si>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</si>
  <si>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</si>
  <si>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</si>
  <si>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</si>
  <si>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</si>
  <si>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</si>
  <si>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</si>
  <si>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</si>
  <si>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</si>
  <si>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</si>
  <si>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</si>
  <si>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</si>
  <si>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</si>
  <si>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</si>
  <si>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</si>
  <si>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</si>
  <si>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</si>
  <si>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</si>
  <si>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</si>
  <si>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</si>
  <si>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</si>
  <si>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</si>
  <si>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</si>
  <si>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</si>
  <si>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</si>
  <si>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</si>
  <si>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</si>
  <si>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</si>
  <si>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</si>
  <si>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</si>
  <si>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</si>
  <si>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</si>
  <si>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</si>
  <si>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</si>
  <si>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</si>
  <si>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</si>
  <si>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</si>
  <si>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</si>
  <si>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</si>
  <si>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</si>
  <si>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</si>
  <si>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</si>
  <si>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</si>
  <si>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</si>
  <si>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</si>
  <si>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</si>
  <si>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</si>
  <si>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</si>
  <si>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</si>
  <si>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</si>
  <si>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</si>
  <si>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</si>
  <si>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</si>
  <si>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</si>
  <si>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</si>
  <si>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</si>
  <si>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</si>
  <si>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</si>
  <si>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</si>
  <si>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</si>
  <si>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</si>
  <si>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</si>
  <si>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</si>
  <si>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</si>
  <si>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</si>
  <si>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</si>
  <si>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</si>
  <si>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</si>
  <si>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</si>
  <si>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</si>
  <si>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</si>
  <si>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</si>
  <si>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</si>
  <si>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</si>
  <si>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</si>
  <si>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</si>
  <si>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</si>
  <si>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</si>
  <si>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</si>
  <si>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</si>
  <si>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</si>
  <si>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</si>
  <si>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</si>
  <si>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</si>
  <si>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</si>
  <si>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</si>
  <si>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</si>
  <si>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</si>
  <si>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</si>
  <si>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</si>
  <si>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</si>
  <si>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</si>
  <si>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</si>
  <si>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</si>
  <si>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</si>
  <si>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</si>
  <si>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</si>
  <si>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</si>
  <si>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</si>
  <si>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</si>
  <si>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</si>
  <si>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</si>
  <si>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</si>
  <si>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</si>
  <si>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</si>
  <si>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</si>
  <si>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</si>
  <si>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</si>
  <si>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</si>
  <si>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</si>
  <si>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</si>
  <si>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</si>
  <si>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</si>
  <si>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</si>
  <si>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</si>
  <si>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</si>
  <si>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</si>
  <si>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</si>
  <si>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</si>
  <si>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</si>
  <si>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</si>
  <si>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</si>
  <si>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</si>
  <si>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</si>
  <si>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</si>
  <si>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</si>
  <si>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</si>
  <si>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</si>
  <si>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</si>
  <si>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</si>
  <si>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</si>
  <si>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</si>
  <si>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</si>
  <si>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</si>
  <si>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</si>
  <si>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</si>
  <si>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</si>
  <si>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</si>
  <si>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</si>
  <si>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</si>
  <si>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</si>
  <si>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</si>
  <si>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</si>
  <si>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</si>
  <si>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</si>
  <si>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</si>
  <si>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</si>
  <si>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</si>
  <si>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</si>
  <si>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</si>
  <si>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</si>
  <si>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</si>
  <si>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</si>
  <si>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</si>
  <si>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</si>
  <si>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</si>
  <si>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</si>
  <si>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</si>
  <si>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</si>
  <si>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</si>
  <si>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</si>
  <si>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</si>
  <si>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</si>
  <si>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</si>
  <si>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</si>
  <si>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</si>
  <si>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</si>
  <si>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</si>
  <si>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</si>
  <si>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</si>
  <si>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</si>
  <si>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</si>
  <si>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</si>
  <si>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</si>
  <si>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</si>
  <si>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</si>
  <si>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</si>
  <si>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</si>
  <si>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</si>
  <si>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</si>
  <si>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</si>
  <si>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</si>
  <si>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</si>
  <si>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</si>
  <si>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</si>
  <si>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</si>
  <si>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</si>
  <si>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</si>
  <si>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</si>
  <si>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</si>
  <si>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</si>
  <si>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</si>
  <si>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</si>
  <si>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</si>
  <si>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</si>
  <si>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</si>
  <si>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</si>
  <si>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</si>
  <si>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</si>
  <si>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</si>
  <si>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</si>
  <si>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</si>
  <si>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</si>
  <si>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</si>
  <si>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</si>
  <si>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</si>
  <si>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</si>
  <si>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</si>
  <si>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</si>
  <si>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</si>
  <si>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</si>
  <si>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</si>
  <si>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</si>
  <si>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</si>
  <si>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</si>
  <si>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</si>
  <si>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</si>
  <si>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</si>
  <si>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</si>
  <si>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</si>
  <si>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</si>
  <si>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</si>
  <si>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</si>
  <si>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</si>
  <si>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</si>
  <si>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</si>
  <si>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</si>
  <si>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</si>
  <si>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</si>
  <si>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</si>
  <si>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</si>
  <si>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</si>
  <si>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</si>
  <si>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</si>
  <si>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</si>
  <si>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</si>
  <si>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</si>
  <si>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</si>
  <si>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</si>
  <si>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</si>
  <si>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</si>
  <si>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</si>
  <si>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</si>
  <si>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</si>
  <si>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</si>
  <si>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</si>
  <si>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</si>
  <si>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</si>
  <si>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</si>
  <si>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</si>
  <si>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</si>
  <si>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</si>
  <si>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</si>
  <si>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</si>
  <si>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</si>
  <si>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</si>
  <si>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</si>
  <si>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</si>
  <si>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</si>
  <si>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</si>
  <si>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</si>
  <si>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</si>
  <si>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</si>
  <si>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</si>
  <si>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</si>
  <si>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</si>
  <si>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</si>
  <si>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</si>
  <si>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</si>
  <si>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</si>
  <si>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</si>
  <si>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</si>
  <si>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</si>
  <si>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</si>
  <si>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</si>
  <si>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</si>
  <si>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</si>
  <si>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</si>
  <si>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</si>
  <si>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</si>
  <si>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</si>
  <si>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</si>
  <si>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</si>
  <si>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</si>
  <si>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</si>
  <si>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</si>
  <si>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</si>
  <si>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</si>
  <si>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</si>
  <si>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</si>
  <si>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</si>
  <si>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</si>
  <si>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</si>
  <si>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</si>
  <si>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</si>
  <si>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</si>
  <si>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</si>
  <si>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</si>
  <si>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</si>
  <si>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</si>
  <si>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</si>
  <si>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</si>
  <si>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</si>
  <si>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</si>
  <si>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</si>
  <si>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</si>
  <si>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</si>
  <si>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</si>
  <si>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</si>
  <si>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</si>
  <si>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</si>
  <si>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</si>
  <si>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</si>
  <si>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</si>
  <si>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</si>
  <si>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</si>
  <si>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</si>
  <si>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</si>
  <si>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</si>
  <si>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</si>
  <si>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</si>
  <si>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</si>
  <si>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</si>
  <si>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</si>
  <si>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</si>
  <si>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</si>
  <si>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</si>
  <si>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</si>
  <si>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</si>
  <si>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</si>
  <si>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</si>
  <si>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</si>
  <si>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</si>
  <si>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</si>
  <si>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</si>
  <si>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</si>
  <si>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</si>
  <si>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</si>
  <si>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</si>
  <si>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</si>
  <si>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</si>
  <si>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</si>
  <si>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</si>
  <si>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</si>
  <si>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</si>
  <si>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</si>
  <si>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</si>
  <si>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</si>
  <si>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</si>
  <si>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</si>
  <si>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</si>
  <si>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</si>
  <si>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</si>
  <si>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</si>
  <si>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</si>
  <si>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</si>
  <si>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</si>
  <si>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</si>
  <si>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</si>
  <si>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</si>
  <si>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</si>
  <si>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</si>
  <si>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</si>
  <si>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</si>
  <si>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</si>
  <si>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</si>
  <si>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</si>
  <si>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</si>
  <si>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</si>
  <si>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</si>
  <si>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</si>
  <si>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</si>
  <si>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</si>
  <si>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</si>
  <si>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</si>
  <si>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</si>
  <si>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</si>
  <si>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</si>
  <si>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</si>
  <si>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</si>
  <si>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</si>
  <si>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</si>
  <si>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</si>
  <si>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</si>
  <si>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</si>
  <si>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</si>
  <si>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</si>
  <si>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</si>
  <si>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</si>
  <si>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</si>
  <si>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</si>
  <si>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</si>
  <si>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</si>
  <si>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</si>
  <si>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</si>
  <si>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</si>
  <si>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</si>
  <si>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</si>
  <si>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</si>
  <si>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</si>
  <si>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</si>
  <si>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</si>
  <si>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</si>
  <si>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</si>
  <si>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</si>
  <si>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</si>
  <si>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</si>
  <si>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</si>
  <si>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</si>
  <si>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</si>
  <si>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</si>
  <si>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</si>
  <si>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</si>
  <si>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</si>
  <si>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</si>
  <si>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</si>
  <si>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</si>
  <si>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</si>
  <si>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</si>
  <si>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</si>
  <si>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</si>
  <si>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</si>
  <si>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</si>
  <si>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</si>
  <si>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</si>
  <si>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</si>
  <si>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</si>
  <si>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</si>
  <si>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</si>
  <si>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</si>
  <si>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</si>
  <si>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</si>
  <si>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</si>
  <si>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</si>
  <si>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</si>
  <si>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</si>
  <si>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</si>
  <si>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</si>
  <si>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</si>
  <si>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</si>
  <si>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</si>
  <si>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</si>
  <si>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</si>
  <si>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</si>
  <si>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</si>
  <si>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</si>
  <si>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</si>
  <si>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</si>
  <si>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</si>
  <si>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</si>
  <si>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</si>
  <si>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</si>
  <si>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</si>
  <si>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</si>
  <si>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</si>
  <si>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</si>
  <si>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</si>
  <si>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</si>
  <si>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</si>
  <si>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</si>
  <si>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</si>
  <si>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</si>
  <si>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</si>
  <si>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</si>
  <si>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</si>
  <si>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</si>
  <si>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</si>
  <si>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</si>
  <si>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</si>
  <si>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</si>
  <si>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</si>
  <si>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</si>
  <si>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</si>
  <si>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</si>
  <si>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</si>
  <si>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</si>
  <si>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</si>
  <si>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</si>
  <si>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</si>
  <si>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</si>
  <si>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</si>
  <si>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</si>
  <si>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</si>
  <si>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</si>
  <si>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</si>
  <si>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</si>
  <si>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</si>
  <si>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</si>
  <si>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</si>
  <si>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</si>
  <si>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</si>
  <si>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</si>
  <si>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</si>
  <si>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</si>
  <si>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</si>
  <si>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</si>
  <si>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</si>
  <si>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</si>
  <si>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</si>
  <si>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</si>
  <si>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</si>
  <si>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</si>
  <si>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</si>
  <si>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</si>
  <si>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</si>
  <si>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</si>
  <si>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</si>
  <si>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</si>
  <si>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</si>
  <si>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</si>
  <si>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</si>
  <si>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</si>
  <si>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</si>
  <si>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</si>
  <si>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</si>
  <si>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</si>
  <si>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</si>
  <si>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</si>
  <si>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</si>
  <si>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</si>
  <si>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</si>
  <si>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</si>
  <si>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</si>
  <si>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</si>
  <si>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</si>
  <si>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</si>
  <si>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</si>
  <si>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</si>
  <si>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</si>
  <si>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</si>
  <si>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</si>
  <si>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</si>
  <si>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</si>
  <si>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</si>
  <si>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</si>
  <si>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</si>
  <si>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</si>
  <si>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</si>
  <si>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</si>
  <si>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</si>
  <si>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</si>
  <si>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</si>
  <si>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</si>
  <si>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</si>
  <si>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</si>
  <si>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</si>
  <si>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</si>
  <si>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</si>
  <si>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</si>
  <si>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</si>
  <si>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</si>
  <si>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</si>
  <si>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</si>
  <si>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</si>
  <si>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</si>
  <si>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</si>
  <si>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</si>
  <si>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</si>
  <si>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</si>
  <si>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</si>
  <si>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</si>
  <si>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</si>
  <si>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</si>
  <si>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</si>
  <si>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</si>
  <si>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</si>
  <si>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</si>
  <si>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</si>
  <si>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</si>
  <si>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</si>
  <si>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</si>
  <si>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</si>
  <si>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</si>
  <si>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</si>
  <si>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</si>
  <si>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</si>
  <si>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</si>
  <si>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</si>
  <si>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</si>
  <si>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</si>
  <si>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</si>
  <si>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</si>
  <si>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</si>
  <si>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</si>
  <si>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</si>
  <si>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</si>
  <si>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</si>
  <si>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</si>
  <si>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</si>
  <si>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</si>
  <si>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</si>
  <si>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</si>
  <si>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</si>
  <si>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</si>
  <si>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</si>
  <si>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</si>
  <si>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</si>
  <si>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</si>
  <si>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</si>
  <si>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</si>
  <si>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</si>
  <si>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</si>
  <si>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</si>
  <si>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</si>
  <si>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</si>
  <si>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</si>
  <si>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</si>
  <si>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</si>
  <si>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</si>
  <si>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</si>
  <si>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</si>
  <si>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</si>
  <si>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</si>
  <si>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</si>
  <si>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</si>
  <si>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</si>
  <si>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</si>
  <si>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</si>
  <si>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</si>
  <si>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</si>
  <si>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</si>
  <si>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</si>
  <si>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</si>
  <si>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</si>
  <si>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</si>
  <si>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</si>
  <si>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</si>
  <si>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</si>
  <si>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</si>
  <si>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</si>
  <si>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</si>
  <si>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</si>
  <si>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</si>
  <si>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</si>
  <si>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</si>
  <si>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</si>
  <si>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</si>
  <si>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</si>
  <si>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</si>
  <si>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</si>
  <si>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</si>
  <si>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</si>
  <si>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</si>
  <si>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</si>
  <si>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</si>
  <si>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</si>
  <si>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</si>
  <si>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</si>
  <si>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</si>
  <si>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</si>
  <si>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</si>
  <si>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</si>
  <si>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</si>
  <si>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</si>
  <si>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</si>
  <si>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</si>
  <si>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</si>
  <si>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</si>
  <si>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</si>
  <si>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</si>
  <si>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</si>
  <si>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</si>
  <si>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</si>
  <si>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</si>
  <si>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</si>
  <si>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</si>
  <si>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</si>
  <si>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</si>
  <si>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</si>
  <si>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</si>
  <si>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</si>
  <si>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</si>
  <si>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</si>
  <si>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</si>
  <si>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</si>
  <si>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</si>
  <si>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</si>
  <si>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</si>
  <si>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</si>
  <si>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</si>
  <si>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</si>
  <si>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</si>
  <si>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</si>
  <si>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</si>
  <si>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</si>
  <si>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</si>
  <si>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</si>
  <si>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</si>
  <si>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</si>
  <si>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</si>
  <si>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</si>
  <si>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</si>
  <si>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</si>
  <si>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</si>
  <si>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</si>
  <si>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</si>
  <si>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</si>
  <si>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</si>
  <si>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</si>
  <si>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</si>
  <si>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</si>
  <si>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</si>
  <si>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</si>
  <si>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</si>
  <si>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</si>
  <si>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</si>
  <si>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</si>
  <si>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</si>
  <si>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</si>
  <si>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</si>
  <si>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</si>
  <si>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</si>
  <si>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</si>
  <si>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</si>
  <si>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</si>
  <si>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</si>
  <si>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</si>
  <si>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</si>
  <si>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</si>
  <si>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</si>
  <si>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</si>
  <si>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</si>
  <si>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</si>
  <si>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</si>
  <si>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</si>
  <si>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</si>
  <si>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</si>
  <si>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</si>
  <si>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</si>
  <si>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</si>
  <si>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</si>
  <si>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</si>
  <si>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</si>
  <si>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</si>
  <si>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</si>
  <si>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</si>
  <si>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</si>
  <si>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</si>
  <si>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</si>
  <si>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</si>
  <si>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</si>
  <si>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</si>
  <si>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</si>
  <si>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</si>
  <si>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</si>
  <si>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</si>
  <si>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</si>
  <si>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</si>
  <si>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</si>
  <si>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</si>
  <si>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</si>
  <si>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</si>
  <si>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</si>
  <si>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</si>
  <si>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</si>
  <si>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</si>
  <si>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</si>
  <si>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</si>
  <si>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</si>
  <si>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</si>
  <si>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</si>
  <si>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</si>
  <si>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</si>
  <si>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</si>
  <si>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</si>
  <si>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</si>
  <si>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</si>
  <si>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</si>
  <si>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</si>
  <si>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</si>
  <si>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</si>
  <si>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</si>
  <si>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</si>
  <si>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</si>
  <si>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</si>
  <si>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</si>
  <si>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</si>
  <si>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</si>
  <si>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</si>
  <si>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</si>
  <si>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</si>
  <si>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</si>
  <si>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</si>
  <si>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</si>
  <si>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</si>
  <si>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</si>
  <si>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</si>
  <si>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</si>
  <si>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</si>
  <si>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</si>
  <si>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</si>
  <si>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</si>
  <si>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</si>
  <si>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</si>
  <si>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</si>
  <si>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</si>
  <si>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</si>
  <si>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</si>
  <si>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</si>
  <si>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</si>
  <si>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</si>
  <si>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</si>
  <si>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</si>
  <si>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</si>
  <si>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</si>
  <si>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</si>
  <si>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</si>
  <si>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</si>
  <si>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</si>
  <si>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</si>
  <si>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</si>
  <si>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</si>
  <si>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</si>
  <si>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</si>
  <si>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</si>
  <si>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</si>
  <si>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</si>
  <si>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</si>
  <si>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</si>
  <si>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</si>
  <si>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</si>
  <si>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</si>
  <si>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</si>
  <si>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</si>
  <si>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</si>
  <si>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</si>
  <si>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</si>
  <si>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</si>
  <si>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</si>
  <si>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</si>
  <si>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</si>
  <si>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</si>
  <si>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</si>
  <si>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</si>
  <si>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</si>
  <si>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</si>
  <si>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</si>
  <si>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</si>
  <si>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</si>
  <si>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</si>
  <si>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</si>
  <si>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</si>
  <si>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</si>
  <si>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</si>
  <si>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</si>
  <si>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</si>
  <si>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</si>
  <si>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</si>
  <si>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</si>
  <si>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</si>
  <si>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</si>
  <si>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</si>
  <si>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</si>
  <si>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</si>
  <si>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</si>
  <si>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</si>
  <si>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</si>
  <si>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</si>
  <si>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</si>
  <si>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</si>
  <si>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</si>
  <si>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</si>
  <si>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</si>
  <si>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</si>
  <si>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</si>
  <si>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</si>
  <si>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</si>
  <si>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</si>
  <si>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</si>
  <si>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</si>
  <si>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</si>
  <si>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</si>
  <si>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</si>
  <si>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</si>
  <si>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</si>
  <si>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</si>
  <si>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</si>
  <si>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</si>
  <si>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</si>
  <si>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</si>
  <si>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</si>
  <si>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</si>
  <si>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</si>
  <si>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</si>
  <si>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</si>
  <si>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</si>
  <si>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</si>
  <si>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</si>
  <si>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</si>
  <si>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</si>
  <si>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</si>
  <si>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</si>
  <si>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</si>
  <si>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</si>
  <si>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</si>
  <si>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</si>
  <si>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</si>
  <si>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</si>
  <si>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</si>
  <si>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</si>
  <si>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</si>
  <si>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</si>
  <si>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</si>
  <si>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</si>
  <si>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</si>
  <si>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</si>
  <si>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</si>
  <si>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</si>
  <si>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</si>
  <si>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</si>
  <si>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</si>
  <si>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</si>
  <si>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</si>
  <si>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</si>
  <si>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</si>
  <si>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</si>
  <si>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</si>
  <si>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</si>
  <si>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</si>
  <si>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</si>
  <si>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</si>
  <si>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</si>
  <si>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</si>
  <si>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</si>
  <si>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</si>
  <si>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</si>
  <si>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</si>
  <si>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</si>
  <si>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</si>
  <si>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</si>
  <si>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</si>
  <si>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</si>
  <si>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</si>
  <si>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</si>
  <si>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</si>
  <si>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</si>
  <si>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</si>
  <si>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</si>
  <si>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</si>
  <si>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</si>
  <si>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</si>
  <si>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</si>
  <si>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</si>
  <si>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</si>
  <si>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</si>
  <si>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</si>
  <si>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</si>
  <si>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</si>
  <si>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</si>
  <si>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</si>
  <si>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</si>
  <si>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</si>
  <si>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</si>
  <si>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</si>
  <si>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</si>
  <si>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</si>
  <si>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</si>
  <si>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</si>
  <si>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</si>
  <si>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</si>
  <si>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</si>
  <si>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</si>
  <si>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</si>
  <si>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</si>
  <si>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</si>
  <si>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</si>
  <si>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</si>
  <si>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</si>
  <si>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</si>
  <si>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</si>
  <si>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</si>
  <si>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</si>
  <si>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</si>
  <si>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</si>
  <si>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</si>
  <si>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</si>
  <si>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</si>
  <si>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</si>
  <si>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</si>
  <si>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</si>
  <si>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</si>
  <si>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</si>
  <si>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</si>
  <si>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</si>
  <si>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</si>
  <si>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</si>
  <si>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</si>
  <si>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</si>
  <si>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</si>
  <si>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</si>
  <si>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</si>
  <si>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</si>
  <si>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</si>
  <si>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</si>
  <si>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</si>
  <si>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</si>
  <si>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</si>
  <si>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</si>
  <si>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</si>
  <si>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</si>
  <si>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</si>
  <si>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</si>
  <si>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</si>
  <si>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</si>
  <si>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</si>
  <si>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</si>
  <si>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</si>
  <si>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</si>
  <si>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</si>
  <si>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</si>
  <si>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</si>
  <si>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</si>
  <si>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</si>
  <si>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</si>
  <si>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</si>
  <si>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</si>
  <si>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</si>
  <si>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</si>
  <si>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</si>
  <si>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</si>
  <si>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</si>
  <si>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</si>
  <si>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</si>
  <si>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</si>
  <si>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</si>
  <si>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</si>
  <si>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</si>
  <si>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</si>
  <si>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</si>
  <si>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</si>
  <si>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</si>
  <si>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</si>
  <si>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</si>
  <si>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</si>
  <si>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</si>
  <si>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</si>
  <si>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</si>
  <si>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</si>
  <si>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</si>
  <si>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</si>
  <si>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</si>
  <si>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</si>
  <si>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</si>
  <si>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</si>
  <si>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</si>
  <si>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</si>
  <si>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</si>
  <si>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</si>
  <si>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</si>
  <si>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</si>
  <si>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</si>
  <si>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</si>
  <si>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</si>
  <si>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</si>
  <si>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</si>
  <si>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</si>
  <si>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</si>
  <si>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</si>
  <si>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</si>
  <si>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</si>
  <si>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</si>
  <si>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</si>
  <si>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</si>
  <si>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</si>
  <si>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</si>
  <si>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</si>
  <si>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</si>
  <si>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</si>
  <si>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</si>
  <si>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</si>
  <si>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</si>
  <si>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</si>
  <si>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</si>
  <si>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</si>
  <si>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</si>
  <si>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</si>
  <si>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</si>
  <si>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</si>
  <si>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</si>
  <si>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</si>
  <si>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</si>
  <si>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</si>
  <si>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</si>
  <si>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</si>
  <si>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</si>
  <si>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</si>
  <si>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</si>
  <si>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</si>
  <si>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</si>
  <si>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</si>
  <si>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</si>
  <si>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</si>
  <si>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</si>
  <si>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</si>
  <si>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</si>
  <si>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</si>
  <si>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</si>
  <si>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</si>
  <si>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</si>
  <si>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</si>
  <si>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</si>
  <si>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</si>
  <si>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</si>
  <si>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</si>
  <si>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</si>
  <si>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</si>
  <si>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</si>
  <si>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</si>
  <si>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</si>
  <si>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</si>
  <si>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</si>
  <si>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</si>
  <si>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</si>
  <si>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</si>
  <si>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</si>
  <si>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</si>
  <si>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</si>
  <si>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</si>
  <si>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</si>
  <si>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</si>
  <si>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</si>
  <si>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</si>
  <si>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</si>
  <si>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</si>
  <si>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</si>
  <si>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</si>
  <si>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</si>
  <si>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</si>
  <si>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</si>
  <si>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</si>
  <si>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</si>
  <si>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</si>
  <si>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</si>
  <si>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</si>
  <si>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</si>
  <si>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</si>
  <si>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</si>
  <si>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</si>
  <si>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</si>
  <si>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</si>
  <si>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</si>
  <si>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</si>
  <si>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</si>
  <si>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</si>
  <si>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</si>
  <si>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</si>
  <si>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</si>
  <si>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</si>
  <si>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</si>
  <si>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</si>
  <si>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</si>
  <si>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</si>
  <si>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</si>
  <si>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</si>
  <si>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</si>
  <si>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</si>
  <si>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</si>
  <si>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</si>
  <si>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</si>
  <si>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</si>
  <si>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</si>
  <si>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</si>
  <si>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</si>
  <si>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</si>
  <si>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</si>
  <si>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</si>
  <si>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</si>
  <si>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</si>
  <si>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</si>
  <si>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</si>
  <si>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</si>
  <si>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</si>
  <si>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</si>
  <si>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</si>
  <si>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</si>
  <si>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</si>
  <si>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</si>
  <si>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</si>
  <si>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</si>
  <si>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</si>
  <si>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</si>
  <si>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</si>
  <si>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</si>
  <si>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</si>
  <si>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</si>
  <si>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</si>
  <si>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</si>
  <si>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</si>
  <si>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</si>
  <si>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</si>
  <si>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</si>
  <si>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</si>
  <si>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</si>
  <si>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</si>
  <si>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</si>
  <si>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</si>
  <si>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</si>
  <si>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</si>
  <si>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</si>
  <si>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</si>
  <si>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</si>
  <si>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</si>
  <si>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</si>
  <si>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</si>
  <si>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</si>
  <si>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</si>
  <si>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</si>
  <si>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</si>
  <si>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</si>
  <si>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</si>
  <si>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</si>
  <si>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</si>
  <si>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</si>
  <si>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</si>
  <si>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</si>
  <si>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</si>
  <si>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</si>
  <si>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</si>
  <si>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</si>
  <si>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</si>
  <si>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</si>
  <si>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</si>
  <si>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</si>
  <si>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</si>
  <si>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</si>
  <si>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</si>
  <si>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</si>
  <si>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</si>
  <si>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</si>
  <si>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</si>
  <si>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</si>
  <si>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</si>
  <si>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</si>
  <si>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</si>
  <si>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</si>
  <si>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</si>
  <si>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</si>
  <si>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</si>
  <si>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</si>
  <si>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</si>
  <si>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</si>
  <si>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</si>
  <si>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</si>
  <si>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</si>
  <si>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</si>
  <si>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</si>
  <si>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</si>
  <si>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</si>
  <si>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</si>
  <si>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</si>
  <si>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</si>
  <si>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</si>
  <si>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</si>
  <si>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</si>
  <si>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</si>
  <si>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</si>
  <si>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</si>
  <si>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</si>
  <si>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</si>
  <si>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</si>
  <si>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</si>
  <si>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</si>
  <si>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</si>
  <si>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</si>
  <si>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</si>
  <si>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</si>
  <si>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</si>
  <si>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</si>
  <si>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</si>
  <si>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</si>
  <si>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</si>
  <si>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</si>
  <si>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</si>
  <si>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</si>
  <si>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</si>
  <si>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</si>
  <si>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</si>
  <si>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</si>
  <si>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</si>
  <si>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</si>
  <si>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</si>
  <si>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</si>
  <si>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</si>
  <si>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</si>
  <si>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</si>
  <si>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</si>
  <si>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</si>
  <si>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</si>
  <si>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</si>
  <si>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</si>
  <si>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</si>
  <si>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</si>
  <si>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</si>
  <si>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</si>
  <si>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</si>
  <si>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</si>
  <si>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</si>
  <si>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</si>
  <si>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</si>
  <si>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</si>
  <si>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</si>
  <si>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</si>
  <si>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</si>
  <si>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</si>
  <si>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</si>
  <si>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</si>
  <si>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</si>
  <si>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</si>
  <si>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</si>
  <si>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</si>
  <si>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</si>
  <si>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</si>
  <si>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</si>
  <si>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</si>
  <si>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</si>
  <si>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</si>
  <si>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</si>
  <si>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</si>
  <si>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</si>
  <si>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</si>
  <si>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</si>
  <si>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</si>
  <si>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</si>
  <si>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</si>
  <si>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</si>
  <si>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</si>
  <si>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</si>
  <si>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</si>
  <si>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</si>
  <si>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</si>
  <si>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</si>
  <si>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</si>
  <si>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</si>
  <si>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</si>
  <si>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</si>
  <si>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</si>
  <si>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</si>
  <si>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</si>
  <si>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</si>
  <si>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</si>
  <si>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</si>
  <si>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</si>
  <si>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</si>
  <si>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</si>
  <si>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</si>
  <si>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</si>
  <si>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</si>
  <si>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</si>
  <si>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</si>
  <si>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</si>
  <si>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</si>
  <si>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</si>
  <si>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</si>
  <si>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</si>
  <si>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</si>
  <si>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</si>
  <si>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</si>
  <si>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</si>
  <si>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</si>
  <si>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</si>
  <si>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</si>
  <si>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</si>
  <si>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</si>
  <si>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</si>
  <si>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</si>
  <si>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</si>
  <si>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</si>
  <si>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</si>
  <si>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</si>
  <si>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</si>
  <si>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</si>
  <si>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</si>
  <si>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</si>
  <si>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</si>
  <si>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</si>
  <si>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</si>
  <si>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</si>
  <si>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</si>
  <si>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</si>
  <si>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</si>
  <si>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</si>
  <si>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</si>
  <si>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</si>
  <si>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</si>
  <si>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</si>
  <si>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</si>
  <si>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</si>
  <si>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</si>
  <si>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</si>
  <si>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</si>
  <si>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</si>
  <si>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</si>
  <si>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</si>
  <si>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</si>
  <si>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</si>
  <si>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</si>
  <si>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</si>
  <si>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</si>
  <si>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</si>
  <si>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</si>
  <si>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</si>
  <si>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</si>
  <si>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</si>
  <si>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</si>
  <si>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</si>
  <si>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</si>
  <si>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</si>
  <si>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</si>
  <si>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</si>
  <si>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</si>
  <si>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</si>
  <si>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</si>
  <si>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</si>
  <si>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</si>
  <si>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</si>
  <si>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</si>
  <si>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</si>
  <si>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</si>
  <si>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</si>
  <si>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</si>
  <si>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</si>
  <si>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</si>
  <si>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</si>
  <si>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</si>
  <si>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</si>
  <si>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</si>
  <si>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</si>
  <si>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</si>
  <si>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</si>
  <si>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</si>
  <si>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</si>
  <si>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</si>
  <si>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</si>
  <si>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</si>
  <si>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</si>
  <si>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</si>
  <si>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</si>
  <si>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</si>
  <si>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</si>
  <si>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</si>
  <si>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</si>
  <si>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</si>
  <si>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</si>
  <si>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</si>
  <si>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</si>
  <si>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</si>
  <si>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</si>
  <si>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</si>
  <si>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</si>
  <si>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</si>
  <si>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</si>
  <si>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</si>
  <si>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</si>
  <si>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</si>
  <si>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</si>
  <si>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</si>
  <si>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</si>
  <si>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</si>
  <si>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</si>
  <si>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</si>
  <si>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</si>
  <si>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</si>
  <si>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</si>
  <si>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</si>
  <si>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</si>
  <si>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</si>
  <si>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</si>
  <si>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</si>
  <si>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</si>
  <si>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</si>
  <si>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</si>
  <si>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</si>
  <si>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</si>
  <si>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</si>
  <si>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</si>
  <si>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</si>
  <si>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</si>
  <si>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</si>
  <si>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</si>
  <si>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</si>
  <si>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</si>
  <si>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</si>
  <si>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</si>
  <si>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</si>
  <si>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</si>
  <si>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</si>
  <si>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</si>
  <si>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</si>
  <si>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</si>
  <si>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</si>
  <si>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</si>
  <si>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</si>
  <si>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</si>
  <si>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</si>
  <si>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</si>
  <si>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</si>
  <si>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</si>
  <si>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</si>
  <si>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</si>
  <si>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</si>
  <si>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</si>
  <si>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</si>
  <si>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</si>
  <si>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</si>
  <si>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</si>
  <si>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</si>
  <si>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</si>
  <si>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</si>
  <si>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</si>
  <si>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</si>
  <si>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</si>
  <si>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</si>
  <si>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</si>
  <si>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</si>
  <si>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</si>
  <si>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</si>
  <si>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</si>
  <si>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</si>
  <si>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</si>
  <si>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</si>
  <si>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</si>
  <si>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</si>
  <si>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</si>
  <si>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</si>
  <si>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</si>
  <si>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</si>
  <si>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</si>
  <si>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</si>
  <si>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</si>
  <si>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</si>
  <si>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</si>
  <si>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</si>
  <si>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</si>
  <si>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</si>
  <si>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</si>
  <si>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</si>
  <si>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</si>
  <si>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</si>
  <si>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</si>
  <si>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</si>
  <si>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</si>
  <si>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</si>
  <si>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</si>
  <si>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</si>
  <si>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</si>
  <si>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</si>
  <si>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</si>
  <si>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</si>
  <si>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</si>
  <si>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</si>
  <si>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</si>
  <si>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</si>
  <si>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</si>
  <si>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</si>
  <si>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</si>
  <si>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</si>
  <si>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</si>
  <si>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</si>
  <si>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</si>
  <si>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</si>
  <si>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</si>
  <si>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</si>
  <si>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</si>
  <si>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</si>
  <si>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</si>
  <si>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</si>
  <si>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</si>
  <si>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</si>
  <si>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</si>
  <si>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</si>
  <si>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</si>
  <si>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</si>
  <si>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</si>
  <si>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</si>
  <si>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</si>
  <si>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</si>
  <si>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</si>
  <si>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</si>
  <si>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</si>
  <si>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</si>
  <si>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</si>
  <si>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</si>
  <si>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</si>
  <si>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</si>
  <si>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</si>
  <si>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</si>
  <si>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</si>
  <si>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</si>
  <si>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</si>
  <si>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</si>
  <si>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</si>
  <si>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</si>
  <si>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</si>
  <si>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</si>
  <si>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</si>
  <si>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</si>
  <si>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</si>
  <si>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</si>
  <si>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</si>
  <si>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</si>
  <si>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</si>
  <si>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</si>
  <si>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</si>
  <si>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</si>
  <si>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</si>
  <si>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</si>
  <si>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</si>
  <si>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</si>
  <si>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</si>
  <si>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</si>
  <si>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</si>
  <si>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</si>
  <si>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</si>
  <si>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</si>
  <si>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</si>
  <si>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</si>
  <si>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</si>
  <si>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</si>
  <si>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</si>
  <si>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</si>
  <si>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</si>
  <si>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</si>
  <si>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</si>
  <si>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</si>
  <si>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</si>
  <si>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</si>
  <si>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</si>
  <si>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</si>
  <si>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</si>
  <si>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</si>
  <si>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</si>
  <si>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</si>
  <si>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</si>
  <si>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</si>
  <si>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</si>
  <si>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</si>
  <si>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</si>
  <si>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</si>
  <si>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</si>
  <si>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</si>
  <si>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</si>
  <si>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</si>
  <si>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</si>
  <si>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</si>
  <si>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</si>
  <si>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</si>
  <si>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</si>
  <si>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</si>
  <si>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</si>
  <si>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</si>
  <si>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</si>
  <si>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</si>
  <si>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</si>
  <si>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</si>
  <si>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</si>
  <si>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</si>
  <si>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</si>
  <si>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</si>
  <si>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</si>
  <si>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</si>
  <si>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</si>
  <si>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</si>
  <si>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</si>
  <si>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</si>
  <si>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</si>
  <si>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</si>
  <si>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</si>
  <si>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</si>
  <si>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</si>
  <si>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</si>
  <si>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</si>
  <si>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</si>
  <si>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</si>
  <si>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</si>
  <si>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</si>
  <si>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</si>
  <si>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</si>
  <si>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</si>
  <si>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</si>
  <si>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</si>
  <si>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</si>
  <si>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</si>
  <si>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</si>
  <si>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</si>
  <si>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</si>
  <si>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</si>
  <si>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</si>
  <si>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</si>
  <si>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</si>
  <si>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</si>
  <si>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</si>
  <si>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</si>
  <si>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</si>
  <si>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</si>
  <si>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</si>
  <si>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</si>
  <si>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</si>
  <si>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</si>
  <si>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</si>
  <si>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</si>
  <si>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</si>
  <si>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</si>
  <si>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</si>
  <si>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</si>
  <si>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</si>
  <si>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</si>
  <si>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</si>
  <si>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</si>
  <si>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</si>
  <si>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</si>
  <si>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</si>
  <si>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</si>
  <si>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</si>
  <si>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</si>
  <si>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</si>
  <si>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</si>
  <si>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</si>
  <si>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</si>
  <si>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</si>
  <si>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</si>
  <si>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</si>
  <si>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</si>
  <si>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</si>
  <si>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</si>
  <si>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</si>
  <si>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</si>
  <si>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</si>
  <si>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</si>
  <si>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</si>
  <si>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</si>
  <si>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</si>
  <si>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</si>
  <si>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</si>
  <si>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</si>
  <si>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</si>
  <si>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</si>
  <si>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</si>
  <si>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</si>
  <si>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</si>
  <si>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</si>
  <si>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</si>
  <si>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</si>
  <si>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</si>
  <si>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</si>
  <si>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</si>
  <si>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</si>
  <si>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</si>
  <si>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</si>
  <si>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</si>
  <si>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</si>
  <si>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</si>
  <si>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</si>
  <si>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</si>
  <si>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</si>
  <si>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</si>
  <si>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</si>
  <si>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</si>
  <si>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</si>
  <si>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</si>
  <si>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</si>
  <si>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</si>
  <si>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</si>
  <si>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</si>
  <si>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</si>
  <si>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</si>
  <si>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</si>
  <si>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</si>
  <si>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</si>
  <si>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</si>
  <si>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</si>
  <si>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</si>
  <si>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</si>
  <si>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</si>
  <si>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</si>
  <si>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</si>
  <si>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</si>
  <si>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</si>
  <si>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</si>
  <si>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</si>
  <si>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</si>
  <si>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</si>
  <si>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</si>
  <si>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</si>
  <si>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</si>
  <si>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</si>
  <si>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</si>
  <si>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</si>
  <si>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</si>
  <si>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</si>
  <si>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</si>
  <si>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</si>
  <si>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</si>
  <si>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</si>
  <si>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</si>
  <si>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</si>
  <si>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</si>
  <si>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</si>
  <si>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</si>
  <si>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</si>
  <si>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</si>
  <si>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</si>
  <si>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</si>
  <si>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</si>
  <si>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</si>
  <si>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</si>
  <si>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</si>
  <si>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</si>
  <si>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</si>
  <si>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</si>
  <si>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</si>
  <si>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</si>
  <si>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</si>
  <si>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</si>
  <si>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</si>
  <si>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</si>
  <si>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</si>
  <si>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</si>
  <si>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</si>
  <si>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</si>
  <si>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</si>
  <si>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</si>
  <si>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</si>
  <si>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</si>
  <si>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</si>
  <si>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</si>
  <si>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</si>
  <si>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</si>
  <si>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</si>
  <si>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</si>
  <si>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</si>
  <si>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</si>
  <si>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</si>
  <si>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</si>
  <si>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</si>
  <si>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</si>
  <si>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</si>
  <si>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</si>
  <si>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</si>
  <si>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</si>
  <si>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</si>
  <si>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</si>
  <si>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</si>
  <si>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</si>
  <si>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</si>
  <si>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</si>
  <si>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</si>
  <si>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</si>
  <si>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</si>
  <si>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</si>
  <si>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</si>
  <si>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</si>
  <si>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</si>
  <si>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</si>
  <si>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</si>
  <si>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</si>
  <si>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</si>
  <si>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</si>
  <si>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</si>
  <si>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</si>
  <si>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</si>
  <si>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</si>
  <si>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</si>
  <si>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</si>
  <si>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</si>
  <si>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</si>
  <si>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</si>
  <si>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</si>
  <si>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</si>
  <si>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</si>
  <si>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</si>
  <si>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</si>
  <si>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</si>
  <si>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</si>
  <si>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</si>
  <si>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</si>
  <si>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</si>
  <si>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</si>
  <si>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</si>
  <si>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</si>
  <si>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</si>
  <si>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</si>
  <si>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</si>
  <si>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</si>
  <si>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</si>
  <si>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</si>
  <si>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</si>
  <si>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</si>
  <si>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</si>
  <si>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</si>
  <si>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</si>
  <si>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</si>
  <si>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</si>
  <si>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</si>
  <si>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</si>
  <si>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</si>
  <si>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</si>
  <si>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</si>
  <si>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</si>
  <si>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</si>
  <si>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</si>
  <si>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</si>
  <si>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</si>
  <si>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</si>
  <si>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</si>
  <si>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</si>
  <si>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</si>
  <si>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</si>
  <si>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</si>
  <si>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</si>
  <si>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</si>
  <si>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</si>
  <si>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</si>
  <si>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</si>
  <si>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</si>
  <si>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</si>
  <si>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</si>
  <si>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</si>
  <si>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</si>
  <si>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</si>
  <si>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</si>
  <si>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</si>
  <si>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</si>
  <si>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</si>
  <si>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</si>
  <si>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</si>
  <si>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</si>
  <si>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</si>
  <si>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</si>
  <si>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</si>
  <si>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</si>
  <si>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</si>
  <si>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</si>
  <si>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</si>
  <si>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</si>
  <si>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</si>
  <si>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</si>
  <si>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</si>
  <si>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</si>
  <si>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</si>
  <si>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</si>
  <si>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</si>
  <si>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</si>
  <si>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</si>
  <si>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</si>
  <si>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</si>
  <si>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</si>
  <si>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</si>
  <si>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</si>
  <si>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</si>
  <si>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</si>
  <si>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</si>
  <si>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</si>
  <si>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</si>
  <si>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</si>
  <si>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</si>
  <si>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</si>
  <si>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</si>
  <si>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</si>
  <si>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</si>
  <si>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</si>
  <si>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</si>
  <si>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</si>
  <si>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</si>
  <si>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</si>
  <si>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</si>
  <si>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</si>
  <si>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</si>
  <si>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</si>
  <si>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</si>
  <si>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</si>
  <si>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</si>
  <si>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</si>
  <si>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</si>
  <si>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</si>
  <si>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</si>
  <si>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</si>
  <si>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</si>
  <si>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</si>
  <si>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</si>
  <si>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</si>
  <si>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</si>
  <si>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</si>
  <si>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</si>
  <si>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</si>
  <si>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</si>
  <si>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</si>
  <si>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</si>
  <si>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</si>
  <si>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</si>
  <si>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</si>
  <si>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</si>
  <si>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</si>
  <si>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</si>
  <si>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</si>
  <si>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</si>
  <si>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</si>
  <si>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</si>
  <si>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</si>
  <si>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</si>
  <si>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</si>
  <si>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</si>
  <si>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</si>
  <si>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</si>
  <si>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</si>
  <si>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</si>
  <si>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</si>
  <si>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</si>
  <si>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</si>
  <si>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</si>
  <si>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</si>
  <si>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</si>
  <si>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</si>
  <si>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</si>
  <si>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</si>
  <si>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</si>
  <si>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</si>
  <si>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</si>
  <si>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</si>
  <si>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</si>
  <si>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</si>
  <si>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</si>
  <si>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</si>
  <si>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</si>
  <si>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</si>
  <si>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</si>
  <si>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</si>
  <si>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</si>
  <si>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</si>
  <si>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</si>
  <si>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</si>
  <si>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</si>
  <si>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</si>
  <si>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</si>
  <si>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</si>
  <si>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</si>
  <si>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</si>
  <si>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</si>
  <si>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</si>
  <si>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</si>
  <si>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</si>
  <si>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</si>
  <si>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</si>
  <si>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</si>
  <si>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</si>
  <si>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</si>
  <si>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</si>
  <si>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</si>
  <si>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</si>
  <si>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</si>
  <si>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</si>
  <si>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</si>
  <si>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</si>
  <si>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</si>
  <si>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</si>
  <si>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</si>
  <si>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</si>
  <si>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</si>
  <si>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</si>
  <si>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</si>
  <si>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</si>
  <si>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</si>
  <si>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</si>
  <si>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</si>
  <si>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</si>
  <si>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</si>
  <si>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</si>
  <si>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</si>
  <si>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</si>
  <si>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</si>
  <si>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</si>
  <si>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</si>
  <si>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</si>
  <si>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</si>
  <si>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</si>
  <si>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</si>
  <si>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</si>
  <si>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</si>
  <si>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</si>
  <si>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</si>
  <si>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</si>
  <si>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</si>
  <si>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</si>
  <si>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</si>
  <si>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</si>
  <si>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</si>
  <si>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</si>
  <si>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</si>
  <si>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</si>
  <si>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</si>
  <si>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</si>
  <si>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</si>
  <si>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</si>
  <si>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</si>
  <si>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</si>
  <si>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</si>
  <si>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</si>
  <si>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</si>
  <si>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</si>
  <si>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</si>
  <si>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</si>
  <si>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</si>
  <si>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</si>
  <si>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</si>
  <si>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</si>
  <si>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</si>
  <si>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</si>
  <si>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</si>
  <si>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</si>
  <si>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</si>
  <si>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</si>
  <si>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</si>
  <si>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</si>
  <si>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</si>
  <si>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</si>
  <si>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</si>
  <si>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</si>
  <si>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</si>
  <si>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</si>
  <si>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</si>
  <si>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</si>
  <si>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</si>
  <si>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</si>
  <si>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</si>
  <si>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</si>
  <si>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</si>
  <si>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</si>
  <si>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</si>
  <si>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</si>
  <si>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</si>
  <si>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</si>
  <si>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</si>
  <si>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</si>
  <si>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</si>
  <si>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</si>
  <si>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</si>
  <si>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</si>
  <si>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</si>
  <si>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</si>
  <si>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</si>
  <si>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</si>
  <si>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</si>
  <si>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</si>
  <si>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</si>
  <si>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</si>
  <si>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</si>
  <si>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</si>
  <si>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</si>
  <si>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</si>
  <si>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</si>
  <si>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</si>
  <si>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</si>
  <si>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</si>
  <si>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</si>
  <si>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</si>
  <si>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</si>
  <si>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</si>
  <si>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</si>
  <si>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</si>
  <si>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</si>
  <si>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</si>
  <si>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</si>
  <si>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</si>
  <si>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</si>
  <si>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</si>
  <si>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</si>
  <si>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</si>
  <si>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</si>
  <si>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</si>
  <si>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</si>
  <si>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</si>
  <si>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</si>
  <si>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</si>
  <si>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</si>
  <si>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</si>
  <si>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</si>
  <si>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</si>
  <si>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</si>
  <si>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</si>
  <si>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</si>
  <si>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</si>
  <si>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</si>
  <si>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</si>
  <si>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</si>
  <si>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</si>
  <si>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</si>
  <si>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</si>
  <si>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</si>
  <si>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</si>
  <si>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</si>
  <si>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</si>
  <si>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</si>
  <si>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</si>
  <si>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</si>
  <si>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</si>
  <si>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</si>
  <si>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</si>
  <si>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</si>
  <si>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</si>
  <si>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</si>
  <si>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</si>
  <si>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</si>
  <si>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</si>
  <si>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</si>
  <si>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</si>
  <si>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</si>
  <si>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</si>
  <si>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</si>
  <si>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</si>
  <si>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</si>
  <si>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</si>
  <si>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</si>
  <si>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</si>
  <si>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</si>
  <si>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</si>
  <si>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</si>
  <si>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</si>
  <si>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</si>
  <si>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</si>
  <si>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</si>
  <si>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</si>
  <si>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</si>
  <si>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</si>
  <si>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</si>
  <si>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</si>
  <si>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</si>
  <si>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</si>
  <si>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</si>
  <si>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</si>
  <si>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</si>
  <si>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</si>
  <si>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</si>
  <si>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</si>
  <si>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</si>
  <si>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</si>
  <si>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</si>
  <si>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</si>
  <si>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</si>
  <si>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</si>
  <si>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</si>
  <si>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</si>
  <si>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</si>
  <si>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</si>
  <si>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</si>
  <si>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</si>
  <si>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</si>
  <si>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</si>
  <si>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</si>
  <si>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</si>
  <si>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</si>
  <si>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</si>
  <si>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</si>
  <si>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</si>
  <si>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</si>
  <si>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</si>
  <si>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</si>
  <si>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</si>
  <si>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</si>
  <si>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</si>
  <si>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</si>
  <si>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</si>
  <si>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</si>
  <si>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</si>
  <si>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</si>
  <si>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</si>
  <si>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</si>
  <si>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</si>
  <si>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</si>
  <si>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</si>
  <si>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</si>
  <si>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</si>
  <si>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</si>
  <si>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</si>
  <si>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</si>
  <si>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</si>
  <si>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</si>
  <si>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</si>
  <si>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</si>
  <si>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</si>
  <si>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</si>
  <si>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</si>
  <si>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</si>
  <si>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</si>
  <si>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</si>
  <si>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</si>
  <si>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</si>
  <si>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</si>
  <si>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</si>
  <si>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</si>
  <si>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</si>
  <si>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</si>
  <si>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</si>
  <si>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</si>
  <si>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</si>
  <si>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</si>
  <si>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</si>
  <si>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</si>
  <si>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</si>
  <si>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</si>
  <si>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</si>
  <si>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</si>
  <si>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</si>
  <si>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</si>
  <si>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</si>
  <si>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</si>
  <si>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</si>
  <si>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</si>
  <si>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</si>
  <si>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</si>
  <si>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</si>
  <si>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</si>
  <si>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</si>
  <si>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</si>
  <si>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</si>
  <si>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</si>
  <si>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</si>
  <si>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</si>
  <si>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</si>
  <si>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</si>
  <si>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</si>
  <si>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</si>
  <si>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</si>
  <si>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</si>
  <si>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</si>
  <si>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</si>
  <si>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</si>
  <si>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</si>
  <si>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</si>
  <si>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</si>
  <si>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</si>
  <si>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</si>
  <si>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</si>
  <si>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</si>
  <si>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</si>
  <si>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</si>
  <si>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</si>
  <si>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</si>
  <si>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</si>
  <si>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</si>
  <si>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</si>
  <si>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</si>
  <si>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</si>
  <si>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</si>
  <si>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</si>
  <si>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</si>
  <si>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</si>
  <si>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</si>
  <si>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</si>
  <si>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</si>
  <si>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</si>
  <si>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</si>
  <si>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</si>
  <si>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</si>
  <si>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</si>
  <si>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</si>
  <si>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</si>
  <si>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</si>
  <si>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</si>
  <si>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</si>
  <si>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</si>
  <si>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</si>
  <si>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</si>
  <si>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</si>
  <si>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</si>
  <si>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</si>
  <si>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</si>
  <si>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</si>
  <si>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</si>
  <si>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</si>
  <si>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</si>
  <si>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</si>
  <si>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</si>
  <si>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</si>
  <si>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</si>
  <si>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</si>
  <si>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</si>
  <si>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</si>
  <si>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</si>
  <si>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</si>
  <si>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</si>
  <si>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</si>
  <si>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</si>
  <si>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</si>
  <si>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</si>
  <si>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</si>
  <si>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</si>
  <si>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</si>
  <si>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</si>
  <si>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</si>
  <si>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</si>
  <si>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</si>
  <si>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</si>
  <si>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</si>
  <si>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</si>
  <si>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</si>
  <si>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</si>
  <si>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</si>
  <si>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</si>
  <si>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</si>
  <si>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</si>
  <si>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</si>
  <si>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</si>
  <si>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</si>
  <si>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</si>
  <si>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</si>
  <si>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</si>
  <si>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</si>
  <si>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</si>
  <si>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</si>
  <si>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</si>
  <si>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</si>
  <si>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</si>
  <si>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</si>
  <si>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</si>
  <si>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</si>
  <si>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</si>
  <si>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</si>
  <si>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</si>
  <si>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</si>
  <si>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</si>
  <si>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</si>
  <si>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</si>
  <si>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</si>
  <si>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</si>
  <si>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</si>
  <si>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</si>
  <si>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</si>
  <si>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</si>
  <si>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</si>
  <si>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</si>
  <si>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</si>
  <si>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</si>
  <si>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</si>
  <si>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</si>
  <si>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</si>
  <si>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</si>
  <si>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</si>
  <si>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</si>
  <si>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</si>
  <si>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</si>
  <si>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</si>
  <si>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</si>
  <si>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</si>
  <si>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</si>
  <si>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</si>
  <si>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</si>
  <si>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</si>
  <si>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</si>
  <si>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</si>
  <si>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</si>
  <si>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</si>
  <si>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</si>
  <si>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</si>
  <si>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</si>
  <si>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</si>
  <si>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</si>
  <si>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</si>
  <si>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</si>
  <si>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</si>
  <si>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</si>
  <si>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</si>
  <si>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</si>
  <si>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</si>
  <si>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</si>
  <si>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</si>
  <si>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</si>
  <si>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</si>
  <si>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</si>
  <si>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</si>
  <si>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</si>
  <si>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</si>
  <si>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</si>
  <si>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</si>
  <si>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</si>
  <si>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</si>
  <si>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</si>
  <si>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</si>
  <si>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</si>
  <si>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</si>
  <si>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</si>
  <si>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</si>
  <si>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</si>
  <si>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</si>
  <si>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</si>
  <si>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</si>
  <si>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</si>
  <si>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</si>
  <si>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</si>
  <si>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</si>
  <si>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</si>
  <si>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</si>
  <si>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</si>
  <si>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</si>
  <si>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</si>
  <si>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</si>
  <si>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</si>
  <si>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</si>
  <si>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</si>
  <si>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</si>
  <si>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</si>
  <si>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</si>
  <si>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</si>
  <si>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</si>
  <si>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</si>
  <si>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</si>
  <si>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</si>
  <si>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</si>
  <si>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</si>
  <si>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</si>
  <si>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</si>
  <si>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</si>
  <si>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</si>
  <si>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</si>
  <si>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</si>
  <si>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</si>
  <si>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</si>
  <si>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</si>
  <si>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</si>
  <si>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</si>
  <si>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</si>
  <si>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</si>
  <si>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</si>
  <si>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</si>
  <si>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</si>
  <si>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</si>
  <si>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</si>
  <si>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</si>
  <si>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</si>
  <si>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</si>
  <si>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</si>
  <si>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</si>
  <si>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</si>
  <si>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</si>
  <si>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</si>
  <si>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</si>
  <si>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</si>
  <si>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</si>
  <si>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</si>
  <si>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</si>
  <si>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</si>
  <si>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</si>
  <si>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</si>
  <si>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</si>
  <si>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</si>
  <si>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</si>
  <si>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</si>
  <si>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</si>
  <si>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</si>
  <si>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</si>
  <si>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</si>
  <si>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</si>
  <si>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</si>
  <si>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</si>
  <si>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</si>
  <si>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</si>
  <si>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</si>
  <si>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</si>
  <si>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</si>
  <si>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</si>
  <si>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</si>
  <si>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</si>
  <si>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</si>
  <si>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</si>
  <si>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</si>
  <si>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</si>
  <si>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</si>
  <si>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</si>
  <si>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</si>
  <si>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</si>
  <si>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</si>
  <si>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</si>
  <si>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</si>
  <si>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</si>
  <si>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</si>
  <si>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</si>
  <si>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</si>
  <si>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</si>
  <si>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</si>
  <si>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</si>
  <si>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</si>
  <si>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</si>
  <si>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</si>
  <si>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</si>
  <si>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</si>
  <si>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</si>
  <si>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</si>
  <si>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</si>
  <si>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</si>
  <si>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</si>
  <si>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</si>
  <si>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</si>
  <si>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</si>
  <si>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</si>
  <si>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</si>
  <si>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</si>
  <si>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</si>
  <si>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</si>
  <si>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</si>
  <si>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</si>
  <si>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</si>
  <si>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</si>
  <si>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</si>
  <si>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</si>
  <si>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</si>
  <si>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</si>
  <si>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</si>
  <si>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</si>
  <si>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</si>
  <si>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</si>
  <si>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</si>
  <si>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</si>
  <si>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</si>
  <si>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</si>
  <si>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</si>
  <si>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</si>
  <si>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</si>
  <si>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</si>
  <si>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</si>
  <si>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</si>
  <si>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</si>
  <si>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</si>
  <si>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</si>
  <si>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</si>
  <si>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</si>
  <si>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</si>
  <si>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</si>
  <si>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</si>
  <si>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</si>
  <si>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</si>
  <si>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</si>
  <si>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</si>
  <si>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</si>
  <si>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</si>
  <si>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</si>
  <si>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</si>
  <si>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</si>
  <si>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</si>
  <si>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</si>
  <si>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</si>
  <si>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</si>
  <si>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</si>
  <si>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</si>
  <si>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</si>
  <si>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</si>
  <si>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</si>
  <si>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</si>
  <si>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</si>
  <si>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</si>
  <si>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</si>
  <si>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</si>
  <si>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</si>
  <si>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</si>
  <si>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</si>
  <si>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</si>
  <si>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</si>
  <si>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</si>
  <si>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</si>
  <si>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</si>
  <si>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</si>
  <si>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</si>
  <si>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</si>
  <si>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</si>
  <si>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</si>
  <si>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</si>
  <si>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</si>
  <si>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</si>
  <si>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</si>
  <si>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</si>
  <si>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</si>
  <si>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</si>
  <si>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</si>
  <si>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</si>
  <si>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</si>
  <si>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</si>
  <si>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</si>
  <si>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</si>
  <si>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</si>
  <si>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</si>
  <si>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</si>
  <si>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</si>
  <si>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</si>
  <si>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</si>
  <si>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</si>
  <si>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</si>
  <si>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</si>
  <si>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</si>
  <si>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</si>
  <si>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</si>
  <si>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</si>
  <si>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</si>
  <si>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</si>
  <si>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</si>
  <si>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</si>
  <si>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</si>
  <si>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</si>
  <si>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</si>
  <si>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</si>
  <si>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</si>
  <si>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</si>
  <si>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</si>
  <si>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</si>
  <si>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</si>
  <si>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</si>
  <si>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</si>
  <si>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</si>
  <si>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</si>
  <si>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</si>
  <si>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</si>
  <si>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</si>
  <si>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</si>
  <si>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</si>
  <si>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</si>
  <si>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</si>
  <si>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</si>
  <si>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</si>
  <si>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</si>
  <si>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</si>
  <si>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</si>
  <si>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</si>
  <si>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</si>
  <si>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</si>
  <si>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</si>
  <si>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</si>
  <si>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</si>
  <si>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</si>
  <si>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</si>
  <si>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</si>
  <si>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</si>
  <si>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</si>
  <si>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</si>
  <si>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</si>
  <si>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</si>
  <si>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</si>
  <si>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</si>
  <si>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</si>
  <si>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</si>
  <si>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</si>
  <si>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</si>
  <si>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</si>
  <si>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</si>
  <si>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</si>
  <si>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</si>
  <si>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</si>
  <si>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</si>
  <si>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</si>
  <si>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</si>
  <si>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</si>
  <si>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</si>
  <si>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</si>
  <si>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</si>
  <si>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</si>
  <si>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</si>
  <si>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</si>
  <si>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</si>
  <si>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</si>
  <si>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</si>
  <si>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</si>
  <si>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</si>
  <si>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</si>
  <si>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</si>
  <si>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</si>
  <si>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</si>
  <si>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</si>
  <si>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</si>
  <si>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</si>
  <si>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</si>
  <si>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</si>
  <si>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</si>
  <si>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</si>
  <si>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</si>
  <si>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</si>
  <si>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</si>
  <si>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</si>
  <si>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</si>
  <si>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</si>
  <si>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</si>
  <si>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</si>
  <si>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</si>
  <si>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</si>
  <si>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</si>
  <si>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</si>
  <si>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</si>
  <si>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</si>
  <si>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</si>
  <si>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</si>
  <si>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</si>
  <si>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</si>
  <si>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</si>
  <si>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</si>
  <si>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</si>
  <si>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</si>
  <si>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</si>
  <si>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</si>
  <si>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</si>
  <si>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</si>
  <si>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</si>
  <si>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</si>
  <si>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</si>
  <si>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</si>
  <si>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</si>
  <si>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</si>
  <si>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</si>
  <si>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</si>
  <si>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</si>
  <si>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</si>
  <si>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</si>
  <si>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</si>
  <si>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</si>
  <si>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</si>
  <si>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</si>
  <si>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</si>
  <si>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</si>
  <si>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</si>
  <si>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</si>
  <si>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</si>
  <si>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</si>
  <si>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</si>
  <si>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</si>
  <si>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</si>
  <si>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</si>
  <si>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</si>
  <si>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</si>
  <si>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</si>
  <si>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</si>
  <si>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</si>
  <si>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</si>
  <si>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</si>
  <si>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</si>
  <si>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</si>
  <si>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</si>
  <si>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</si>
  <si>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</si>
  <si>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</si>
  <si>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</si>
  <si>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</si>
  <si>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</si>
  <si>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</si>
  <si>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</si>
  <si>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</si>
  <si>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</si>
  <si>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</si>
  <si>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</si>
  <si>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</si>
  <si>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</si>
  <si>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</si>
  <si>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</si>
  <si>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</si>
  <si>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</si>
  <si>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</si>
  <si>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</si>
  <si>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</si>
  <si>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</si>
  <si>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</si>
  <si>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</si>
  <si>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</si>
  <si>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</si>
  <si>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</si>
  <si>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</si>
  <si>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</si>
  <si>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</si>
  <si>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</si>
  <si>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</si>
  <si>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</si>
  <si>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</si>
  <si>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</si>
  <si>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</si>
  <si>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</si>
  <si>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</si>
  <si>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</si>
  <si>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</si>
  <si>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</si>
  <si>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</si>
  <si>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</si>
  <si>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</si>
  <si>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</si>
  <si>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</si>
  <si>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</si>
  <si>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</si>
  <si>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</si>
  <si>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</si>
  <si>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</si>
  <si>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</si>
  <si>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</si>
  <si>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</si>
  <si>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</si>
  <si>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</si>
  <si>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</si>
  <si>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</si>
  <si>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</si>
  <si>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</si>
  <si>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</si>
  <si>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</si>
  <si>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</si>
  <si>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</si>
  <si>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</si>
  <si>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</si>
  <si>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</si>
  <si>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</si>
  <si>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</si>
  <si>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</si>
  <si>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</si>
  <si>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</si>
  <si>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</si>
  <si>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</si>
  <si>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</si>
  <si>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</si>
  <si>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</si>
  <si>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</si>
  <si>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</si>
  <si>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</si>
  <si>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</si>
  <si>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</si>
  <si>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</si>
  <si>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</si>
  <si>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</si>
  <si>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</si>
  <si>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</si>
  <si>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</si>
  <si>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</si>
  <si>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</si>
  <si>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</si>
  <si>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</si>
  <si>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</si>
  <si>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</si>
  <si>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</si>
  <si>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</si>
  <si>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</si>
  <si>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</si>
  <si>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</si>
  <si>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</si>
  <si>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</si>
  <si>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</si>
  <si>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</si>
  <si>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</si>
  <si>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</si>
  <si>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</si>
  <si>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</si>
  <si>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</si>
  <si>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</si>
  <si>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</si>
  <si>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</si>
  <si>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</si>
  <si>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</si>
  <si>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</si>
  <si>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</si>
  <si>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</si>
  <si>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</si>
  <si>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</si>
  <si>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</si>
  <si>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</si>
  <si>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</si>
  <si>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</si>
  <si>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</si>
  <si>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</si>
  <si>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</si>
  <si>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</si>
  <si>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</si>
  <si>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</si>
  <si>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</si>
  <si>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</si>
  <si>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</si>
  <si>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</si>
  <si>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</si>
  <si>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</si>
  <si>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</si>
  <si>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</si>
  <si>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</si>
  <si>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</si>
  <si>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</si>
  <si>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</si>
  <si>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</si>
  <si>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</si>
  <si>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</si>
  <si>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</si>
  <si>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</si>
  <si>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</si>
  <si>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</si>
  <si>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</si>
  <si>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</si>
  <si>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</si>
  <si>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</si>
  <si>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</si>
  <si>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</si>
  <si>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</si>
  <si>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</si>
  <si>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</si>
  <si>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</si>
  <si>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</si>
  <si>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</si>
  <si>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</si>
  <si>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</si>
  <si>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</si>
  <si>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</si>
  <si>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</si>
  <si>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</si>
  <si>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</si>
  <si>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</si>
  <si>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</si>
  <si>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</si>
  <si>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</si>
  <si>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</si>
  <si>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</si>
  <si>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</si>
  <si>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</si>
  <si>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</si>
  <si>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</si>
  <si>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</si>
  <si>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</si>
  <si>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</si>
  <si>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</si>
  <si>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</si>
  <si>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</si>
  <si>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</si>
  <si>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</si>
  <si>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</si>
  <si>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</si>
  <si>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</si>
  <si>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</si>
  <si>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</si>
  <si>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</si>
  <si>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</si>
  <si>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</si>
  <si>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</si>
  <si>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</si>
  <si>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</si>
  <si>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</si>
  <si>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</si>
  <si>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</si>
  <si>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</si>
  <si>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</si>
  <si>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</si>
  <si>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</si>
  <si>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</si>
  <si>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</si>
  <si>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</si>
  <si>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</si>
  <si>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</si>
  <si>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</si>
  <si>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</si>
  <si>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</si>
  <si>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</si>
  <si>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</si>
  <si>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</si>
  <si>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</si>
  <si>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</si>
  <si>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</si>
  <si>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</si>
  <si>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</si>
  <si>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</si>
  <si>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</si>
  <si>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</si>
  <si>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</si>
  <si>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</si>
  <si>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</si>
  <si>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</si>
  <si>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</si>
  <si>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</si>
  <si>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</si>
  <si>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</si>
  <si>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</si>
  <si>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</si>
  <si>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</si>
  <si>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</si>
  <si>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</si>
  <si>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</si>
  <si>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</si>
  <si>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</si>
  <si>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</si>
  <si>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</si>
  <si>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</si>
  <si>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</si>
  <si>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</si>
  <si>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</si>
  <si>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</si>
  <si>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</si>
  <si>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</si>
  <si>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</si>
  <si>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</si>
  <si>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</si>
  <si>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</si>
  <si>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</si>
  <si>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</si>
  <si>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</si>
  <si>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</si>
  <si>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</si>
  <si>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</si>
  <si>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</si>
  <si>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</si>
  <si>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</si>
  <si>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</si>
  <si>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</si>
  <si>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</si>
  <si>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</si>
  <si>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</si>
  <si>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</si>
  <si>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</si>
  <si>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</si>
  <si>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</si>
  <si>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</si>
  <si>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</si>
  <si>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</si>
  <si>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</si>
  <si>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</si>
  <si>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</si>
  <si>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</si>
  <si>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</si>
  <si>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</si>
  <si>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</si>
  <si>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</si>
  <si>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</si>
  <si>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</si>
  <si>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</si>
  <si>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</si>
  <si>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</si>
  <si>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</si>
  <si>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</si>
  <si>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</si>
  <si>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</si>
  <si>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</si>
  <si>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</si>
  <si>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</si>
  <si>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</si>
  <si>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</si>
  <si>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</si>
  <si>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</si>
  <si>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</si>
  <si>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</si>
  <si>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</si>
  <si>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</si>
  <si>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</si>
  <si>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</si>
  <si>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</si>
  <si>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</si>
  <si>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</si>
  <si>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</si>
  <si>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</si>
  <si>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</si>
  <si>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</si>
  <si>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</si>
  <si>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</si>
  <si>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</si>
  <si>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</si>
  <si>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</si>
  <si>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</si>
  <si>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</si>
  <si>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</si>
  <si>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</si>
  <si>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</si>
  <si>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</si>
  <si>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</si>
  <si>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</si>
  <si>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</si>
  <si>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</si>
  <si>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</si>
  <si>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</si>
  <si>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</si>
  <si>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</si>
  <si>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</si>
  <si>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</si>
  <si>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</si>
  <si>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</si>
  <si>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</si>
  <si>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</si>
  <si>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</si>
  <si>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</si>
  <si>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</si>
  <si>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</si>
  <si>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</si>
  <si>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</si>
  <si>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</si>
  <si>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</si>
  <si>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</si>
  <si>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</si>
  <si>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</si>
  <si>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</si>
  <si>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</si>
  <si>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</si>
  <si>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</si>
  <si>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</si>
  <si>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</si>
  <si>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</si>
  <si>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</si>
  <si>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</si>
  <si>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</si>
  <si>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</si>
  <si>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</si>
  <si>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</si>
  <si>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</si>
  <si>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</si>
  <si>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</si>
  <si>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</si>
  <si>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</si>
  <si>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</si>
  <si>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</si>
  <si>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</si>
  <si>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</si>
  <si>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</si>
  <si>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</si>
  <si>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</si>
  <si>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</si>
  <si>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</si>
  <si>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</si>
  <si>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</si>
  <si>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</si>
  <si>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</si>
  <si>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</si>
  <si>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</si>
  <si>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</si>
  <si>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</si>
  <si>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</si>
  <si>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</si>
  <si>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</si>
  <si>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</si>
  <si>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</si>
  <si>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</si>
  <si>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</si>
  <si>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</si>
  <si>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</si>
  <si>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</si>
  <si>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</si>
  <si>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</si>
  <si>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</si>
  <si>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</si>
  <si>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</si>
  <si>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</si>
  <si>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</si>
  <si>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</si>
  <si>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</si>
  <si>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</si>
  <si>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</si>
  <si>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</si>
  <si>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</si>
  <si>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</si>
  <si>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</si>
  <si>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</si>
  <si>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</si>
  <si>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</si>
  <si>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</si>
  <si>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</si>
  <si>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</si>
  <si>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</si>
  <si>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</si>
  <si>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</si>
  <si>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</si>
  <si>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</si>
  <si>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</si>
  <si>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</si>
  <si>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</si>
  <si>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</si>
  <si>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</si>
  <si>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</si>
  <si>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</si>
  <si>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</si>
  <si>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</si>
  <si>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</si>
  <si>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</si>
  <si>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</si>
  <si>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</si>
  <si>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</si>
  <si>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</si>
  <si>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</si>
  <si>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</si>
  <si>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</si>
  <si>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</si>
  <si>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</si>
  <si>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</si>
  <si>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</si>
  <si>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</si>
  <si>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</si>
  <si>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</si>
  <si>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</si>
  <si>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</si>
  <si>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</si>
  <si>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</si>
  <si>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</si>
  <si>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</si>
  <si>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</si>
  <si>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</si>
  <si>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</si>
  <si>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</si>
  <si>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</si>
  <si>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</si>
  <si>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</si>
  <si>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</si>
  <si>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</si>
  <si>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</si>
  <si>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</si>
  <si>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</si>
  <si>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</si>
  <si>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</si>
  <si>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</si>
  <si>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</si>
  <si>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</si>
  <si>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</si>
  <si>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</si>
  <si>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</si>
  <si>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</si>
  <si>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</si>
  <si>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</si>
  <si>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</si>
  <si>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</si>
  <si>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</si>
  <si>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</si>
  <si>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</si>
  <si>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</si>
  <si>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</si>
  <si>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</si>
  <si>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</si>
  <si>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</si>
  <si>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</si>
  <si>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</si>
  <si>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</si>
  <si>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</si>
  <si>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</si>
  <si>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</si>
  <si>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</si>
  <si>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</si>
  <si>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</si>
  <si>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</si>
  <si>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</si>
  <si>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</si>
  <si>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</si>
  <si>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</si>
  <si>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</si>
  <si>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</si>
  <si>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</si>
  <si>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</si>
  <si>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</si>
  <si>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</si>
  <si>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</si>
  <si>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</si>
  <si>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</si>
  <si>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</si>
  <si>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</si>
  <si>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</si>
  <si>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</si>
  <si>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</si>
  <si>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</si>
  <si>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</si>
  <si>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</si>
  <si>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</si>
  <si>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</si>
  <si>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</si>
  <si>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</si>
  <si>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</si>
  <si>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</si>
  <si>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</si>
  <si>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</si>
  <si>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</si>
  <si>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</si>
  <si>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</si>
  <si>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</si>
  <si>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</si>
  <si>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</si>
  <si>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</si>
  <si>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</si>
  <si>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</si>
  <si>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</si>
  <si>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</si>
  <si>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</si>
  <si>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</si>
  <si>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</si>
  <si>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</si>
  <si>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</si>
  <si>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</si>
  <si>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</si>
  <si>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</si>
  <si>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</si>
  <si>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</si>
  <si>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</si>
  <si>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</si>
  <si>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</si>
  <si>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</si>
  <si>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</si>
  <si>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</si>
  <si>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</si>
  <si>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</si>
  <si>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</si>
  <si>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</si>
  <si>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</si>
  <si>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</si>
  <si>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</si>
  <si>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</si>
  <si>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</si>
  <si>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</si>
  <si>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</si>
  <si>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</si>
  <si>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</si>
  <si>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</si>
  <si>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</si>
  <si>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</si>
  <si>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</si>
  <si>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</si>
  <si>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</si>
  <si>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</si>
  <si>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</si>
  <si>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</si>
  <si>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</si>
  <si>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</si>
  <si>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</si>
  <si>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</si>
  <si>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</si>
  <si>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</si>
  <si>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</si>
  <si>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</si>
  <si>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</si>
  <si>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</si>
  <si>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</si>
  <si>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</si>
  <si>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</si>
  <si>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</si>
  <si>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</si>
  <si>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</si>
  <si>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</si>
  <si>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</si>
  <si>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</si>
  <si>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</si>
  <si>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</si>
  <si>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</si>
  <si>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</si>
  <si>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</si>
  <si>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</si>
  <si>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</si>
  <si>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</si>
  <si>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</si>
  <si>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</si>
  <si>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</si>
  <si>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</si>
  <si>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</si>
  <si>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</si>
  <si>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</si>
  <si>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</si>
  <si>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</si>
  <si>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</si>
  <si>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</si>
  <si>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</si>
  <si>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</si>
  <si>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</si>
  <si>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</si>
  <si>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</si>
  <si>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</si>
  <si>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</si>
  <si>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</si>
  <si>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</si>
  <si>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</si>
  <si>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</si>
  <si>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</si>
  <si>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</si>
  <si>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</si>
  <si>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</si>
  <si>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</si>
  <si>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</si>
  <si>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</si>
  <si>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</si>
  <si>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</si>
  <si>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</si>
  <si>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</si>
  <si>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</si>
  <si>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</si>
  <si>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</si>
  <si>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</si>
  <si>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</si>
  <si>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</si>
  <si>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</si>
  <si>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</si>
  <si>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</si>
  <si>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</si>
  <si>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</si>
  <si>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</si>
  <si>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</si>
  <si>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</si>
  <si>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</si>
  <si>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</si>
  <si>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</si>
  <si>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</si>
  <si>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</si>
  <si>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</si>
  <si>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</si>
  <si>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</si>
  <si>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</si>
  <si>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</si>
  <si>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</si>
  <si>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</si>
  <si>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</si>
  <si>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</si>
  <si>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</si>
  <si>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</si>
  <si>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</si>
  <si>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</si>
  <si>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</si>
  <si>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</si>
  <si>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</si>
  <si>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</si>
  <si>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</si>
  <si>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</si>
  <si>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</si>
  <si>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</si>
  <si>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</si>
  <si>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</si>
  <si>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</si>
  <si>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</si>
  <si>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</si>
  <si>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</si>
  <si>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</si>
  <si>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</si>
  <si>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</si>
  <si>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</si>
  <si>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</si>
  <si>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</si>
  <si>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</si>
  <si>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</si>
  <si>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</si>
  <si>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</si>
  <si>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</si>
  <si>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</si>
  <si>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</si>
  <si>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</si>
  <si>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</si>
  <si>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</si>
  <si>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</si>
  <si>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</si>
  <si>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</si>
  <si>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</si>
  <si>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</si>
  <si>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</si>
  <si>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</si>
  <si>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</si>
  <si>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</si>
  <si>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</si>
  <si>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</si>
  <si>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</si>
  <si>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</si>
  <si>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</si>
  <si>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</si>
  <si>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</si>
  <si>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</si>
  <si>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</si>
  <si>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</si>
  <si>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</si>
  <si>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</si>
  <si>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</si>
  <si>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</si>
  <si>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</si>
  <si>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</si>
  <si>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</si>
  <si>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</si>
  <si>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</si>
  <si>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</si>
  <si>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</si>
  <si>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</si>
  <si>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</si>
  <si>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</si>
  <si>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</si>
  <si>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</si>
  <si>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</si>
  <si>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</si>
  <si>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</si>
  <si>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</si>
  <si>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</si>
  <si>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</si>
  <si>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</si>
  <si>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</si>
  <si>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</si>
  <si>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</si>
  <si>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</si>
  <si>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</si>
  <si>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</si>
  <si>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</si>
  <si>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</si>
  <si>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</si>
  <si>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</si>
  <si>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</si>
  <si>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</si>
  <si>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</si>
  <si>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</si>
  <si>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</si>
  <si>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</si>
  <si>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</si>
  <si>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</si>
  <si>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</si>
  <si>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</si>
  <si>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</si>
  <si>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</si>
  <si>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</si>
  <si>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</si>
  <si>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</si>
  <si>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</si>
  <si>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</si>
  <si>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</si>
  <si>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</si>
  <si>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</si>
  <si>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</si>
  <si>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</si>
  <si>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</si>
  <si>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</si>
  <si>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</si>
  <si>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</si>
  <si>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</si>
  <si>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</si>
  <si>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</si>
  <si>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</si>
  <si>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</si>
  <si>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</si>
  <si>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</si>
  <si>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</si>
  <si>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</si>
  <si>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</si>
  <si>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</si>
  <si>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</si>
  <si>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</si>
  <si>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</si>
  <si>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</si>
  <si>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</si>
  <si>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</si>
  <si>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</si>
  <si>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</si>
  <si>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</si>
  <si>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</si>
  <si>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</si>
  <si>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</si>
  <si>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</si>
  <si>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</si>
  <si>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</si>
  <si>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</si>
  <si>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</si>
  <si>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</si>
  <si>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</si>
  <si>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</si>
  <si>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</si>
  <si>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</si>
  <si>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</si>
  <si>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</si>
  <si>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</si>
  <si>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</si>
  <si>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</si>
  <si>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</si>
  <si>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</si>
  <si>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</si>
  <si>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</si>
  <si>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</si>
  <si>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</si>
  <si>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</si>
  <si>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</si>
  <si>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</si>
  <si>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</si>
  <si>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</si>
  <si>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</si>
  <si>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</si>
  <si>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</si>
  <si>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</si>
  <si>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</si>
  <si>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</si>
  <si>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</si>
  <si>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</si>
  <si>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</si>
  <si>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</si>
  <si>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</si>
  <si>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</si>
  <si>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</si>
  <si>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</si>
  <si>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</si>
  <si>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</si>
  <si>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</si>
  <si>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</si>
  <si>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</si>
  <si>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</si>
  <si>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</si>
  <si>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</si>
  <si>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</si>
  <si>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</si>
  <si>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</si>
  <si>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</si>
  <si>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</si>
  <si>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</si>
  <si>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</si>
  <si>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</si>
  <si>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</si>
  <si>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</si>
  <si>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</si>
  <si>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</si>
  <si>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</si>
  <si>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</si>
  <si>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</si>
  <si>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</si>
  <si>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</si>
  <si>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</si>
  <si>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</si>
  <si>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</si>
  <si>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</si>
  <si>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</si>
  <si>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</si>
  <si>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</si>
  <si>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</si>
  <si>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</si>
  <si>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</si>
  <si>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</si>
  <si>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</si>
  <si>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</si>
  <si>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</si>
  <si>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</si>
  <si>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</si>
  <si>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</si>
  <si>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</si>
  <si>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</si>
  <si>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</si>
  <si>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</si>
  <si>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</si>
  <si>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</si>
  <si>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</si>
  <si>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</si>
  <si>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</si>
  <si>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</si>
  <si>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</si>
  <si>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</si>
  <si>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</si>
  <si>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</si>
  <si>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</si>
  <si>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</si>
  <si>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</si>
  <si>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</si>
  <si>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</si>
  <si>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</si>
  <si>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</si>
  <si>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</si>
  <si>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</si>
  <si>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</si>
  <si>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</si>
  <si>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</si>
  <si>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</si>
  <si>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</si>
  <si>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</si>
  <si>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</si>
  <si>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</si>
  <si>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</si>
  <si>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</si>
  <si>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</si>
  <si>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</si>
  <si>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</si>
  <si>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</si>
  <si>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</si>
  <si>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</si>
  <si>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</si>
  <si>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</si>
  <si>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</si>
  <si>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</si>
  <si>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</si>
  <si>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</si>
  <si>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</si>
  <si>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</si>
  <si>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</si>
  <si>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</si>
  <si>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</si>
  <si>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</si>
  <si>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</si>
  <si>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</si>
  <si>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</si>
  <si>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</si>
  <si>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</si>
  <si>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</si>
  <si>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</si>
  <si>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</si>
  <si>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</si>
  <si>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</si>
  <si>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</si>
  <si>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</si>
  <si>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</si>
  <si>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</si>
  <si>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</si>
  <si>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</si>
  <si>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</si>
  <si>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</si>
  <si>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</si>
  <si>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</si>
  <si>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</si>
  <si>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</si>
  <si>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</si>
  <si>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</si>
  <si>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</si>
  <si>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</si>
  <si>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</si>
  <si>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</si>
  <si>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</si>
  <si>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</si>
  <si>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</si>
  <si>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</si>
  <si>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</si>
  <si>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</si>
  <si>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</si>
  <si>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</si>
  <si>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</si>
  <si>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</si>
  <si>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</si>
  <si>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</si>
  <si>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</si>
  <si>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</si>
  <si>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</si>
  <si>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</si>
  <si>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</si>
  <si>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</si>
  <si>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</si>
  <si>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</si>
  <si>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</si>
  <si>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</si>
  <si>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</si>
  <si>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</si>
  <si>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</si>
  <si>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</si>
  <si>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</si>
  <si>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</si>
  <si>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</si>
  <si>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</si>
  <si>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</si>
  <si>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</si>
  <si>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</si>
  <si>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</si>
  <si>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</si>
  <si>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</si>
  <si>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</si>
  <si>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</si>
  <si>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</si>
  <si>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</si>
  <si>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</si>
  <si>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</si>
  <si>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</si>
  <si>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</si>
  <si>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</si>
  <si>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</si>
  <si>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</si>
  <si>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</si>
  <si>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</si>
  <si>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</si>
  <si>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</si>
  <si>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</si>
  <si>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</si>
  <si>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</si>
  <si>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</si>
  <si>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</si>
  <si>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</si>
  <si>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</si>
  <si>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</si>
  <si>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</si>
  <si>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</si>
  <si>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</si>
  <si>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</si>
  <si>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</si>
  <si>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</si>
  <si>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</si>
  <si>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</si>
  <si>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</si>
  <si>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</si>
  <si>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</si>
  <si>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</si>
  <si>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</si>
  <si>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</si>
  <si>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</si>
  <si>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</si>
  <si>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</si>
  <si>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</si>
  <si>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</si>
  <si>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</si>
  <si>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</si>
  <si>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</si>
  <si>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</si>
  <si>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</si>
  <si>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</si>
  <si>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</si>
  <si>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</si>
  <si>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</si>
  <si>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</si>
  <si>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</si>
  <si>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</si>
  <si>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</si>
  <si>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</si>
  <si>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</si>
  <si>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</si>
  <si>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</si>
  <si>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</si>
  <si>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</si>
  <si>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</si>
  <si>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</si>
  <si>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</si>
  <si>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</si>
  <si>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</si>
  <si>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</si>
  <si>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</si>
  <si>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</si>
  <si>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</si>
  <si>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</si>
  <si>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</si>
  <si>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</si>
  <si>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</si>
  <si>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</si>
  <si>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</si>
  <si>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</si>
  <si>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</si>
  <si>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</si>
  <si>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</si>
  <si>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</si>
  <si>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</si>
  <si>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</si>
  <si>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</si>
  <si>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</si>
  <si>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</si>
  <si>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</si>
  <si>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</si>
  <si>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</si>
  <si>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</si>
  <si>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</si>
  <si>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</si>
  <si>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</si>
  <si>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</si>
  <si>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</si>
  <si>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</si>
  <si>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</si>
  <si>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</si>
  <si>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</si>
  <si>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</si>
  <si>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</si>
  <si>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</si>
  <si>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</si>
  <si>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</si>
  <si>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</si>
  <si>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</si>
  <si>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</si>
  <si>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</si>
  <si>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</si>
  <si>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</si>
  <si>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</si>
  <si>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</si>
  <si>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</si>
  <si>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</si>
  <si>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</si>
  <si>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</si>
  <si>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</si>
  <si>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</si>
  <si>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</si>
  <si>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</si>
  <si>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</si>
  <si>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</si>
  <si>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</si>
  <si>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</si>
  <si>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</si>
  <si>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</si>
  <si>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</si>
  <si>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</si>
  <si>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</si>
  <si>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</si>
  <si>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</si>
  <si>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</si>
  <si>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</si>
  <si>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</si>
  <si>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</si>
  <si>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</si>
  <si>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</si>
  <si>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</si>
  <si>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</si>
  <si>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</si>
  <si>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</si>
  <si>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</si>
  <si>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</si>
  <si>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</si>
  <si>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</si>
  <si>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</si>
  <si>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</si>
  <si>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</si>
  <si>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</si>
  <si>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</si>
  <si>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</si>
  <si>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</si>
  <si>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</si>
  <si>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</si>
  <si>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</si>
  <si>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</si>
  <si>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</si>
  <si>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</si>
  <si>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</si>
  <si>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</si>
  <si>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</si>
  <si>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</si>
  <si>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</si>
  <si>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</si>
  <si>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</si>
  <si>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</si>
  <si>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</si>
  <si>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</si>
  <si>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</si>
  <si>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</si>
  <si>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</si>
  <si>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</si>
  <si>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</si>
  <si>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</si>
  <si>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</si>
  <si>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</si>
  <si>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</si>
  <si>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</si>
  <si>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</si>
  <si>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</si>
  <si>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</si>
  <si>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</si>
  <si>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</si>
  <si>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</si>
  <si>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</si>
  <si>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</si>
  <si>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</si>
  <si>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</si>
  <si>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</si>
  <si>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</si>
  <si>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</si>
  <si>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</si>
  <si>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</si>
  <si>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</si>
  <si>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</si>
  <si>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</si>
  <si>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</si>
  <si>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</si>
  <si>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</si>
  <si>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</si>
  <si>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</si>
  <si>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</si>
  <si>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</si>
  <si>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</si>
  <si>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</si>
  <si>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</si>
  <si>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</si>
  <si>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</si>
  <si>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</si>
  <si>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</si>
  <si>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</si>
  <si>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</si>
  <si>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</si>
  <si>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</si>
  <si>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</si>
  <si>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</si>
  <si>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</si>
  <si>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</si>
  <si>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</si>
  <si>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</si>
  <si>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</si>
  <si>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</si>
  <si>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</si>
  <si>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</si>
  <si>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</si>
  <si>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</si>
  <si>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</si>
  <si>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</si>
  <si>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</si>
  <si>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</si>
  <si>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</si>
  <si>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</si>
  <si>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</si>
  <si>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</si>
  <si>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</si>
  <si>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</si>
  <si>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</si>
  <si>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</si>
  <si>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</si>
  <si>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</si>
  <si>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</si>
  <si>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</si>
  <si>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</si>
  <si>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</si>
  <si>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</si>
  <si>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</si>
  <si>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</si>
  <si>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</si>
  <si>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</si>
  <si>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</si>
  <si>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</si>
  <si>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</si>
  <si>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</si>
  <si>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</si>
  <si>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</si>
  <si>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</si>
  <si>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</si>
  <si>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</si>
  <si>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</si>
  <si>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</si>
  <si>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</si>
  <si>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</si>
  <si>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</si>
  <si>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</si>
  <si>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</si>
  <si>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</si>
  <si>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</si>
  <si>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</si>
  <si>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</si>
  <si>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</si>
  <si>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</si>
  <si>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</si>
  <si>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</si>
  <si>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</si>
  <si>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</si>
  <si>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</si>
  <si>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</si>
  <si>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</si>
  <si>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</si>
  <si>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</si>
  <si>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</si>
  <si>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</si>
  <si>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</si>
  <si>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</si>
  <si>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</si>
  <si>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</si>
  <si>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</si>
  <si>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</si>
  <si>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</si>
  <si>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</si>
  <si>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</si>
  <si>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</si>
  <si>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</si>
  <si>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</si>
  <si>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</si>
  <si>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</si>
  <si>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</si>
  <si>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</si>
  <si>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</si>
  <si>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</si>
  <si>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</si>
  <si>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</si>
  <si>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</si>
  <si>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</si>
  <si>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</si>
  <si>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</si>
  <si>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</si>
  <si>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</si>
  <si>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</si>
  <si>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</si>
  <si>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</si>
  <si>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</si>
  <si>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</si>
  <si>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</si>
  <si>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</si>
  <si>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</si>
  <si>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</si>
  <si>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</si>
  <si>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</si>
  <si>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</si>
  <si>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</si>
  <si>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</si>
  <si>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</si>
  <si>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</si>
  <si>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</si>
  <si>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</si>
  <si>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</si>
  <si>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</si>
  <si>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</si>
  <si>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</si>
  <si>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</si>
  <si>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</si>
  <si>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</si>
  <si>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</si>
  <si>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</si>
  <si>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</si>
  <si>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</si>
  <si>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</si>
  <si>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</si>
  <si>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</si>
  <si>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</si>
  <si>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</si>
  <si>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</si>
  <si>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</si>
  <si>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</si>
  <si>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</si>
  <si>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</si>
  <si>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</si>
  <si>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</si>
  <si>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</si>
  <si>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</si>
  <si>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</si>
  <si>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</si>
  <si>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</si>
  <si>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</si>
  <si>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</si>
  <si>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</si>
  <si>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</si>
  <si>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</si>
  <si>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</si>
  <si>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</si>
  <si>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</si>
  <si>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</si>
  <si>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</si>
  <si>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</si>
  <si>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</si>
  <si>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</si>
  <si>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</si>
  <si>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</si>
  <si>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</si>
  <si>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</si>
  <si>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</si>
  <si>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</si>
  <si>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</si>
  <si>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</si>
  <si>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</si>
  <si>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</si>
  <si>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</si>
  <si>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</si>
  <si>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</si>
  <si>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</si>
  <si>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</si>
  <si>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</si>
  <si>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</si>
  <si>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</si>
  <si>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</si>
  <si>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</si>
  <si>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</si>
  <si>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</si>
  <si>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</si>
  <si>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</si>
  <si>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</si>
  <si>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</si>
  <si>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</si>
  <si>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</si>
  <si>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</si>
  <si>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</si>
  <si>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</si>
  <si>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</si>
  <si>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</si>
  <si>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</si>
  <si>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</si>
  <si>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</si>
  <si>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</si>
  <si>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</si>
  <si>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</si>
  <si>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</si>
  <si>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</si>
  <si>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</si>
  <si>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</si>
  <si>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</si>
  <si>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</si>
  <si>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</si>
  <si>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</si>
  <si>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</si>
  <si>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</si>
  <si>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</si>
  <si>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</si>
  <si>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</si>
  <si>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</si>
  <si>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</si>
  <si>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</si>
  <si>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</si>
  <si>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</si>
  <si>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</si>
  <si>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</si>
  <si>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</si>
  <si>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</si>
  <si>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</si>
  <si>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</si>
  <si>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</si>
  <si>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</si>
  <si>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</si>
  <si>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</si>
  <si>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</si>
  <si>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</si>
  <si>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</si>
  <si>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</si>
  <si>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</si>
  <si>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</si>
  <si>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</si>
  <si>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</si>
  <si>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</si>
  <si>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</si>
  <si>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</si>
  <si>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</si>
  <si>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</si>
  <si>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</si>
  <si>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</si>
  <si>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</si>
  <si>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</si>
  <si>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</si>
  <si>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</si>
  <si>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</si>
  <si>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</si>
  <si>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</si>
  <si>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</si>
  <si>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</si>
  <si>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</si>
  <si>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</si>
  <si>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</si>
  <si>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</si>
  <si>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</si>
  <si>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</si>
  <si>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</si>
  <si>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</si>
  <si>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</si>
  <si>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</si>
  <si>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</si>
  <si>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</si>
  <si>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</si>
  <si>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</si>
  <si>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</si>
  <si>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</si>
  <si>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</si>
  <si>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</si>
  <si>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</si>
  <si>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</si>
  <si>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</si>
  <si>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</si>
  <si>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</si>
  <si>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</si>
  <si>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</si>
  <si>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</si>
  <si>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</si>
  <si>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</si>
  <si>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</si>
  <si>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</si>
  <si>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</si>
  <si>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</si>
  <si>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</si>
  <si>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</si>
  <si>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</si>
  <si>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</si>
  <si>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</si>
  <si>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</si>
  <si>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</si>
  <si>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</si>
  <si>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</si>
  <si>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</si>
  <si>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</si>
  <si>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</si>
  <si>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</si>
  <si>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</si>
  <si>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</si>
  <si>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</si>
  <si>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</si>
  <si>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</si>
  <si>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</si>
  <si>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</si>
  <si>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</si>
  <si>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</si>
  <si>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</si>
  <si>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</si>
  <si>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</si>
  <si>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</si>
  <si>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</si>
  <si>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</si>
  <si>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</si>
  <si>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</si>
  <si>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</si>
  <si>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</si>
  <si>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</si>
  <si>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</si>
  <si>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</si>
  <si>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</si>
  <si>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</si>
  <si>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</si>
  <si>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</si>
  <si>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</si>
  <si>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</si>
  <si>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</si>
  <si>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</si>
  <si>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</si>
  <si>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</si>
  <si>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</si>
  <si>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</si>
  <si>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</si>
  <si>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</si>
  <si>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</si>
  <si>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</si>
  <si>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</si>
  <si>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</si>
  <si>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</si>
  <si>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</si>
  <si>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</si>
  <si>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</si>
  <si>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</si>
  <si>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</si>
  <si>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</si>
  <si>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</si>
  <si>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</si>
  <si>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</si>
  <si>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</si>
  <si>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</si>
  <si>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</si>
  <si>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</si>
  <si>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</si>
  <si>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</si>
  <si>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</si>
  <si>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</si>
  <si>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</si>
  <si>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</si>
  <si>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</si>
  <si>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</si>
  <si>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</si>
  <si>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</si>
  <si>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</si>
  <si>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</si>
  <si>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</si>
  <si>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</si>
  <si>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</si>
  <si>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</si>
  <si>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</si>
  <si>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</si>
  <si>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</si>
  <si>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</si>
  <si>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</si>
  <si>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</si>
  <si>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</si>
  <si>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</si>
  <si>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</si>
  <si>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</si>
  <si>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</si>
  <si>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</si>
  <si>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</si>
  <si>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</si>
  <si>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</si>
  <si>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</si>
  <si>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</si>
  <si>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</si>
  <si>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</si>
  <si>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</si>
  <si>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</si>
  <si>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</si>
  <si>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</si>
  <si>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</si>
  <si>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</si>
  <si>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</si>
  <si>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</si>
  <si>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</si>
  <si>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</si>
  <si>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</si>
  <si>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</si>
  <si>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</si>
  <si>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</si>
  <si>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</si>
  <si>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</si>
  <si>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</si>
  <si>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</si>
  <si>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</si>
  <si>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</si>
  <si>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</si>
  <si>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</si>
  <si>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</si>
  <si>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</si>
  <si>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</si>
  <si>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</si>
  <si>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</si>
  <si>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</si>
  <si>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</si>
  <si>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</si>
  <si>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</si>
  <si>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</si>
  <si>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</si>
  <si>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</si>
  <si>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</si>
  <si>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</si>
  <si>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</si>
  <si>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</si>
  <si>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</si>
  <si>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</si>
  <si>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</si>
  <si>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</si>
  <si>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</si>
  <si>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</si>
  <si>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</si>
  <si>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</si>
  <si>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</si>
  <si>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</si>
  <si>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</si>
  <si>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</si>
  <si>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</si>
  <si>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</si>
  <si>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</si>
  <si>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</si>
  <si>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</si>
  <si>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</si>
  <si>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</si>
  <si>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</si>
  <si>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</si>
  <si>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</si>
  <si>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</si>
  <si>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</si>
  <si>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</si>
  <si>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</si>
  <si>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</si>
  <si>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</si>
  <si>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</si>
  <si>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</si>
  <si>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</si>
  <si>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</si>
  <si>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</si>
  <si>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</si>
  <si>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</si>
  <si>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</si>
  <si>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</si>
  <si>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</si>
  <si>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</si>
  <si>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</si>
  <si>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</si>
  <si>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</si>
  <si>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</si>
  <si>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</si>
  <si>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</si>
  <si>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</si>
  <si>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</si>
  <si>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</si>
  <si>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</si>
  <si>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</si>
  <si>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</si>
  <si>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</si>
  <si>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</si>
  <si>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</si>
  <si>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</si>
  <si>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</si>
  <si>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</si>
  <si>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</si>
  <si>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</si>
  <si>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</si>
  <si>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</si>
  <si>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</si>
  <si>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</si>
  <si>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</si>
  <si>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</si>
  <si>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</si>
  <si>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</si>
  <si>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</si>
  <si>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</si>
  <si>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</si>
  <si>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</si>
  <si>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</si>
  <si>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</si>
  <si>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</si>
  <si>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</si>
  <si>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</si>
  <si>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</si>
  <si>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</si>
  <si>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</si>
  <si>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</si>
  <si>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</si>
  <si>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</si>
  <si>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</si>
  <si>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</si>
  <si>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</si>
  <si>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</si>
  <si>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</si>
  <si>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</si>
  <si>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</si>
  <si>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</si>
  <si>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</si>
  <si>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</si>
  <si>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</si>
  <si>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</si>
  <si>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</si>
  <si>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</si>
  <si>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</si>
  <si>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</si>
  <si>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</si>
  <si>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</si>
  <si>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</si>
  <si>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</si>
  <si>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</si>
  <si>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</si>
  <si>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</si>
  <si>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</si>
  <si>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</si>
  <si>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</si>
  <si>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</si>
  <si>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</si>
  <si>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</si>
  <si>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</si>
  <si>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</si>
  <si>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</si>
  <si>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</si>
  <si>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</si>
  <si>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</si>
  <si>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</si>
  <si>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</si>
  <si>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</si>
  <si>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</si>
  <si>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</si>
  <si>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</si>
  <si>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</si>
  <si>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</si>
  <si>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</si>
  <si>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</si>
  <si>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</si>
  <si>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</si>
  <si>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</si>
  <si>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</si>
  <si>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</si>
  <si>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</si>
  <si>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</si>
  <si>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</si>
  <si>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</si>
  <si>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</si>
  <si>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</si>
  <si>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</si>
  <si>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</si>
  <si>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</si>
  <si>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</si>
  <si>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</si>
  <si>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</si>
  <si>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</si>
  <si>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</si>
  <si>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</si>
  <si>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</si>
  <si>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</si>
  <si>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</si>
  <si>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</si>
  <si>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</si>
  <si>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</si>
  <si>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</si>
  <si>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</si>
  <si>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</si>
  <si>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</si>
  <si>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</si>
  <si>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</si>
  <si>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</si>
  <si>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</si>
  <si>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</si>
  <si>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</si>
  <si>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</si>
  <si>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</si>
  <si>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</si>
  <si>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</si>
  <si>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</si>
  <si>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</si>
  <si>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</si>
  <si>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</si>
  <si>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</si>
  <si>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</si>
  <si>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</si>
  <si>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</si>
  <si>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</si>
  <si>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</si>
  <si>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</si>
  <si>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</si>
  <si>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</si>
  <si>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</si>
  <si>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</si>
  <si>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</si>
  <si>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</si>
  <si>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</si>
  <si>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</si>
  <si>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</si>
  <si>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</si>
  <si>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</si>
  <si>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</si>
  <si>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</si>
  <si>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</si>
  <si>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</si>
  <si>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</si>
  <si>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</si>
  <si>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</si>
  <si>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</si>
  <si>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</si>
  <si>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</si>
  <si>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</si>
  <si>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</si>
  <si>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</si>
  <si>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</si>
  <si>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</si>
  <si>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</si>
  <si>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</si>
  <si>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</si>
  <si>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</si>
  <si>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</si>
  <si>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</si>
  <si>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</si>
  <si>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</si>
  <si>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</si>
  <si>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</si>
  <si>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</si>
  <si>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</si>
  <si>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</si>
  <si>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</si>
  <si>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</si>
  <si>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</si>
  <si>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</si>
  <si>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</si>
  <si>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</si>
  <si>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</si>
  <si>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</si>
  <si>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</si>
  <si>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</si>
  <si>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</si>
  <si>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</si>
  <si>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</si>
  <si>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</si>
  <si>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</si>
  <si>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</si>
  <si>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</si>
  <si>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</si>
  <si>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</si>
  <si>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</si>
  <si>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</si>
  <si>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</si>
  <si>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</si>
  <si>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</si>
  <si>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</si>
  <si>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</si>
  <si>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</si>
  <si>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</si>
  <si>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</si>
  <si>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</si>
  <si>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</si>
  <si>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</si>
  <si>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</si>
  <si>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</si>
  <si>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</si>
  <si>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</si>
  <si>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</si>
  <si>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</si>
  <si>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</si>
  <si>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</si>
  <si>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</si>
  <si>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</si>
  <si>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Column16372</t>
  </si>
  <si>
    <t>Column16373</t>
  </si>
  <si>
    <t>Column16374</t>
  </si>
  <si>
    <t>Column16375</t>
  </si>
  <si>
    <t>Column16376</t>
  </si>
  <si>
    <t>Column16377</t>
  </si>
  <si>
    <t>Column16378</t>
  </si>
  <si>
    <t>Column16379</t>
  </si>
  <si>
    <t>Languages</t>
  </si>
  <si>
    <t>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t>
  </si>
  <si>
    <t>TC is still in dev on supporting this issue. Not currently enforced. Daniel Lee to provide rough estimate of completion time.</t>
  </si>
  <si>
    <t>When a child window is dismissed, focus is returned to the element having had focus prior to the child window being spawned.</t>
  </si>
  <si>
    <t>In active items with tooltips, the tooltip is spoken after item is announced.</t>
  </si>
  <si>
    <t>For example, customer name in a pre-chat survey. Conversely, a "back" button or a "close chat" button are generic, and should not receive initial focus even if they were the first controls in the form.</t>
  </si>
  <si>
    <t>Error messages must be specific enough to describe what the user must do to remedy the error. For example, "Incorrect data format" is not a good error message. But "Phone numbers must have 10 digits" is a good error message.</t>
  </si>
  <si>
    <t>For desktop, chat panel and child windows are dismissable via escape key in the in-page modal window.</t>
  </si>
  <si>
    <t>On the text input field, use aria-labelledby="{prompt_ID}, where {prompt_ID} is the ID declared in the div containing the prompt text.</t>
  </si>
  <si>
    <t>Modal dismissal button dismisses banner and moves focus to chat text entry field.</t>
  </si>
  <si>
    <t>These links and buttons are typically contained in agent or system messages, and are keyboard operable.</t>
  </si>
  <si>
    <t>Technique:
For iOS devices and iPad, the input field is not necessarily ready for typing on initial focus. So on initial focus, the virtual keyboard does not appear even though the field is announced. Suggested solution: Focus on an intermediate button labelled "Start Chat" or "Send" which then moves focus to the text entry area once operated by the user. The intermediate start chat button then dissappears from the chat user interface.</t>
  </si>
  <si>
    <t>Text area is labeled, or uses a placeholder, e.g. “type your message”, which is read automatically by the screen reader.</t>
  </si>
  <si>
    <t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t>
  </si>
  <si>
    <t>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t>
  </si>
  <si>
    <t>When an agent message is received while chat is minimized, the message is read automatically by the screen reader. If the alert chime is active, the chime is issued.</t>
  </si>
  <si>
    <t>Use aria-labelledby on the co-browse close button.</t>
  </si>
  <si>
    <t>Banner title is enclosed in an &lt;h1&gt; tag.</t>
  </si>
  <si>
    <t xml:space="preserve">The primary language of the chat environment is declared with an appropriate lang attribute assignment on the outmost container tag of each chat component.
</t>
  </si>
  <si>
    <t>When chat is not available, POI remains in the tab order but is marked with aria-disabled="true".</t>
  </si>
  <si>
    <t>Modals without initial focus on a control or on a link are not allowed.</t>
  </si>
  <si>
    <t>* http://betatrack.freedomscientific.com/attachment.cgi?id=16437
* Found In: JAWS 18.0.1908
* With FireFox, JAWS ignores the global Lang attribute defined in the HTML tag when reading the page title.</t>
  </si>
  <si>
    <t>* IE 11
* Related AT&amp;T defect: 1269</t>
  </si>
  <si>
    <t xml:space="preserve">* http://betaTrack.FreedomScientific.com/show_bug.cgi?id=91015
* In IE11, ARIA-describedby assignements are not announced by JAWS if forms navigation is used E.g. "f" and shift+f, "e" and shift+e", etc... I have verified the problem with input fields and combo boxes, but the defect should be tested against all forms of controls that support ARIA-describedby. Also, ARIA-describedby must be tested with multiple IDs assigned.
</t>
  </si>
  <si>
    <t>Choose the features relevant to your chat project. Answer Yes or No for each of these features that will be present in your project.</t>
  </si>
  <si>
    <t>The interactive entry point for chat in a web page or an application. Can contain chat state information as well, such as available, busy, etc.</t>
  </si>
  <si>
    <t>Javascript-based rules that proactively call chat based on a defined customer behavior.</t>
  </si>
  <si>
    <t>Form elements</t>
  </si>
  <si>
    <t>Interactive feature where the chat agent can see certain parts of the user's desktop.</t>
  </si>
  <si>
    <t>Covers all modal windows (interactive chat, pre-chat, post-chat, etc) as well as pseudo-modals (e.g. minimized chat, co-browse banners, and sales banners).</t>
  </si>
  <si>
    <t>Relevant when chat will occur in web environment with a language other than English.</t>
  </si>
  <si>
    <t>Interactive links in a modal window that guide the user to the most appropriate chat agent.</t>
  </si>
  <si>
    <t>2.0.0</t>
  </si>
  <si>
    <t>Full 2016 review of ACAST requirements</t>
  </si>
  <si>
    <t>Mobile HTML Chat?</t>
  </si>
  <si>
    <t>Desktop Chat?</t>
  </si>
  <si>
    <t>Mobile Native Application Chat?</t>
  </si>
  <si>
    <t>If your project involves desktop chat then indicate "Yes" here.</t>
  </si>
  <si>
    <t>If your project involves any type of HTML-based chat for mobile devices then indicate "Yes" here. This includes native applications that use mobile HTML.</t>
  </si>
  <si>
    <t>If your project involves a native chat application for mobile or tablet then indicate "Yes" here.</t>
  </si>
  <si>
    <t>The text chat experience itself. Referred to in requirements also as "Chat Panels".</t>
  </si>
  <si>
    <t>Covers any form elements in the chat project, including, but not limited to, pre-chat and post-chat surveys. Also includes inline forms, or other custom form elements.</t>
  </si>
  <si>
    <r>
      <t xml:space="preserve">Windows 7:
</t>
    </r>
    <r>
      <rPr>
        <sz val="10"/>
        <color theme="1"/>
        <rFont val="Calibri"/>
        <family val="2"/>
        <scheme val="minor"/>
      </rPr>
      <t>* Browsers: Internet Explorer 11, Firefox latest production version
* Screen Readers: Test in JAWS 17, spot-test with JAWS 18</t>
    </r>
    <r>
      <rPr>
        <sz val="12"/>
        <color theme="1"/>
        <rFont val="Calibri"/>
        <family val="2"/>
        <scheme val="minor"/>
      </rPr>
      <t xml:space="preserve">
Mac OSX:
</t>
    </r>
    <r>
      <rPr>
        <sz val="10"/>
        <color theme="1"/>
        <rFont val="Calibri"/>
        <family val="2"/>
        <scheme val="minor"/>
      </rPr>
      <t>* Browser: Safari latest production version
* Screen Reader: Built-In Voiceover</t>
    </r>
  </si>
  <si>
    <t>Environment Requirements</t>
  </si>
  <si>
    <r>
      <t xml:space="preserve">iOS 9 and 10:
</t>
    </r>
    <r>
      <rPr>
        <sz val="10"/>
        <color theme="1"/>
        <rFont val="Calibri"/>
        <family val="2"/>
        <scheme val="minor"/>
      </rPr>
      <t>* Browser: Safari latest production version
* Screen Reader: Built-in Voiceover</t>
    </r>
    <r>
      <rPr>
        <sz val="12"/>
        <color theme="1"/>
        <rFont val="Calibri"/>
        <family val="2"/>
        <scheme val="minor"/>
      </rPr>
      <t xml:space="preserve">
Android 6 and 7:
</t>
    </r>
    <r>
      <rPr>
        <sz val="10"/>
        <color theme="1"/>
        <rFont val="Calibri"/>
        <family val="2"/>
        <scheme val="minor"/>
      </rPr>
      <t>* Browser: Chrome latest production version
* Screen Reader: TalkBack latest version</t>
    </r>
  </si>
  <si>
    <r>
      <t xml:space="preserve">iOS 9 and 10
</t>
    </r>
    <r>
      <rPr>
        <sz val="10"/>
        <color theme="1"/>
        <rFont val="Calibri"/>
        <family val="2"/>
        <scheme val="minor"/>
      </rPr>
      <t>* Screen Reader: Built-in Voiceover</t>
    </r>
    <r>
      <rPr>
        <sz val="12"/>
        <color theme="1"/>
        <rFont val="Calibri"/>
        <family val="2"/>
        <scheme val="minor"/>
      </rPr>
      <t xml:space="preserve">
Android 6 and 7
</t>
    </r>
    <r>
      <rPr>
        <sz val="10"/>
        <color theme="1"/>
        <rFont val="Calibri"/>
        <family val="2"/>
        <scheme val="minor"/>
      </rPr>
      <t>* Screen Reader: TalkBack latest version</t>
    </r>
  </si>
  <si>
    <t xml:space="preserve">Identify required fields programmatically for screen readers and other assistive technology. Typical visual treatment is to provide an asterisk for required fields. </t>
  </si>
  <si>
    <t>6.12.5</t>
  </si>
  <si>
    <t>Fixed issues with Project Features filters being off by one cell.</t>
  </si>
  <si>
    <t xml:space="preserve">as </t>
  </si>
  <si>
    <t>2.0.1</t>
  </si>
  <si>
    <t>Fixed issue with Project Features filter not correctly switching sections on and off.</t>
  </si>
  <si>
    <t>Add Aria labelledby pointing to the ID of the banner on the dismisal button
Add Onblur to the dismissal button with Java script that removes the ID of the banner from ARIA labelledby.
Expected result, banner is announced automatically when it is first displayed, but is not announced again each time the dismissal button is refocussed.</t>
  </si>
  <si>
    <t xml:space="preserve">Use accesskey="A" for accept, and accesskey="D" for decline co-browse. </t>
  </si>
  <si>
    <t>2.0.2</t>
  </si>
  <si>
    <t>lw6176</t>
  </si>
  <si>
    <t>Reactive POIs have access key</t>
  </si>
  <si>
    <t>Attribute accesskey="1" is added to the focusable POI.</t>
  </si>
  <si>
    <t>Screen reader announces the accesskey whenever the POI is announced. If POI is a button, pressing the access key chord from anywhere on the page will activate the POI. If POI is coded as a link, pressing the access key chord from anywhere on the page will navigate to the POI, but will not start chat.</t>
  </si>
  <si>
    <t>GDC. This new requirement is an enhancement. Item must undergo review before becoming official.</t>
  </si>
  <si>
    <t>Operable elements in TG are activatable via keyboard and accessible gestures</t>
  </si>
  <si>
    <t>Use drop-downs instead of radio buttons on Desktop Web.</t>
  </si>
  <si>
    <t>GDC. Added clarification in details column</t>
  </si>
  <si>
    <t>If a dropdown menu is a "required" control, the default option must be a null placeholder.</t>
  </si>
  <si>
    <t>Note that this is not a new requirement, but it was omitted by mistake in earlier versions of ACAST.</t>
  </si>
  <si>
    <t xml:space="preserve">Note that the main chat panel should be dismissible via escape key only if the customer has not yet engaged an agent. Dismissal via escape key should be inactive after the customer has started to chat with an agent. </t>
  </si>
  <si>
    <t>Banner title and prompt are bound semantically to ARIA-labelledby in default button. IDs of title and prompt are removed automatically via onblurr activated when moving focus away from default button. This avoids excessive verbalization of prompt and title.</t>
  </si>
  <si>
    <t>If the user requests more details within a banner, the resulting details are announced by assistive technology such as screen readers. See semantic binding requirement for main banner panel.</t>
  </si>
  <si>
    <t>Dynamically inserted buttons and links have access key</t>
  </si>
  <si>
    <t>To minimize hunting and pecking around the chat window when trying to reach buttons and links sent in an agent message, access keys should be defined to navigate to links, and activate buttons automatically.</t>
  </si>
  <si>
    <t>For example, accesskey="a" can be used for an "accept" link or button.</t>
  </si>
  <si>
    <t>The latest message received in cobrowse is navigable by the screen reader</t>
  </si>
  <si>
    <t>It may be posted invisibly  to the banner via CSS. Screen readers will still perceive it. Message is navigable, and spoken automatically when received, and respects state of "chime" button</t>
  </si>
  <si>
    <t xml:space="preserve">Covers any ATT or other imported widget.
Widgets often include forms - See form rules
Widgets need to be modalized - See modal rules Unless an exception is provided by the chat accesibility architect.
</t>
  </si>
  <si>
    <t>2.1.7</t>
  </si>
  <si>
    <t>5.1.1</t>
  </si>
  <si>
    <t>5.1.3</t>
  </si>
  <si>
    <t>6.1.1</t>
  </si>
  <si>
    <t>6.12.3</t>
  </si>
  <si>
    <t>6.12.4</t>
  </si>
  <si>
    <t>6.14.2</t>
  </si>
  <si>
    <t>8.1.1</t>
  </si>
  <si>
    <t>8.1.2</t>
  </si>
  <si>
    <t>8.2.1</t>
  </si>
  <si>
    <t>8.2.2</t>
  </si>
  <si>
    <t>8.2.5</t>
  </si>
  <si>
    <t>8.2.6</t>
  </si>
  <si>
    <t>8.3.1</t>
  </si>
  <si>
    <t>8.3.2</t>
  </si>
  <si>
    <t>8.3.3</t>
  </si>
  <si>
    <t>5.3.3</t>
  </si>
  <si>
    <t>Relevant when chat is removed or supressed from a page.</t>
  </si>
  <si>
    <t>If the chat POI is properly suppressed, the process will not yield any announcement of the chat POI.</t>
  </si>
  <si>
    <t>Suppression</t>
  </si>
  <si>
    <t>On suppressed pages, chat must not be percievable by users including screen reader users.</t>
  </si>
  <si>
    <t xml:space="preserve">If suppression is performed via hiding of the POI in CSS, the same POI must be hidden to screen readers via ARIA-hidden="true" specified on the POI div. Mobile suppressed chat page(s), the tester must turn on the screen reader and flick through the entire target page. If the chat POI is properly suppressed, the process will not yield any announcement of the chat POI.
Desktop supressed chat page(s), the tester should use the down arrow key starting at the top of the page, down to the bottom of the page... The chat POI will never be found nor announced.
For final verification on desktop, perform a JAWS find: control+f
Type "chat" and press the enter key.
If chat is properly suppressed, the screen reader will report that "the target was not found.” 
</t>
  </si>
  <si>
    <t>Imported Widgets</t>
  </si>
  <si>
    <t>Imported widgets are modalized</t>
  </si>
  <si>
    <t>See detailed requirements in Forms section of ACASTT</t>
  </si>
  <si>
    <t>EXCEPTION: If the user is expected to operate the widget while simultaneously chatting, please discuss any request for modalization exemption with the CATO chat architect.</t>
  </si>
  <si>
    <t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t>
  </si>
  <si>
    <t>Ensure that all text, and all literal string assignments for attributes are written/translated in the national language of the chat.</t>
  </si>
  <si>
    <t>In imported widgets, ensure that all text, and all literal string assignments for attributes are written/translated in the national language of the chat.</t>
  </si>
  <si>
    <t>Chat restore button has initial focus when co-browse marquee appears.</t>
  </si>
  <si>
    <t>Cobrowse banner buttons have access keys</t>
  </si>
  <si>
    <t>Use accesskey="R" on the restore chat button. Use accesskey="X" on the combined "close co-browse" and chat session button.</t>
  </si>
  <si>
    <t>If shown, agent messages in minimize chat can scroll only once.</t>
  </si>
  <si>
    <t>TouchGuide (Routing Guide) items with icons are focused and operable as a single object.</t>
  </si>
  <si>
    <t>Icons matching TG item titles have alt="" text</t>
  </si>
  <si>
    <t>Touch Guides (TG / Routing Guides)</t>
  </si>
  <si>
    <t>Dismissing child windows (modals) unstacks focus</t>
  </si>
  <si>
    <t>Forms inside widgets will conform to chat requirements for form elements.</t>
  </si>
  <si>
    <t>2.1.8</t>
  </si>
  <si>
    <t>3.1.3</t>
  </si>
  <si>
    <t>3.1.5</t>
  </si>
  <si>
    <t>3.1.6</t>
  </si>
  <si>
    <t xml:space="preserve"> 4.1.1</t>
  </si>
  <si>
    <t>4.1.7</t>
  </si>
  <si>
    <t>4.2.1</t>
  </si>
  <si>
    <t>4.2.2</t>
  </si>
  <si>
    <t>8.2.3</t>
  </si>
  <si>
    <t>8.2.4</t>
  </si>
  <si>
    <t xml:space="preserve"> 9.1.2</t>
  </si>
  <si>
    <t>9.1.3</t>
  </si>
  <si>
    <t>11.1.1</t>
  </si>
  <si>
    <t>11.1.2</t>
  </si>
  <si>
    <t>12.1.1</t>
  </si>
  <si>
    <t>Renumbered co-browse section based on subsection. Updated accesskey info for 8.1.2. Added 8.2.5, 8.2.6, 8.3.2 and 8.3.3
Chat Panels added 6.1.1, 6.14.2. Updated 6.12.3 description
Form elements updated Added 5.3.3. Updated 5.1.1, 5.1.3 description/details
POI added 2.1.7
Language updated 9.1.2 description / details, New 9.1.3
Widget Feature added ID 11.1.1, 11.1.2
Supression feature added ID 12.1.1 and added it to POI (2.1.8)
Added clarifications to 3.1.5,3.1.6,4.1.1,4.1.7,8.2.3,8.2.4,11.1.1</t>
  </si>
  <si>
    <t>2.1.0</t>
  </si>
  <si>
    <t>Guido Corona</t>
  </si>
  <si>
    <t>CATO Reviewers</t>
  </si>
  <si>
    <t>Strict Modal</t>
  </si>
  <si>
    <t>Relaxed Modal</t>
  </si>
  <si>
    <t>Pseudo-modal</t>
  </si>
  <si>
    <t>Virtual focus moves to top leftmost modal element in tab order: strict circularity enforced.</t>
  </si>
  <si>
    <t>Virtual focus moves to bottom rightmost modal element in tab order: strict circularity enforced.</t>
  </si>
  <si>
    <t>Access Technology</t>
  </si>
  <si>
    <t>Desktop Screen Reader</t>
  </si>
  <si>
    <t>MDS01</t>
  </si>
  <si>
    <t>MDS02</t>
  </si>
  <si>
    <t>MDS03</t>
  </si>
  <si>
    <t>MDS04</t>
  </si>
  <si>
    <t>MDS05</t>
  </si>
  <si>
    <t>MDS06</t>
  </si>
  <si>
    <t>MDS07</t>
  </si>
  <si>
    <t>MDS08</t>
  </si>
  <si>
    <t>MDS09</t>
  </si>
  <si>
    <t>MDS10</t>
  </si>
  <si>
    <t>Mobile Screen Reader</t>
  </si>
  <si>
    <t>MMS01</t>
  </si>
  <si>
    <t>MMS02</t>
  </si>
  <si>
    <t>MMS03</t>
  </si>
  <si>
    <t>MMS04</t>
  </si>
  <si>
    <t>MMS05</t>
  </si>
  <si>
    <t>MMS06</t>
  </si>
  <si>
    <t xml:space="preserve">Virtual cursor moves to the browser chrome </t>
  </si>
  <si>
    <t>MKO02</t>
  </si>
  <si>
    <t>MKO03</t>
  </si>
  <si>
    <t>MKO04</t>
  </si>
  <si>
    <t>MKO05</t>
  </si>
  <si>
    <t>MKO06</t>
  </si>
  <si>
    <t>Keyboard Only</t>
  </si>
  <si>
    <t>MKO01</t>
  </si>
  <si>
    <t>n/a</t>
  </si>
  <si>
    <t>Navigation blocked: top modal boundary enforced</t>
  </si>
  <si>
    <t>Navigation blocked: Bottom modal boundary enforced</t>
  </si>
  <si>
    <t>Navigation blocked: left modal boundary enforced</t>
  </si>
  <si>
    <t>Navigation blocked: right modal boundary enforced</t>
  </si>
  <si>
    <t>Navigation restricted by modal boundaries: strict circularity enforced</t>
  </si>
  <si>
    <t>Virtual focus moves to top left element inside current modal</t>
  </si>
  <si>
    <t>Virtual focus moves to bottom right element inside current modal</t>
  </si>
  <si>
    <t>Up-arrow from top-leftmost current modal element</t>
  </si>
  <si>
    <t>Down-arrow from bottom-rightmost current modal element</t>
  </si>
  <si>
    <t>Left-arrow from top-left char in current modal</t>
  </si>
  <si>
    <t>Right-arrow from bottom right char in current modal</t>
  </si>
  <si>
    <t>Tab from current modal's bottom right element in tab order, or beyond it</t>
  </si>
  <si>
    <t>Shift+tab from current modal's top left element in tab order, or beyond it</t>
  </si>
  <si>
    <t xml:space="preserve">Form navigation keys inside current modal </t>
  </si>
  <si>
    <t xml:space="preserve">Other structured navigation inside current modal </t>
  </si>
  <si>
    <t>Touch Top of device screen</t>
  </si>
  <si>
    <t>Touch bottom of device screen</t>
  </si>
  <si>
    <t>Up-slide from top-leftmost element in current modal</t>
  </si>
  <si>
    <t>Down-slide from bottom-rightmost element in current modal</t>
  </si>
  <si>
    <t>Leftflick from top-left element in current modal</t>
  </si>
  <si>
    <t>Right-flick from bottom right element in current modal</t>
  </si>
  <si>
    <t>Control+Home from current modal</t>
  </si>
  <si>
    <t>Control+end from current modal</t>
  </si>
  <si>
    <t>Down-arrow from current modal's bottom-rightmost element in tab order</t>
  </si>
  <si>
    <t>Up-arrow from current modal's top-leftmost element in tab order</t>
  </si>
  <si>
    <t>Tab from current modal's bottom right element in tab order</t>
  </si>
  <si>
    <t>Shift+tab from current modal's top left element in tab order</t>
  </si>
  <si>
    <t>Virtual focus moves to top leftmost element inside current modal</t>
  </si>
  <si>
    <t>Virtual focus moves to bottom rightmost element inside current modal</t>
  </si>
  <si>
    <t>Navigation blocked: current modal's Top boundary enforced</t>
  </si>
  <si>
    <t>Navigation blocked: current modal's Bottom boundary enforced</t>
  </si>
  <si>
    <t>Navigation blocked: current modal's left boundary enforced</t>
  </si>
  <si>
    <t>Navigation blocked: current modal's right boundary enforced</t>
  </si>
  <si>
    <t>Navigation restricted by current modal's modal boundaries: strict circularity enforced</t>
  </si>
  <si>
    <t>Navigation blocked: current modal's top boundary enforced</t>
  </si>
  <si>
    <t>Keyboard focus moves to bottom rightmost modal element in tab order: strict circularity enforced.</t>
  </si>
  <si>
    <t>Keyboard focus moves to current modal's top left element in tab order</t>
  </si>
  <si>
    <t>Keyboard focus moves to current modal's bottom right element in tab order</t>
  </si>
  <si>
    <t>Keyboard focus moves to current modal's top leftmost element in tab order: strict circularity enforced.</t>
  </si>
  <si>
    <t xml:space="preserve">Keyboard focus moves to the browser chrome </t>
  </si>
  <si>
    <t>Virtual focus moves to current modal's top left element</t>
  </si>
  <si>
    <t>Virtual focus moves to current modal's bottom right element</t>
  </si>
  <si>
    <t>Navigation blocked: current modal's bottom boundary enforced</t>
  </si>
  <si>
    <t>Navigation command</t>
  </si>
  <si>
    <t>Virtual focus may move into the current modal's parent: no boundaries enforced on current modal</t>
  </si>
  <si>
    <t>Virtual focus moves to current modal's parent top left element: no boundaries enforced on current modal</t>
  </si>
  <si>
    <t>Virtual focus moves to current modal's parent bottom right element: no current enforced on current modal</t>
  </si>
  <si>
    <t>Keyboard focus moves to current modal's parent top left element in tab order: no boundaries enforced on current modal</t>
  </si>
  <si>
    <t>Keyboard focus moves to current modal's parent bottom right element in tab order: no boundaries enforced on current modal</t>
  </si>
  <si>
    <t>Keyboard focus may move into the current modal's parent: no boundaries enforced on current modal</t>
  </si>
  <si>
    <t>Main Chat panel</t>
  </si>
  <si>
    <t>Pre-chat survey</t>
  </si>
  <si>
    <t>TouchGuide (routing guide)</t>
  </si>
  <si>
    <t>Minimized Chat</t>
  </si>
  <si>
    <t>Co-browse banner</t>
  </si>
  <si>
    <t>X</t>
  </si>
  <si>
    <t>Properties</t>
  </si>
  <si>
    <t>Immediate Parent (modal or page) not perceivable by screen readers. Restricts arrows navigation boundaries inside itself. Circular tab navigation traverses browser chrome.</t>
  </si>
  <si>
    <t>Does not create any restrictions: inherits perceivability, navigability, and operability from immediate parent (modal or underlying page)</t>
  </si>
  <si>
    <t>Highest restrictions. Immediate parent (modal or page) not perceivable by screen readers. Restricts arrows navigation boundaries inside itself. Supports strict circular tab navigation:  No access to browser chrome.</t>
  </si>
  <si>
    <t>Pseudo-Modal</t>
  </si>
  <si>
    <t>General</t>
  </si>
  <si>
    <t>Modal Taxonomy And Navigation</t>
  </si>
  <si>
    <t>Name</t>
  </si>
  <si>
    <t>Post-chat Survey</t>
  </si>
  <si>
    <t>Backup node</t>
  </si>
  <si>
    <t>Inline pushed form</t>
  </si>
  <si>
    <t>Sales Banner</t>
  </si>
  <si>
    <t>Virtual focus moves to top left element of current modal's parent (modal or page): no boundaries enforced on current modal</t>
  </si>
  <si>
    <t>Virtual focus moves to bottom right element of current modal's parent (modal or page): no boundaries enforced on current modal</t>
  </si>
  <si>
    <t>Virtual focus may move into the current modal's parent (modal or page): no boundaries enforced on current modal</t>
  </si>
  <si>
    <t xml:space="preserve"> -</t>
  </si>
  <si>
    <t>1.1.2</t>
  </si>
  <si>
    <t>Child windows (modals) are strict modals.</t>
  </si>
  <si>
    <t>Secondary child windows (modals) are strict modals</t>
  </si>
  <si>
    <t>TG items do not necessarily need tooltips or tooltip-like features, but if they have them, the tooltips will be spoken after the item.</t>
  </si>
  <si>
    <t>Error messages are placed visually and programmatically just to the right of or below the invalid field in the underlying code for proper error association.</t>
  </si>
  <si>
    <t>Once the form control is read, the error associated with a control is read out by the screen reader or other assistive technology.</t>
  </si>
  <si>
    <t>When the “email transcript” button is operated, the request panel is opened as a stacked strict modal on top of the chat panel: focus is moved to the text input field, and the dialogue prompt is read automatically by the screen reader.</t>
  </si>
  <si>
    <t>The email transcript modal is a strict modal: it enforces modal boundaries: up/down arrows do not exceed modal boundaries, and tab and shift-tab navigation results in circular navigation inside modal (desktop only). On mobile circular navigation is not required.</t>
  </si>
  <si>
    <t>Upon spawning a sales banner, screen readers announce banner message and default button automatically.</t>
  </si>
  <si>
    <t>When the “minimize chat” button is operated, keyboard and screen reader focus move to the “restore chat” inside the minimized chat pseudo-modal, and the "restore/continue chat” button is read automatically by the screen reader.</t>
  </si>
  <si>
    <t>Desktop: If agent messages are visible in minimized chat pseudo-modal, they are navigable by the screen reader using the down/up arrow keys.</t>
  </si>
  <si>
    <t>The minimized chat panel is a pseudo-modal. The user can navigate outside the minimized chat panel using any page navigation keystrokes or screen reader compatible gestures.</t>
  </si>
  <si>
    <t>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t>
  </si>
  <si>
    <t>Co-browse highlighted areas support landmark navigation</t>
  </si>
  <si>
    <t>Imported widgets are housed in strict modals. See detailed requirements in Modals section of ACASTT: UID 3.1.3.</t>
  </si>
  <si>
    <t>On suppressed pages, chat must not be percievable by any users, including screen reader users.</t>
  </si>
  <si>
    <t>Imported Wwidgets</t>
  </si>
  <si>
    <t>Detailed Behavior</t>
  </si>
  <si>
    <t>Chat Component</t>
  </si>
  <si>
    <t>Chat activation transfers focus automatically into the chat flow</t>
  </si>
  <si>
    <t>3.1.0</t>
  </si>
  <si>
    <t>4.2.0</t>
  </si>
  <si>
    <t>4.1.0</t>
  </si>
  <si>
    <t>Modal Taxonomy</t>
  </si>
  <si>
    <t>TouchGuides are Strict Modals</t>
  </si>
  <si>
    <t>See Modal Taxonomy tab</t>
  </si>
  <si>
    <t>Backup Modals</t>
  </si>
  <si>
    <t>Backup nodes are Strict Modals</t>
  </si>
  <si>
    <t>see Modal Taxonomy tab</t>
  </si>
  <si>
    <t>Surveys and Forms</t>
  </si>
  <si>
    <t>Pre-chat and Post-chat surveys are contained in Relaxed Modals</t>
  </si>
  <si>
    <t>5.0.0</t>
  </si>
  <si>
    <t>On form spawning, move focus to first control specific to topic</t>
  </si>
  <si>
    <t>Required drop down menus have deafault null option</t>
  </si>
  <si>
    <t>6.0.0</t>
  </si>
  <si>
    <t>The in-div chat panel is a relaxed modal</t>
  </si>
  <si>
    <t>6.10.0</t>
  </si>
  <si>
    <t>Modal Taxonomy - Email transcript is a Strict Modal</t>
  </si>
  <si>
    <t>6.12.0</t>
  </si>
  <si>
    <t>Modal Taxonomy - Sales Banners are Strict Modals</t>
  </si>
  <si>
    <t>Upon spawning a sales banner, focus moves to default button.</t>
  </si>
  <si>
    <t>Chat Suppression</t>
  </si>
  <si>
    <t>Modals can be Strict, Relaxed, or Psudo-modals</t>
  </si>
  <si>
    <t>See navigation rules and restrictions in Modal Taxonomy tab</t>
  </si>
  <si>
    <t>8.0.0</t>
  </si>
  <si>
    <t>The Co-browse banner is a psudo-modal</t>
  </si>
  <si>
    <t>11.0.0</t>
  </si>
  <si>
    <t>Imported Widgets are Strict Modals</t>
  </si>
  <si>
    <t>7.0.0</t>
  </si>
  <si>
    <t>Minimized chat contained in Pseudo-modal</t>
  </si>
  <si>
    <t>7.1.1</t>
  </si>
  <si>
    <t>7.1.2</t>
  </si>
  <si>
    <t>7.1.3</t>
  </si>
  <si>
    <t>7.1.4</t>
  </si>
  <si>
    <t>7.1.5</t>
  </si>
  <si>
    <t>7.1.6</t>
  </si>
  <si>
    <t>Added modal taxonomy tab. Added modal classifications inMain content tab. Did minor restructuring of decimal outline.</t>
  </si>
  <si>
    <t>With some exceptions, like minimized chat panels, and co-browse banners, child windows are strict modals. In other words, they restrict focus to themselves when they are active, and enforce circular navigation.
* Desktop:  Tabbing to browser chrome is not permitted.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t>
  </si>
  <si>
    <t>6.9.0</t>
  </si>
  <si>
    <t>Inline Pushed Forms</t>
  </si>
  <si>
    <t>Modal Taxonomy - Inline Pushed Forms are contained in strict modals</t>
  </si>
  <si>
    <t>Inline Pushed Forms are strict modals. Corrected Modal taxonomy, and added requirement 6.9.0.</t>
  </si>
  <si>
    <t>Secondary windows such as email transcript do not allow access and navigation outside their boundaries.
This applies to certain modals spawned by, and stacked on top of other modals. For example:
• Email transcript submission form.
• Pushed forms inside chat panel that do not require messages to be exchanged before submission/completion.
• Backup nodes spawned by Touch Guides. For example: “You have reached us after business hours”.</t>
  </si>
  <si>
    <t xml:space="preserve">Use ARIA-hidden="false" on the modal on the top of the stack that must be perceived. Use ARIA-hidden="true" on the modals below it in the stack, as well as on the base page. </t>
  </si>
  <si>
    <t xml:space="preserve">Toggle perceivability by using aria-hidden="true" on any element to be hidden, whether they are on the active modal, on a lower modal on the stack, or on the base page. Note that while in general an ARIA-hidden="true" attribute is sufficient to hide an entire modal or base page to the screen reader, some of the times the authors of a modal below the top, or of the hidden page might have inadvertently unhidden some element with its own ARIA-hidden="false" assignment.  </t>
  </si>
  <si>
    <t>When a modal is dismissed, revert the ARIA-hidden="true" assignment on the modal immediately below it, or on the base page, to ARIA-hidden="false". If a specific point of regard or focus was active before activating the modal just dismissed, move the focus back to it via JavaScript or other means.</t>
  </si>
  <si>
    <t>Upon modal spawning, modal title, prompts, and initial focused control are read automatically in the given order.</t>
  </si>
  <si>
    <t>When a modal is spawned, the screen reader announces: (1) modal title, (2) modal prompt, (3) control having initial focus. Automatic announcements must occur in the order A, B, C.</t>
  </si>
  <si>
    <t>Modals must have at least one button or a link, and such control must have initial focus on modal spawning.</t>
  </si>
  <si>
    <t>When a TG panel containing a menu is spawned, focus is moved automatically to the first menu item in the TG panel. Please note that a "back" button, or other similar non topic-specific button is not deemed to be a menu item, and as such must not have initial focus.</t>
  </si>
  <si>
    <t>Upon TG spawning, TG title, prompts, and initial focused menu item are read automatically in the given order.</t>
  </si>
  <si>
    <t>When a TG is spawned, the screen reader announces: (1) TG title, (2) TG prompt, (3) menu item having initial focus. Automatic announcements must occur in the order A, B, C.</t>
  </si>
  <si>
    <t>On desktop web, radio buttons generally have poor accessibility, hence select menus should be used. On mobile web and mobile native apps In mobile environments instead, radio buttons are easier to operate than select menus, and should be preferrebly implemented.</t>
  </si>
  <si>
    <t>When a text element longer than 1024 characters is bound to another element with aria-describedby or aria-labelledby, the text needs to be distributed over two or more elements, so that screen readers read the text completely, lest truncation will occur at the 1024 character mark.</t>
  </si>
  <si>
    <t>If an aria-describedby or aria-labelledby spans text that is longer than 1024 characters, automatic verbalization may be truncated. The solution is to enclose the text into multiple spans or divs, with id's on  each span/div, and then put the id's in sequence in the aria-describedby, or ARIA-labelledby as appropriate.</t>
  </si>
  <si>
    <t>Field in error has aria-describedBy="{error_ID}", where {error_ID} is the ID declared in the div containing the error message.  When an element containing the error message becomes visible, it must have aria-hidden="false" so it becomes perceivable by the screen reader. Conversely, when the error message is not visible, it also must be hidden to screen readers using ARIA-hidden="true".</t>
  </si>
  <si>
    <t>For screen reader users, specify ARIA-required="true".</t>
  </si>
  <si>
    <t>If a required dropdown has no null placeholder default option (e.g. "Select one") a naive customer my believe that the only allowed value is the currently selected/visible one. This is likely to lead to confusion and the user to select the option that instead best applies to their situation.</t>
  </si>
  <si>
    <t>The screen reader user must not be required to operate unique, contrived keystrokes to navigate to dynamically generated fields. Conversely, dynamically generated content behaves seemlessly, like any other content.</t>
  </si>
  <si>
    <t>For example, in dynamic forms, arrowing to an option inside a select menu may generate new fields immediately following the select. A simple tab keystroke from the select menu must focus the first new field. Use ARIA-hidden="false" and ARIA-hidden="true"  assignments to show and hide blocks of dynamically visible form controls to screen readers.</t>
  </si>
  <si>
    <t>For the main chat panel, dismissability via escape key may be disabled if the customer has established a valid conversation with an agent… You may apply same rules as for opening post-chat survey.</t>
  </si>
  <si>
    <t>Use semantic binding, not ARIA-live or Role="alert". The div contains the ID assignment="{transcript_request_status}". The control receiving focus contains the attribute aria-labelledby="{transcript_request_status}" or aria-describedby="{transcript_request_status}".</t>
  </si>
  <si>
    <t>When the sales banner opens, focus is placed on the default button or equivalent default operational element.</t>
  </si>
  <si>
    <t>All welcome/auto-opener messages are announced automatically by the screen reader on chat launch. The message is only read once.</t>
  </si>
  <si>
    <t>Use ARIA-live="polite". Do not use ARIA-live="assertive"… The "assertive" option may cause autoopeners not to be heard at all.</t>
  </si>
  <si>
    <t>Do not specify tabindex on landmarks… Structural navigability for screen readers is achieved via landmark navigation keys.</t>
  </si>
  <si>
    <t>Implementation with ARIA-live="polite" on individual messages is required. Do not use ARIA-live="assertive". The "assertive" option will cause automatic announcements to be unreliable, or may not be heard at all.</t>
  </si>
  <si>
    <t>Automatic announcement of sender name will be included e.g. “Guido: I need help with my iPhone”, or “Melissa: How can I help you today?”</t>
  </si>
  <si>
    <t>If an incoming message contains a link, a URL, or a button, e.g. to open an agent-pushed secure form or a video, the operational component of the message will be in the tab order and will be operable with the keyboard, and with screen reader compatible gestures in  touch devices.</t>
  </si>
  <si>
    <t>If an incoming message contains a script-generated exposed URL, the URL will be contained in the body of an anchor tag, and will be navigable and operable via keyboard. On  touch devices, the link will be navigable and operable with gestures compatible with screen readers.</t>
  </si>
  <si>
    <t>Add access keys for co-browse accept and decline controls.</t>
  </si>
  <si>
    <t>"Restore cht" or "end cobrowse" must have initial focus. Button must be read automatically without interference with the banner title announcement.</t>
  </si>
  <si>
    <t>When an agent message is received during a co-browse session, the message is announce automatically.</t>
  </si>
  <si>
    <t>Use ARIA-live="polite".</t>
  </si>
  <si>
    <t>Color of the co-browse highlight is announced automatically.</t>
  </si>
  <si>
    <t>Do not utilize ARIA-live, or role="alert" to announce titles and prompts: these asynchronous methods are likely to yield announcements in an incorrect order, or might fail completely. Instead, bind semantically the focus element with modal title and prompt(s) via an ARIA-labelledby assignments of their respective labels. Note that to avoid title and prompt re-announcement each time the default focus element is refocused by the user, specify onblur with a Javascript to remove the labels of the title and prompt(s) from the ARIA-labelledby attribute.</t>
  </si>
  <si>
    <t>Co-browse highlighting is spoken automatically.</t>
  </si>
  <si>
    <t>Specify a unique ARIA-label attribute on each span containing highlighted text, in the form: aria-label="{some_color}". Note that }some_color} is replacement text... Use what ever color name you are using for the highlight(s)... E.g. "lemon yellow", "fuxia", or "aqua green".</t>
  </si>
  <si>
    <t xml:space="preserve">on each  span surrounding highlighted regions, specify role="complementary" to establish landmark navigability by screen readers, and aria-label="{some_color}" which will announce the color of the highlight to be announced. Note that }some_color} is replacement text... Use what ever color name you are using for the highlight(s)... E.g. "lemon yellow", "fuxia", or "aqua green". by screen readers. </t>
  </si>
  <si>
    <t>On each span delimiting a highlight area, specify ARIA-Live = polite or role="alert". Do not use ARIA-live="assertive", because it might fail.</t>
  </si>
  <si>
    <t>2.2.0</t>
  </si>
  <si>
    <t>Corrected announcement order of TouchGuide and modal prompt and default controls. Completed Cobrowse highlights reqs. Added/corrected techniques throughout. Miscellaneous improvements.</t>
  </si>
  <si>
    <t>Upon modal activation, Focus moves to email transcript text entry field automatically</t>
  </si>
  <si>
    <t>Upon successful transcript request, closing email transcript modal returns focus to chat text input field.</t>
  </si>
  <si>
    <t>When the email transcript modal is closed, after having received success confirmation, keyboard focus returns to the main text entry field of the chat.</t>
  </si>
  <si>
    <t>6.10.7</t>
  </si>
  <si>
    <t>Upon failed transcript request, closing email transcript modal returns focus to the "Email Transcript" invocation button.</t>
  </si>
  <si>
    <t>When the email transcript modal is closed, after having received a request failure error message, keyboard focus returns to the "Email transcript" invocation button.</t>
  </si>
  <si>
    <t>6.10.8</t>
  </si>
  <si>
    <t>Closing email transcript modal, without completing the request, returns focus to the "Email Transcript" invocation button.</t>
  </si>
  <si>
    <t>When the email transcript modal is closed, before a request is sent, keyboard focus returns to the "Email transcript" invocation button.</t>
  </si>
  <si>
    <t>2.2.1</t>
  </si>
  <si>
    <t>Clarified keyboard focus destination when closing email request modal: new 6.10.7, 6.10.8; modified 6.10.6</t>
  </si>
  <si>
    <t>Email transcript can be dismissed with escape key, or with "Close" button.</t>
  </si>
  <si>
    <t>Note that "escape" key is applicable to desktop only</t>
  </si>
  <si>
    <t>If the entry field has focus and a screen reader such as JAWS is in forms mode, escape key might need to be pressed twice to dismiss the modal. In all other situations, a sincle press of escape will dismiss the modal.</t>
  </si>
  <si>
    <t>Ryan Johnson</t>
  </si>
  <si>
    <t>rj584q</t>
  </si>
  <si>
    <t>Reactive POI's are is tab order.</t>
  </si>
  <si>
    <t>Focus is automatically transferred.</t>
  </si>
  <si>
    <t xml:space="preserve">Status changed annouced. </t>
  </si>
  <si>
    <t>Only visble elements are read by screen readers.</t>
  </si>
  <si>
    <t xml:space="preserve">POI's are single focusable elements. </t>
  </si>
  <si>
    <t xml:space="preserve">Chat is not suppressed in this specific 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</si>
</sst>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2"/>
      <color theme="1"/>
      <name val="Verdana"/>
      <family val="2"/>
    </font>
    <font>
      <b/>
      <sz val="14"/>
      <name val="Arial"/>
      <family val="2"/>
    </font>
    <font>
      <sz val="10"/>
      <color indexed="8"/>
      <name val="Arial"/>
      <family val="2"/>
    </font>
    <font>
      <b/>
      <sz val="18"/>
      <color theme="1"/>
      <name val="Arial"/>
      <family val="2"/>
    </font>
    <font>
      <b/>
      <sz val="10"/>
      <color indexed="8"/>
      <name val="Arial"/>
      <family val="2"/>
    </font>
    <font>
      <b/>
      <sz val="8"/>
      <color indexed="8"/>
      <name val="Arial"/>
      <family val="2"/>
    </font>
    <font>
      <sz val="8"/>
      <color indexed="8"/>
      <name val="Arial"/>
      <family val="2"/>
    </font>
    <font>
      <sz val="10"/>
      <color theme="1"/>
      <name val="Helvetica"/>
      <family val="2"/>
    </font>
    <font>
      <sz val="10"/>
      <color theme="1"/>
      <name val="Verdana"/>
      <family val="2"/>
    </font>
    <font>
      <sz val="11"/>
      <name val="Calibri"/>
      <family val="2"/>
      <scheme val="minor"/>
    </font>
    <font>
      <sz val="11"/>
      <color rgb="FFFF0000"/>
      <name val="Calibri"/>
      <family val="2"/>
      <scheme val="minor"/>
    </font>
    <font>
      <u/>
      <sz val="11"/>
      <color theme="1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b/>
      <sz val="14"/>
      <color theme="0"/>
      <name val="Calibri"/>
      <family val="2"/>
      <scheme val="minor"/>
    </font>
    <font>
      <strike/>
      <sz val="11"/>
      <color theme="1"/>
      <name val="Calibri"/>
      <family val="2"/>
      <scheme val="minor"/>
    </font>
    <font>
      <sz val="10"/>
      <color theme="1"/>
      <name val="Calibri"/>
      <family val="2"/>
      <scheme val="minor"/>
    </font>
    <font>
      <b/>
      <sz val="18"/>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CC"/>
        <bgColor indexed="64"/>
      </patternFill>
    </fill>
    <fill>
      <patternFill patternType="solid">
        <fgColor rgb="FFFFFF00"/>
        <bgColor indexed="64"/>
      </patternFill>
    </fill>
    <fill>
      <patternFill patternType="solid">
        <fgColor theme="9" tint="0.59999389629810485"/>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 fillId="0" borderId="0"/>
    <xf numFmtId="0" fontId="8" fillId="0" borderId="0"/>
    <xf numFmtId="0" fontId="12" fillId="0" borderId="0" applyNumberFormat="0" applyFill="0" applyBorder="0" applyAlignment="0" applyProtection="0"/>
  </cellStyleXfs>
  <cellXfs count="108">
    <xf numFmtId="0" fontId="0" fillId="0" borderId="0" xfId="0"/>
    <xf numFmtId="0" fontId="0" fillId="0" borderId="0" xfId="0" applyAlignment="1">
      <alignment horizontal="center" vertical="top" wrapText="1"/>
    </xf>
    <xf numFmtId="0" fontId="0" fillId="0" borderId="0" xfId="0" applyAlignment="1">
      <alignment horizontal="center" vertical="top"/>
    </xf>
    <xf numFmtId="0" fontId="0" fillId="0" borderId="0" xfId="0" applyAlignment="1">
      <alignment vertical="top"/>
    </xf>
    <xf numFmtId="0" fontId="0" fillId="0" borderId="0" xfId="0" applyAlignment="1">
      <alignment vertical="top" wrapText="1"/>
    </xf>
    <xf numFmtId="0" fontId="2" fillId="0" borderId="0" xfId="1" applyFont="1" applyBorder="1" applyAlignment="1">
      <alignment vertical="top"/>
    </xf>
    <xf numFmtId="0" fontId="3" fillId="0" borderId="0" xfId="1" applyFont="1" applyBorder="1" applyAlignment="1">
      <alignment horizontal="left" vertical="center"/>
    </xf>
    <xf numFmtId="0" fontId="3" fillId="0" borderId="0" xfId="1" applyFont="1" applyAlignment="1">
      <alignment vertical="center"/>
    </xf>
    <xf numFmtId="0" fontId="4" fillId="2" borderId="0" xfId="1" applyFont="1" applyFill="1" applyBorder="1" applyAlignment="1">
      <alignment horizontal="centerContinuous" vertical="center"/>
    </xf>
    <xf numFmtId="0" fontId="5" fillId="0" borderId="0" xfId="1" applyFont="1" applyBorder="1" applyAlignment="1">
      <alignment horizontal="left" vertical="center"/>
    </xf>
    <xf numFmtId="0" fontId="5" fillId="0" borderId="0" xfId="1" applyFont="1" applyBorder="1" applyAlignment="1">
      <alignment horizontal="left" vertical="center" wrapText="1"/>
    </xf>
    <xf numFmtId="0" fontId="6" fillId="0" borderId="0" xfId="1" applyFont="1" applyBorder="1" applyAlignment="1">
      <alignment horizontal="centerContinuous"/>
    </xf>
    <xf numFmtId="0" fontId="7" fillId="0" borderId="0" xfId="1" applyFont="1" applyAlignment="1">
      <alignment horizontal="centerContinuous"/>
    </xf>
    <xf numFmtId="0" fontId="1" fillId="0" borderId="0" xfId="1"/>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vertical="top" wrapText="1"/>
    </xf>
    <xf numFmtId="0" fontId="0" fillId="0" borderId="0" xfId="0" applyAlignment="1">
      <alignment vertical="center" wrapText="1"/>
    </xf>
    <xf numFmtId="0" fontId="0" fillId="0" borderId="0" xfId="0" applyAlignment="1">
      <alignment horizontal="left" vertical="center" wrapText="1"/>
    </xf>
    <xf numFmtId="0" fontId="9" fillId="0" borderId="0" xfId="1" applyFont="1" applyAlignment="1">
      <alignment horizontal="right"/>
    </xf>
    <xf numFmtId="0" fontId="0" fillId="3" borderId="0" xfId="0" applyFill="1" applyProtection="1">
      <protection locked="0"/>
    </xf>
    <xf numFmtId="0" fontId="3" fillId="3" borderId="2" xfId="1" applyFont="1" applyFill="1" applyBorder="1" applyAlignment="1" applyProtection="1">
      <alignment horizontal="left" vertical="center"/>
      <protection locked="0"/>
    </xf>
    <xf numFmtId="14" fontId="3" fillId="3" borderId="2" xfId="1" applyNumberFormat="1" applyFont="1" applyFill="1" applyBorder="1" applyAlignment="1" applyProtection="1">
      <alignment horizontal="left" vertical="center"/>
      <protection locked="0"/>
    </xf>
    <xf numFmtId="0" fontId="0" fillId="0" borderId="0" xfId="0" applyAlignment="1">
      <alignment horizontal="center" vertical="center" wrapText="1"/>
    </xf>
    <xf numFmtId="0" fontId="0" fillId="0" borderId="0" xfId="0" applyFill="1" applyAlignment="1">
      <alignment horizontal="center" vertical="center"/>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top"/>
    </xf>
    <xf numFmtId="0" fontId="11" fillId="0" borderId="0" xfId="0" applyFont="1" applyAlignment="1">
      <alignment vertical="center" wrapText="1"/>
    </xf>
    <xf numFmtId="0" fontId="0" fillId="0" borderId="0" xfId="0" applyNumberFormat="1" applyAlignment="1">
      <alignment horizontal="left" vertical="center" wrapText="1"/>
    </xf>
    <xf numFmtId="0" fontId="10" fillId="0" borderId="0" xfId="0" applyFont="1" applyAlignment="1">
      <alignment vertical="center" wrapText="1"/>
    </xf>
    <xf numFmtId="0" fontId="10" fillId="0" borderId="0" xfId="0" applyFont="1" applyFill="1" applyAlignment="1">
      <alignment vertical="center"/>
    </xf>
    <xf numFmtId="0" fontId="10" fillId="0" borderId="0" xfId="0" applyFont="1" applyAlignment="1">
      <alignment horizontal="center" vertical="center"/>
    </xf>
    <xf numFmtId="0" fontId="12" fillId="0" borderId="0" xfId="3" applyAlignment="1">
      <alignment horizontal="left"/>
    </xf>
    <xf numFmtId="1" fontId="10" fillId="3" borderId="1" xfId="1" applyNumberFormat="1" applyFont="1" applyFill="1" applyBorder="1" applyAlignment="1" applyProtection="1">
      <alignment horizontal="left" vertical="center"/>
      <protection locked="0"/>
    </xf>
    <xf numFmtId="0" fontId="13" fillId="0" borderId="0" xfId="0" applyFont="1"/>
    <xf numFmtId="2" fontId="12" fillId="0" borderId="0" xfId="3" applyNumberFormat="1" applyAlignment="1">
      <alignment horizontal="left"/>
    </xf>
    <xf numFmtId="0" fontId="0" fillId="0" borderId="0" xfId="0" applyFont="1" applyAlignment="1">
      <alignment horizontal="left" vertical="center"/>
    </xf>
    <xf numFmtId="0" fontId="0" fillId="0" borderId="0" xfId="0" applyFont="1" applyAlignment="1">
      <alignment horizontal="left" vertical="center" wrapText="1"/>
    </xf>
    <xf numFmtId="14" fontId="0" fillId="0" borderId="0" xfId="0" applyNumberFormat="1" applyFont="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Fill="1" applyAlignment="1">
      <alignment horizontal="center" vertical="top"/>
    </xf>
    <xf numFmtId="0" fontId="0" fillId="0" borderId="0" xfId="0" applyFill="1" applyAlignment="1">
      <alignment horizontal="center" vertical="top" wrapText="1"/>
    </xf>
    <xf numFmtId="0" fontId="0" fillId="0" borderId="0" xfId="0" applyFill="1" applyAlignment="1">
      <alignment horizontal="left" vertical="top" wrapText="1"/>
    </xf>
    <xf numFmtId="0" fontId="0" fillId="0" borderId="0" xfId="0" applyFill="1" applyAlignment="1">
      <alignment horizontal="left" vertical="center" wrapText="1"/>
    </xf>
    <xf numFmtId="0" fontId="0" fillId="0" borderId="0" xfId="0" applyNumberFormat="1" applyFill="1" applyAlignment="1">
      <alignment horizontal="left" vertical="center" wrapText="1"/>
    </xf>
    <xf numFmtId="0" fontId="10" fillId="0" borderId="0" xfId="0" applyFont="1" applyFill="1" applyAlignment="1">
      <alignment vertical="center" wrapText="1"/>
    </xf>
    <xf numFmtId="0" fontId="0" fillId="0" borderId="0" xfId="0" applyAlignment="1">
      <alignment wrapText="1"/>
    </xf>
    <xf numFmtId="0" fontId="15" fillId="4" borderId="3" xfId="0" applyFont="1" applyFill="1" applyBorder="1" applyAlignment="1" applyProtection="1">
      <alignment vertical="center" wrapText="1"/>
    </xf>
    <xf numFmtId="0" fontId="15" fillId="4" borderId="3" xfId="0" applyFont="1" applyFill="1" applyBorder="1" applyAlignment="1" applyProtection="1">
      <alignment horizontal="center" vertical="center" wrapText="1"/>
    </xf>
    <xf numFmtId="0" fontId="16" fillId="5" borderId="0" xfId="0" applyFont="1" applyFill="1" applyAlignment="1">
      <alignment vertical="center"/>
    </xf>
    <xf numFmtId="0" fontId="0" fillId="0" borderId="3" xfId="0" applyBorder="1"/>
    <xf numFmtId="0" fontId="15" fillId="4" borderId="4" xfId="0" applyFont="1" applyFill="1" applyBorder="1" applyAlignment="1" applyProtection="1">
      <alignment vertical="center"/>
    </xf>
    <xf numFmtId="0" fontId="13" fillId="6" borderId="4" xfId="0" applyFont="1" applyFill="1" applyBorder="1" applyAlignment="1" applyProtection="1">
      <alignment horizontal="center" vertical="center" wrapText="1"/>
      <protection locked="0"/>
    </xf>
    <xf numFmtId="0" fontId="10" fillId="0" borderId="0" xfId="0" applyNumberFormat="1" applyFont="1" applyAlignment="1">
      <alignment horizontal="left" vertical="center" wrapText="1"/>
    </xf>
    <xf numFmtId="0" fontId="0" fillId="0" borderId="0" xfId="0" applyFill="1"/>
    <xf numFmtId="0" fontId="17" fillId="0" borderId="0" xfId="0" applyFont="1" applyAlignment="1">
      <alignment vertical="center" wrapText="1"/>
    </xf>
    <xf numFmtId="0" fontId="17" fillId="0" borderId="0" xfId="0" applyFont="1" applyAlignment="1">
      <alignment horizontal="left" vertical="center" wrapText="1"/>
    </xf>
    <xf numFmtId="0" fontId="10" fillId="0" borderId="0" xfId="0" applyNumberFormat="1" applyFont="1" applyFill="1" applyAlignment="1">
      <alignment horizontal="left" vertical="center" wrapText="1"/>
    </xf>
    <xf numFmtId="14" fontId="0" fillId="0" borderId="0" xfId="0" applyNumberFormat="1" applyAlignment="1">
      <alignment vertical="top" wrapText="1"/>
    </xf>
    <xf numFmtId="14" fontId="0" fillId="0" borderId="0" xfId="0" applyNumberFormat="1" applyAlignment="1">
      <alignment horizontal="left" vertical="top" wrapText="1"/>
    </xf>
    <xf numFmtId="0" fontId="5" fillId="0" borderId="0" xfId="0" applyFont="1" applyFill="1" applyAlignment="1">
      <alignment horizontal="left" wrapText="1"/>
    </xf>
    <xf numFmtId="0" fontId="0" fillId="0" borderId="0" xfId="0" applyAlignment="1">
      <alignment horizontal="left" wrapText="1"/>
    </xf>
    <xf numFmtId="0" fontId="3" fillId="0" borderId="0" xfId="0" applyFont="1" applyFill="1" applyAlignment="1">
      <alignment horizontal="left" wrapText="1"/>
    </xf>
    <xf numFmtId="0" fontId="0" fillId="0" borderId="0" xfId="0" applyFont="1" applyFill="1" applyAlignment="1">
      <alignment horizontal="center" vertical="center"/>
    </xf>
    <xf numFmtId="0" fontId="0" fillId="0" borderId="0" xfId="0" applyFont="1" applyFill="1" applyAlignment="1">
      <alignment vertical="center"/>
    </xf>
    <xf numFmtId="0" fontId="0" fillId="0" borderId="0" xfId="0" applyFont="1" applyFill="1" applyAlignment="1">
      <alignment vertical="center" wrapText="1"/>
    </xf>
    <xf numFmtId="0" fontId="0" fillId="0" borderId="0" xfId="0" applyFont="1" applyAlignment="1">
      <alignment horizontal="center" vertical="center"/>
    </xf>
    <xf numFmtId="0" fontId="0" fillId="0" borderId="0" xfId="0" applyFont="1" applyAlignment="1">
      <alignment vertical="center" wrapText="1"/>
    </xf>
    <xf numFmtId="0" fontId="0" fillId="0" borderId="0" xfId="0" applyFont="1" applyFill="1" applyAlignment="1">
      <alignment horizontal="left" vertical="center" wrapText="1"/>
    </xf>
    <xf numFmtId="0" fontId="16" fillId="5" borderId="0" xfId="0" applyFont="1" applyFill="1" applyAlignment="1">
      <alignment vertical="top" wrapText="1"/>
    </xf>
    <xf numFmtId="0" fontId="15" fillId="4" borderId="3" xfId="0" applyFont="1" applyFill="1" applyBorder="1" applyAlignment="1" applyProtection="1">
      <alignment horizontal="center" vertical="top" wrapText="1"/>
    </xf>
    <xf numFmtId="0" fontId="0" fillId="0" borderId="3" xfId="0" applyBorder="1" applyAlignment="1">
      <alignment vertical="top" wrapText="1"/>
    </xf>
    <xf numFmtId="0" fontId="0" fillId="0" borderId="3" xfId="0" applyFont="1" applyBorder="1" applyAlignment="1" applyProtection="1">
      <alignment vertical="top" wrapText="1"/>
    </xf>
    <xf numFmtId="0" fontId="16" fillId="5" borderId="0" xfId="0" applyFont="1" applyFill="1" applyAlignment="1">
      <alignment horizontal="center" vertical="center"/>
    </xf>
    <xf numFmtId="0" fontId="13" fillId="0" borderId="3" xfId="0" applyFont="1" applyBorder="1" applyAlignment="1">
      <alignment horizontal="center" vertical="center"/>
    </xf>
    <xf numFmtId="0" fontId="0" fillId="0" borderId="0" xfId="0" applyNumberFormat="1" applyFill="1" applyAlignment="1">
      <alignment horizontal="left" vertical="top" wrapText="1"/>
    </xf>
    <xf numFmtId="0" fontId="0" fillId="0" borderId="0" xfId="0" applyNumberFormat="1" applyFill="1" applyAlignment="1">
      <alignment horizontal="center" vertical="top" wrapText="1"/>
    </xf>
    <xf numFmtId="0" fontId="0" fillId="0" borderId="0" xfId="0" applyNumberFormat="1" applyAlignment="1">
      <alignment horizontal="center"/>
    </xf>
    <xf numFmtId="0" fontId="0" fillId="0" borderId="0" xfId="0" applyNumberFormat="1" applyAlignment="1">
      <alignment horizontal="left" vertical="top" wrapText="1"/>
    </xf>
    <xf numFmtId="0" fontId="0" fillId="0" borderId="0" xfId="0" applyNumberFormat="1" applyAlignment="1">
      <alignment horizontal="center" vertical="top" wrapText="1"/>
    </xf>
    <xf numFmtId="0" fontId="0" fillId="0" borderId="4" xfId="0" applyFont="1" applyBorder="1" applyAlignment="1" applyProtection="1">
      <alignment vertical="top" wrapText="1"/>
    </xf>
    <xf numFmtId="0" fontId="15" fillId="4" borderId="0" xfId="0" applyFont="1" applyFill="1" applyBorder="1" applyAlignment="1" applyProtection="1">
      <alignment vertical="center" wrapText="1"/>
    </xf>
    <xf numFmtId="0" fontId="0" fillId="0" borderId="0" xfId="0" applyFont="1" applyBorder="1" applyAlignment="1" applyProtection="1">
      <alignment vertical="top" wrapText="1"/>
    </xf>
    <xf numFmtId="0" fontId="14" fillId="0" borderId="0" xfId="0" applyFont="1" applyFill="1" applyBorder="1" applyAlignment="1" applyProtection="1">
      <alignment vertical="center" wrapText="1"/>
    </xf>
    <xf numFmtId="0" fontId="14" fillId="0" borderId="0" xfId="0" applyFont="1" applyFill="1" applyAlignment="1" applyProtection="1">
      <alignment vertical="center" wrapText="1"/>
    </xf>
    <xf numFmtId="0" fontId="13" fillId="0" borderId="0" xfId="0" applyFont="1" applyFill="1" applyBorder="1" applyAlignment="1" applyProtection="1">
      <alignment horizontal="center" vertical="center" wrapText="1"/>
      <protection locked="0"/>
    </xf>
    <xf numFmtId="0" fontId="14" fillId="0" borderId="4" xfId="0" applyFont="1" applyFill="1" applyBorder="1" applyAlignment="1" applyProtection="1">
      <alignment vertical="top" wrapText="1"/>
    </xf>
    <xf numFmtId="0" fontId="15" fillId="0" borderId="0" xfId="0" applyFont="1" applyFill="1" applyBorder="1" applyAlignment="1" applyProtection="1">
      <alignment horizontal="center" vertical="center" wrapText="1"/>
    </xf>
    <xf numFmtId="0" fontId="0" fillId="0" borderId="0" xfId="0" applyFill="1" applyBorder="1"/>
    <xf numFmtId="0" fontId="10" fillId="0" borderId="0" xfId="0" applyFont="1" applyFill="1" applyAlignment="1">
      <alignment horizontal="center" vertical="center"/>
    </xf>
    <xf numFmtId="0" fontId="0" fillId="0" borderId="0" xfId="0" applyFill="1" applyAlignment="1">
      <alignment horizontal="left" vertical="center"/>
    </xf>
    <xf numFmtId="0" fontId="0" fillId="0" borderId="0" xfId="0" applyAlignment="1">
      <alignment horizontal="left" vertical="top"/>
    </xf>
    <xf numFmtId="0" fontId="0" fillId="0" borderId="3" xfId="0" applyFill="1" applyBorder="1" applyAlignment="1">
      <alignment wrapText="1"/>
    </xf>
    <xf numFmtId="0" fontId="11" fillId="0" borderId="0" xfId="0" applyFont="1" applyAlignment="1">
      <alignment horizontal="center" vertical="center" wrapText="1"/>
    </xf>
    <xf numFmtId="0" fontId="13" fillId="0" borderId="0" xfId="0" applyFont="1" applyAlignment="1">
      <alignment horizontal="left" vertical="center"/>
    </xf>
    <xf numFmtId="0" fontId="13" fillId="0" borderId="0" xfId="0" applyFont="1" applyAlignment="1">
      <alignment horizontal="left" vertical="center" wrapText="1"/>
    </xf>
    <xf numFmtId="14" fontId="13" fillId="0" borderId="0" xfId="0" applyNumberFormat="1" applyFont="1" applyAlignment="1">
      <alignment horizontal="left" vertical="center"/>
    </xf>
    <xf numFmtId="0" fontId="0" fillId="0" borderId="0" xfId="0" applyNumberFormat="1" applyFont="1" applyAlignment="1">
      <alignment horizontal="left" vertical="center" wrapText="1"/>
    </xf>
    <xf numFmtId="0" fontId="0" fillId="0" borderId="0" xfId="0" applyNumberFormat="1" applyFill="1" applyAlignment="1">
      <alignment vertical="center" wrapText="1"/>
    </xf>
    <xf numFmtId="0" fontId="0" fillId="7" borderId="0" xfId="0" applyFill="1" applyAlignment="1">
      <alignment wrapText="1"/>
    </xf>
    <xf numFmtId="0" fontId="0" fillId="8" borderId="0" xfId="0" applyFill="1" applyAlignment="1">
      <alignment wrapText="1"/>
    </xf>
    <xf numFmtId="0" fontId="13" fillId="8" borderId="0" xfId="0" applyFont="1" applyFill="1" applyAlignment="1">
      <alignment wrapText="1"/>
    </xf>
    <xf numFmtId="0" fontId="13" fillId="0" borderId="0" xfId="0" applyFont="1" applyAlignment="1">
      <alignment wrapText="1"/>
    </xf>
    <xf numFmtId="0" fontId="0" fillId="8" borderId="0" xfId="0" applyFill="1" applyAlignment="1">
      <alignment horizontal="left" wrapText="1"/>
    </xf>
    <xf numFmtId="0" fontId="19" fillId="7" borderId="0" xfId="0" applyFont="1" applyFill="1" applyAlignment="1"/>
    <xf numFmtId="0" fontId="0" fillId="0" borderId="3" xfId="0" applyFont="1" applyFill="1" applyBorder="1" applyAlignment="1" applyProtection="1">
      <alignment horizontal="left" vertical="center" wrapText="1"/>
    </xf>
  </cellXfs>
  <cellStyles count="4">
    <cellStyle name="Hyperlink" xfId="3" builtinId="8"/>
    <cellStyle name="Normal" xfId="0" builtinId="0"/>
    <cellStyle name="Normal 2" xfId="1" xr:uid="{00000000-0005-0000-0000-000002000000}"/>
    <cellStyle name="Normal 3" xfId="2" xr:uid="{00000000-0005-0000-0000-000003000000}"/>
  </cellStyles>
  <dxfs count="16450">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numFmt numFmtId="0" formatCode="General"/>
      <alignment horizontal="left" vertical="center" textRotation="0" wrapText="1" indent="0" justifyLastLine="0" shrinkToFit="0" readingOrder="0"/>
    </dxf>
    <dxf>
      <alignment horizontal="general" vertical="center" textRotation="0" wrapText="1" indent="0" justifyLastLine="0" shrinkToFit="0" readingOrder="0"/>
    </dxf>
    <dxf>
      <alignment vertical="center" textRotation="0" wrapText="1" indent="0" justifyLastLine="0" shrinkToFit="0" readingOrder="0"/>
    </dxf>
    <dxf>
      <fill>
        <patternFill patternType="none">
          <fgColor indexed="64"/>
          <bgColor auto="1"/>
        </patternFill>
      </fill>
      <alignment vertical="center" textRotation="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font>
        <b val="0"/>
        <i/>
        <strike/>
      </font>
    </dxf>
    <dxf>
      <font>
        <b val="0"/>
        <i/>
        <strike/>
      </font>
    </dxf>
    <dxf>
      <font>
        <b val="0"/>
        <i/>
        <strike/>
      </font>
    </dxf>
    <dxf>
      <font>
        <b val="0"/>
        <i/>
        <strike/>
      </font>
    </dxf>
    <dxf>
      <font>
        <b val="0"/>
        <i/>
        <strike/>
      </font>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center" textRotation="0" indent="0" justifyLastLine="0" shrinkToFit="0" readingOrder="0"/>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numFmt numFmtId="0" formatCode="General"/>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b1175/Documents/Accessibility/Projects_Internal/Websites/ARC_site/Updates/Update%202.0/DraftATTCorpGuideToWebA11yWithCoverPageAndWP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Web Project Description"/>
      <sheetName val="Standards and Solutions"/>
      <sheetName val="Section 508"/>
      <sheetName val="Resources"/>
      <sheetName val="Performance Objectives"/>
      <sheetName val="FireEyes Error Messages"/>
      <sheetName val="Standards_Reference"/>
      <sheetName val="Solutions_Reference"/>
      <sheetName val="Version 1.2.2"/>
      <sheetName val="Data"/>
    </sheetNames>
    <sheetDataSet>
      <sheetData sheetId="0"/>
      <sheetData sheetId="1"/>
      <sheetData sheetId="2"/>
      <sheetData sheetId="3"/>
      <sheetData sheetId="4"/>
      <sheetData sheetId="5"/>
      <sheetData sheetId="6"/>
      <sheetData sheetId="7"/>
      <sheetData sheetId="8"/>
      <sheetData sheetId="9"/>
      <sheetData sheetId="10">
        <row r="2">
          <cell r="B2" t="str">
            <v>http://ecom.cingular.net/cxt/accessibility_1.2.3/standards/att_standard.html?uid=</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109" totalsRowShown="0" headerRowDxfId="16437">
  <autoFilter ref="A1:I109" xr:uid="{00000000-0009-0000-0100-000001000000}">
    <filterColumn colId="1">
      <filters blank="1">
        <filter val="Points of Invocation"/>
      </filters>
    </filterColumn>
  </autoFilter>
  <tableColumns count="9">
    <tableColumn id="1" xr3:uid="{00000000-0010-0000-0000-000001000000}" name="ID" dataDxfId="16436">
      <calculatedColumnFormula>Table15[[#This Row],[ID]]</calculatedColumnFormula>
    </tableColumn>
    <tableColumn id="2" xr3:uid="{00000000-0010-0000-0000-000002000000}" name="Section" dataDxfId="16435">
      <calculatedColumnFormula>Table15[[#This Row],[Section]]</calculatedColumnFormula>
    </tableColumn>
    <tableColumn id="8" xr3:uid="{00000000-0010-0000-0000-000008000000}" name="Sub-Section" dataDxfId="16434">
      <calculatedColumnFormula>Table15[[#This Row],[Sub-Section]]</calculatedColumnFormula>
    </tableColumn>
    <tableColumn id="3" xr3:uid="{00000000-0010-0000-0000-000003000000}" name="Title" dataDxfId="16433">
      <calculatedColumnFormula>Table15[[#This Row],[Title]]</calculatedColumnFormula>
    </tableColumn>
    <tableColumn id="5" xr3:uid="{00000000-0010-0000-0000-000005000000}" name="Description" dataDxfId="16432">
      <calculatedColumnFormula>Table15[[#This Row],[Description]]</calculatedColumnFormula>
    </tableColumn>
    <tableColumn id="4" xr3:uid="{00000000-0010-0000-0000-000004000000}" name="Relevant?" dataDxfId="16431">
      <calculatedColumnFormula>IF((Table15[[#This Row],[Desktop]]="yes"),"yes","no")</calculatedColumnFormula>
    </tableColumn>
    <tableColumn id="6" xr3:uid="{00000000-0010-0000-0000-000006000000}" name="Met_x000a_(Applies to all browsers)" dataDxfId="16430">
      <calculatedColumnFormula>IF((Table15[[#This Row],[Desktop]]="yes"),"","n/a")</calculatedColumnFormula>
    </tableColumn>
    <tableColumn id="9" xr3:uid="{00000000-0010-0000-0000-000009000000}" name="Failed/Exceptions_x000a_(List browser and describe issue)" dataDxfId="16429"/>
    <tableColumn id="7" xr3:uid="{00000000-0010-0000-0000-000007000000}" name="Explanation (Required)"/>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16" displayName="Table16" ref="A1:I109" totalsRowShown="0" headerRowDxfId="16426">
  <autoFilter ref="A1:I109" xr:uid="{00000000-0009-0000-0100-000005000000}">
    <filterColumn colId="1">
      <filters>
        <filter val="Points of Invocation"/>
      </filters>
    </filterColumn>
  </autoFilter>
  <tableColumns count="9">
    <tableColumn id="1" xr3:uid="{00000000-0010-0000-0100-000001000000}" name="ID" dataDxfId="16425">
      <calculatedColumnFormula>Table15[[#This Row],[ID]]</calculatedColumnFormula>
    </tableColumn>
    <tableColumn id="2" xr3:uid="{00000000-0010-0000-0100-000002000000}" name="Section" dataDxfId="16424">
      <calculatedColumnFormula>Table15[[#This Row],[Section]]</calculatedColumnFormula>
    </tableColumn>
    <tableColumn id="8" xr3:uid="{00000000-0010-0000-0100-000008000000}" name="Sub-Section" dataDxfId="16423">
      <calculatedColumnFormula>Table15[[#This Row],[Sub-Section]]</calculatedColumnFormula>
    </tableColumn>
    <tableColumn id="3" xr3:uid="{00000000-0010-0000-0100-000003000000}" name="Title" dataDxfId="16422">
      <calculatedColumnFormula>Table15[[#This Row],[Title]]</calculatedColumnFormula>
    </tableColumn>
    <tableColumn id="5" xr3:uid="{00000000-0010-0000-0100-000005000000}" name="Description" dataDxfId="16421">
      <calculatedColumnFormula>IF(Table15[[#This Row],[Description]]&lt;&gt;0,Table15[[#This Row],[Description]],"No entry")</calculatedColumnFormula>
    </tableColumn>
    <tableColumn id="4" xr3:uid="{00000000-0010-0000-0100-000004000000}" name="Relevant?" dataDxfId="16420">
      <calculatedColumnFormula>IF((Table15[[#This Row],[Mobile 
Web]]="yes"),"yes","no")</calculatedColumnFormula>
    </tableColumn>
    <tableColumn id="6" xr3:uid="{00000000-0010-0000-0100-000006000000}" name="Met_x000a_(Applies to all browsers)" dataDxfId="16419">
      <calculatedColumnFormula>IF((Table15[[#This Row],[Mobile 
Web]]="yes"),"","n/a")</calculatedColumnFormula>
    </tableColumn>
    <tableColumn id="9" xr3:uid="{00000000-0010-0000-0100-000009000000}" name="Failed/Exceptions_x000a_(List browser and describe issue)" dataDxfId="16418"/>
    <tableColumn id="7" xr3:uid="{00000000-0010-0000-0100-000007000000}" name="Explanation _x000a_(Required)"/>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167" displayName="Table167" ref="A1:I109" totalsRowShown="0" headerRowDxfId="16416">
  <autoFilter ref="A1:I109" xr:uid="{00000000-0009-0000-0100-000006000000}">
    <filterColumn colId="1">
      <filters>
        <filter val="Points of Invocation"/>
      </filters>
    </filterColumn>
  </autoFilter>
  <tableColumns count="9">
    <tableColumn id="1" xr3:uid="{00000000-0010-0000-0200-000001000000}" name="ID" dataDxfId="16415">
      <calculatedColumnFormula>Table15[[#This Row],[ID]]</calculatedColumnFormula>
    </tableColumn>
    <tableColumn id="2" xr3:uid="{00000000-0010-0000-0200-000002000000}" name="Section" dataDxfId="16414">
      <calculatedColumnFormula>Table15[[#This Row],[Section]]</calculatedColumnFormula>
    </tableColumn>
    <tableColumn id="8" xr3:uid="{00000000-0010-0000-0200-000008000000}" name="Sub-Section" dataDxfId="16413">
      <calculatedColumnFormula>Table15[[#This Row],[Sub-Section]]</calculatedColumnFormula>
    </tableColumn>
    <tableColumn id="3" xr3:uid="{00000000-0010-0000-0200-000003000000}" name="Title" dataDxfId="16412">
      <calculatedColumnFormula>Table15[[#This Row],[Title]]</calculatedColumnFormula>
    </tableColumn>
    <tableColumn id="5" xr3:uid="{00000000-0010-0000-0200-000005000000}" name="Description" dataDxfId="16411">
      <calculatedColumnFormula>IF(Table15[[#This Row],[Description]]&lt;&gt;0,Table15[[#This Row],[Description]],"No entry")</calculatedColumnFormula>
    </tableColumn>
    <tableColumn id="4" xr3:uid="{00000000-0010-0000-0200-000004000000}" name="Relevant?" dataDxfId="16410">
      <calculatedColumnFormula>IF((Table15[[#This Row],[Mobile 
Native 
App]]="yes"),"yes","no")</calculatedColumnFormula>
    </tableColumn>
    <tableColumn id="6" xr3:uid="{00000000-0010-0000-0200-000006000000}" name="Met_x000a_(Applies to all browsers)" dataDxfId="16409">
      <calculatedColumnFormula>IF((Table15[[#This Row],[Mobile 
Web]]="yes"),"","n/a")</calculatedColumnFormula>
    </tableColumn>
    <tableColumn id="9" xr3:uid="{00000000-0010-0000-0200-000009000000}" name="Failed/Exceptions_x000a_(List browser and describe issue)" dataDxfId="16408">
      <calculatedColumnFormula>IF((Table15[[#This Row],[Mobile 
Web]]="yes"),"","n/a")</calculatedColumnFormula>
    </tableColumn>
    <tableColumn id="7" xr3:uid="{00000000-0010-0000-0200-000007000000}" name="Explanation (Required)">
      <calculatedColumnFormula>IF((Table15[[#This Row],[Mobile 
Native 
App]]="yes"),"","n/a")</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XFD5" totalsRowShown="0" headerRowDxfId="16407">
  <autoFilter ref="A1:XFD5" xr:uid="{00000000-0009-0000-0100-000003000000}"/>
  <tableColumns count="16384">
    <tableColumn id="1" xr3:uid="{00000000-0010-0000-0300-000001000000}" name="ID"/>
    <tableColumn id="2" xr3:uid="{00000000-0010-0000-0300-000002000000}" name="Short _x000a_Description" dataDxfId="16406"/>
    <tableColumn id="3" xr3:uid="{00000000-0010-0000-0300-000003000000}" name="Date Created" dataDxfId="16405"/>
    <tableColumn id="4" xr3:uid="{00000000-0010-0000-0300-000004000000}" name="Details" dataDxfId="16404"/>
    <tableColumn id="5" xr3:uid="{00000000-0010-0000-0300-000005000000}" name="Comments" dataDxfId="16403"/>
    <tableColumn id="6" xr3:uid="{00000000-0010-0000-0300-000006000000}" name="Column1" dataDxfId="16402"/>
    <tableColumn id="7" xr3:uid="{00000000-0010-0000-0300-000007000000}" name="Column2" dataDxfId="16401"/>
    <tableColumn id="8" xr3:uid="{00000000-0010-0000-0300-000008000000}" name="Column3" dataDxfId="16400"/>
    <tableColumn id="9" xr3:uid="{00000000-0010-0000-0300-000009000000}" name="Column4" dataDxfId="16399"/>
    <tableColumn id="10" xr3:uid="{00000000-0010-0000-0300-00000A000000}" name="Column5" dataDxfId="16398"/>
    <tableColumn id="11" xr3:uid="{00000000-0010-0000-0300-00000B000000}" name="Column6" dataDxfId="16397"/>
    <tableColumn id="12" xr3:uid="{00000000-0010-0000-0300-00000C000000}" name="Column7" dataDxfId="16396"/>
    <tableColumn id="13" xr3:uid="{00000000-0010-0000-0300-00000D000000}" name="Column8" dataDxfId="16395"/>
    <tableColumn id="14" xr3:uid="{00000000-0010-0000-0300-00000E000000}" name="Column9" dataDxfId="16394"/>
    <tableColumn id="15" xr3:uid="{00000000-0010-0000-0300-00000F000000}" name="Column10" dataDxfId="16393"/>
    <tableColumn id="16" xr3:uid="{00000000-0010-0000-0300-000010000000}" name="Column11" dataDxfId="16392"/>
    <tableColumn id="17" xr3:uid="{00000000-0010-0000-0300-000011000000}" name="Column12" dataDxfId="16391"/>
    <tableColumn id="18" xr3:uid="{00000000-0010-0000-0300-000012000000}" name="Column13" dataDxfId="16390"/>
    <tableColumn id="19" xr3:uid="{00000000-0010-0000-0300-000013000000}" name="Column14" dataDxfId="16389"/>
    <tableColumn id="20" xr3:uid="{00000000-0010-0000-0300-000014000000}" name="Column15" dataDxfId="16388"/>
    <tableColumn id="21" xr3:uid="{00000000-0010-0000-0300-000015000000}" name="Column16" dataDxfId="16387"/>
    <tableColumn id="22" xr3:uid="{00000000-0010-0000-0300-000016000000}" name="Column17" dataDxfId="16386"/>
    <tableColumn id="23" xr3:uid="{00000000-0010-0000-0300-000017000000}" name="Column18" dataDxfId="16385"/>
    <tableColumn id="24" xr3:uid="{00000000-0010-0000-0300-000018000000}" name="Column19" dataDxfId="16384"/>
    <tableColumn id="25" xr3:uid="{00000000-0010-0000-0300-000019000000}" name="Column20" dataDxfId="16383"/>
    <tableColumn id="26" xr3:uid="{00000000-0010-0000-0300-00001A000000}" name="Column21" dataDxfId="16382"/>
    <tableColumn id="27" xr3:uid="{00000000-0010-0000-0300-00001B000000}" name="Column22" dataDxfId="16381"/>
    <tableColumn id="28" xr3:uid="{00000000-0010-0000-0300-00001C000000}" name="Column23" dataDxfId="16380"/>
    <tableColumn id="29" xr3:uid="{00000000-0010-0000-0300-00001D000000}" name="Column24" dataDxfId="16379"/>
    <tableColumn id="30" xr3:uid="{00000000-0010-0000-0300-00001E000000}" name="Column25" dataDxfId="16378"/>
    <tableColumn id="31" xr3:uid="{00000000-0010-0000-0300-00001F000000}" name="Column26" dataDxfId="16377"/>
    <tableColumn id="32" xr3:uid="{00000000-0010-0000-0300-000020000000}" name="Column27" dataDxfId="16376"/>
    <tableColumn id="33" xr3:uid="{00000000-0010-0000-0300-000021000000}" name="Column28" dataDxfId="16375"/>
    <tableColumn id="34" xr3:uid="{00000000-0010-0000-0300-000022000000}" name="Column29" dataDxfId="16374"/>
    <tableColumn id="35" xr3:uid="{00000000-0010-0000-0300-000023000000}" name="Column30" dataDxfId="16373"/>
    <tableColumn id="36" xr3:uid="{00000000-0010-0000-0300-000024000000}" name="Column31" dataDxfId="16372"/>
    <tableColumn id="37" xr3:uid="{00000000-0010-0000-0300-000025000000}" name="Column32" dataDxfId="16371"/>
    <tableColumn id="38" xr3:uid="{00000000-0010-0000-0300-000026000000}" name="Column33" dataDxfId="16370"/>
    <tableColumn id="39" xr3:uid="{00000000-0010-0000-0300-000027000000}" name="Column34" dataDxfId="16369"/>
    <tableColumn id="40" xr3:uid="{00000000-0010-0000-0300-000028000000}" name="Column35" dataDxfId="16368"/>
    <tableColumn id="41" xr3:uid="{00000000-0010-0000-0300-000029000000}" name="Column36" dataDxfId="16367"/>
    <tableColumn id="42" xr3:uid="{00000000-0010-0000-0300-00002A000000}" name="Column37" dataDxfId="16366"/>
    <tableColumn id="43" xr3:uid="{00000000-0010-0000-0300-00002B000000}" name="Column38" dataDxfId="16365"/>
    <tableColumn id="44" xr3:uid="{00000000-0010-0000-0300-00002C000000}" name="Column39" dataDxfId="16364"/>
    <tableColumn id="45" xr3:uid="{00000000-0010-0000-0300-00002D000000}" name="Column40" dataDxfId="16363"/>
    <tableColumn id="46" xr3:uid="{00000000-0010-0000-0300-00002E000000}" name="Column41" dataDxfId="16362"/>
    <tableColumn id="47" xr3:uid="{00000000-0010-0000-0300-00002F000000}" name="Column42" dataDxfId="16361"/>
    <tableColumn id="48" xr3:uid="{00000000-0010-0000-0300-000030000000}" name="Column43" dataDxfId="16360"/>
    <tableColumn id="49" xr3:uid="{00000000-0010-0000-0300-000031000000}" name="Column44" dataDxfId="16359"/>
    <tableColumn id="50" xr3:uid="{00000000-0010-0000-0300-000032000000}" name="Column45" dataDxfId="16358"/>
    <tableColumn id="51" xr3:uid="{00000000-0010-0000-0300-000033000000}" name="Column46" dataDxfId="16357"/>
    <tableColumn id="52" xr3:uid="{00000000-0010-0000-0300-000034000000}" name="Column47" dataDxfId="16356"/>
    <tableColumn id="53" xr3:uid="{00000000-0010-0000-0300-000035000000}" name="Column48" dataDxfId="16355"/>
    <tableColumn id="54" xr3:uid="{00000000-0010-0000-0300-000036000000}" name="Column49" dataDxfId="16354"/>
    <tableColumn id="55" xr3:uid="{00000000-0010-0000-0300-000037000000}" name="Column50" dataDxfId="16353"/>
    <tableColumn id="56" xr3:uid="{00000000-0010-0000-0300-000038000000}" name="Column51" dataDxfId="16352"/>
    <tableColumn id="57" xr3:uid="{00000000-0010-0000-0300-000039000000}" name="Column52" dataDxfId="16351"/>
    <tableColumn id="58" xr3:uid="{00000000-0010-0000-0300-00003A000000}" name="Column53" dataDxfId="16350"/>
    <tableColumn id="59" xr3:uid="{00000000-0010-0000-0300-00003B000000}" name="Column54" dataDxfId="16349"/>
    <tableColumn id="60" xr3:uid="{00000000-0010-0000-0300-00003C000000}" name="Column55" dataDxfId="16348"/>
    <tableColumn id="61" xr3:uid="{00000000-0010-0000-0300-00003D000000}" name="Column56" dataDxfId="16347"/>
    <tableColumn id="62" xr3:uid="{00000000-0010-0000-0300-00003E000000}" name="Column57" dataDxfId="16346"/>
    <tableColumn id="63" xr3:uid="{00000000-0010-0000-0300-00003F000000}" name="Column58" dataDxfId="16345"/>
    <tableColumn id="64" xr3:uid="{00000000-0010-0000-0300-000040000000}" name="Column59" dataDxfId="16344"/>
    <tableColumn id="65" xr3:uid="{00000000-0010-0000-0300-000041000000}" name="Column60" dataDxfId="16343"/>
    <tableColumn id="66" xr3:uid="{00000000-0010-0000-0300-000042000000}" name="Column61" dataDxfId="16342"/>
    <tableColumn id="67" xr3:uid="{00000000-0010-0000-0300-000043000000}" name="Column62" dataDxfId="16341"/>
    <tableColumn id="68" xr3:uid="{00000000-0010-0000-0300-000044000000}" name="Column63" dataDxfId="16340"/>
    <tableColumn id="69" xr3:uid="{00000000-0010-0000-0300-000045000000}" name="Column64" dataDxfId="16339"/>
    <tableColumn id="70" xr3:uid="{00000000-0010-0000-0300-000046000000}" name="Column65" dataDxfId="16338"/>
    <tableColumn id="71" xr3:uid="{00000000-0010-0000-0300-000047000000}" name="Column66" dataDxfId="16337"/>
    <tableColumn id="72" xr3:uid="{00000000-0010-0000-0300-000048000000}" name="Column67" dataDxfId="16336"/>
    <tableColumn id="73" xr3:uid="{00000000-0010-0000-0300-000049000000}" name="Column68" dataDxfId="16335"/>
    <tableColumn id="74" xr3:uid="{00000000-0010-0000-0300-00004A000000}" name="Column69" dataDxfId="16334"/>
    <tableColumn id="75" xr3:uid="{00000000-0010-0000-0300-00004B000000}" name="Column70" dataDxfId="16333"/>
    <tableColumn id="76" xr3:uid="{00000000-0010-0000-0300-00004C000000}" name="Column71" dataDxfId="16332"/>
    <tableColumn id="77" xr3:uid="{00000000-0010-0000-0300-00004D000000}" name="Column72" dataDxfId="16331"/>
    <tableColumn id="78" xr3:uid="{00000000-0010-0000-0300-00004E000000}" name="Column73" dataDxfId="16330"/>
    <tableColumn id="79" xr3:uid="{00000000-0010-0000-0300-00004F000000}" name="Column74" dataDxfId="16329"/>
    <tableColumn id="80" xr3:uid="{00000000-0010-0000-0300-000050000000}" name="Column75" dataDxfId="16328"/>
    <tableColumn id="81" xr3:uid="{00000000-0010-0000-0300-000051000000}" name="Column76" dataDxfId="16327"/>
    <tableColumn id="82" xr3:uid="{00000000-0010-0000-0300-000052000000}" name="Column77" dataDxfId="16326"/>
    <tableColumn id="83" xr3:uid="{00000000-0010-0000-0300-000053000000}" name="Column78" dataDxfId="16325"/>
    <tableColumn id="84" xr3:uid="{00000000-0010-0000-0300-000054000000}" name="Column79" dataDxfId="16324"/>
    <tableColumn id="85" xr3:uid="{00000000-0010-0000-0300-000055000000}" name="Column80" dataDxfId="16323"/>
    <tableColumn id="86" xr3:uid="{00000000-0010-0000-0300-000056000000}" name="Column81" dataDxfId="16322"/>
    <tableColumn id="87" xr3:uid="{00000000-0010-0000-0300-000057000000}" name="Column82" dataDxfId="16321"/>
    <tableColumn id="88" xr3:uid="{00000000-0010-0000-0300-000058000000}" name="Column83" dataDxfId="16320"/>
    <tableColumn id="89" xr3:uid="{00000000-0010-0000-0300-000059000000}" name="Column84" dataDxfId="16319"/>
    <tableColumn id="90" xr3:uid="{00000000-0010-0000-0300-00005A000000}" name="Column85" dataDxfId="16318"/>
    <tableColumn id="91" xr3:uid="{00000000-0010-0000-0300-00005B000000}" name="Column86" dataDxfId="16317"/>
    <tableColumn id="92" xr3:uid="{00000000-0010-0000-0300-00005C000000}" name="Column87" dataDxfId="16316"/>
    <tableColumn id="93" xr3:uid="{00000000-0010-0000-0300-00005D000000}" name="Column88" dataDxfId="16315"/>
    <tableColumn id="94" xr3:uid="{00000000-0010-0000-0300-00005E000000}" name="Column89" dataDxfId="16314"/>
    <tableColumn id="95" xr3:uid="{00000000-0010-0000-0300-00005F000000}" name="Column90" dataDxfId="16313"/>
    <tableColumn id="96" xr3:uid="{00000000-0010-0000-0300-000060000000}" name="Column91" dataDxfId="16312"/>
    <tableColumn id="97" xr3:uid="{00000000-0010-0000-0300-000061000000}" name="Column92" dataDxfId="16311"/>
    <tableColumn id="98" xr3:uid="{00000000-0010-0000-0300-000062000000}" name="Column93" dataDxfId="16310"/>
    <tableColumn id="99" xr3:uid="{00000000-0010-0000-0300-000063000000}" name="Column94" dataDxfId="16309"/>
    <tableColumn id="100" xr3:uid="{00000000-0010-0000-0300-000064000000}" name="Column95" dataDxfId="16308"/>
    <tableColumn id="101" xr3:uid="{00000000-0010-0000-0300-000065000000}" name="Column96" dataDxfId="16307"/>
    <tableColumn id="102" xr3:uid="{00000000-0010-0000-0300-000066000000}" name="Column97" dataDxfId="16306"/>
    <tableColumn id="103" xr3:uid="{00000000-0010-0000-0300-000067000000}" name="Column98" dataDxfId="16305"/>
    <tableColumn id="104" xr3:uid="{00000000-0010-0000-0300-000068000000}" name="Column99" dataDxfId="16304"/>
    <tableColumn id="105" xr3:uid="{00000000-0010-0000-0300-000069000000}" name="Column100" dataDxfId="16303"/>
    <tableColumn id="106" xr3:uid="{00000000-0010-0000-0300-00006A000000}" name="Column101" dataDxfId="16302"/>
    <tableColumn id="107" xr3:uid="{00000000-0010-0000-0300-00006B000000}" name="Column102" dataDxfId="16301"/>
    <tableColumn id="108" xr3:uid="{00000000-0010-0000-0300-00006C000000}" name="Column103" dataDxfId="16300"/>
    <tableColumn id="109" xr3:uid="{00000000-0010-0000-0300-00006D000000}" name="Column104" dataDxfId="16299"/>
    <tableColumn id="110" xr3:uid="{00000000-0010-0000-0300-00006E000000}" name="Column105" dataDxfId="16298"/>
    <tableColumn id="111" xr3:uid="{00000000-0010-0000-0300-00006F000000}" name="Column106" dataDxfId="16297"/>
    <tableColumn id="112" xr3:uid="{00000000-0010-0000-0300-000070000000}" name="Column107" dataDxfId="16296"/>
    <tableColumn id="113" xr3:uid="{00000000-0010-0000-0300-000071000000}" name="Column108" dataDxfId="16295"/>
    <tableColumn id="114" xr3:uid="{00000000-0010-0000-0300-000072000000}" name="Column109" dataDxfId="16294"/>
    <tableColumn id="115" xr3:uid="{00000000-0010-0000-0300-000073000000}" name="Column110" dataDxfId="16293"/>
    <tableColumn id="116" xr3:uid="{00000000-0010-0000-0300-000074000000}" name="Column111" dataDxfId="16292"/>
    <tableColumn id="117" xr3:uid="{00000000-0010-0000-0300-000075000000}" name="Column112" dataDxfId="16291"/>
    <tableColumn id="118" xr3:uid="{00000000-0010-0000-0300-000076000000}" name="Column113" dataDxfId="16290"/>
    <tableColumn id="119" xr3:uid="{00000000-0010-0000-0300-000077000000}" name="Column114" dataDxfId="16289"/>
    <tableColumn id="120" xr3:uid="{00000000-0010-0000-0300-000078000000}" name="Column115" dataDxfId="16288"/>
    <tableColumn id="121" xr3:uid="{00000000-0010-0000-0300-000079000000}" name="Column116" dataDxfId="16287"/>
    <tableColumn id="122" xr3:uid="{00000000-0010-0000-0300-00007A000000}" name="Column117" dataDxfId="16286"/>
    <tableColumn id="123" xr3:uid="{00000000-0010-0000-0300-00007B000000}" name="Column118" dataDxfId="16285"/>
    <tableColumn id="124" xr3:uid="{00000000-0010-0000-0300-00007C000000}" name="Column119" dataDxfId="16284"/>
    <tableColumn id="125" xr3:uid="{00000000-0010-0000-0300-00007D000000}" name="Column120" dataDxfId="16283"/>
    <tableColumn id="126" xr3:uid="{00000000-0010-0000-0300-00007E000000}" name="Column121" dataDxfId="16282"/>
    <tableColumn id="127" xr3:uid="{00000000-0010-0000-0300-00007F000000}" name="Column122" dataDxfId="16281"/>
    <tableColumn id="128" xr3:uid="{00000000-0010-0000-0300-000080000000}" name="Column123" dataDxfId="16280"/>
    <tableColumn id="129" xr3:uid="{00000000-0010-0000-0300-000081000000}" name="Column124" dataDxfId="16279"/>
    <tableColumn id="130" xr3:uid="{00000000-0010-0000-0300-000082000000}" name="Column125" dataDxfId="16278"/>
    <tableColumn id="131" xr3:uid="{00000000-0010-0000-0300-000083000000}" name="Column126" dataDxfId="16277"/>
    <tableColumn id="132" xr3:uid="{00000000-0010-0000-0300-000084000000}" name="Column127" dataDxfId="16276"/>
    <tableColumn id="133" xr3:uid="{00000000-0010-0000-0300-000085000000}" name="Column128" dataDxfId="16275"/>
    <tableColumn id="134" xr3:uid="{00000000-0010-0000-0300-000086000000}" name="Column129" dataDxfId="16274"/>
    <tableColumn id="135" xr3:uid="{00000000-0010-0000-0300-000087000000}" name="Column130" dataDxfId="16273"/>
    <tableColumn id="136" xr3:uid="{00000000-0010-0000-0300-000088000000}" name="Column131" dataDxfId="16272"/>
    <tableColumn id="137" xr3:uid="{00000000-0010-0000-0300-000089000000}" name="Column132" dataDxfId="16271"/>
    <tableColumn id="138" xr3:uid="{00000000-0010-0000-0300-00008A000000}" name="Column133" dataDxfId="16270"/>
    <tableColumn id="139" xr3:uid="{00000000-0010-0000-0300-00008B000000}" name="Column134" dataDxfId="16269"/>
    <tableColumn id="140" xr3:uid="{00000000-0010-0000-0300-00008C000000}" name="Column135" dataDxfId="16268"/>
    <tableColumn id="141" xr3:uid="{00000000-0010-0000-0300-00008D000000}" name="Column136" dataDxfId="16267"/>
    <tableColumn id="142" xr3:uid="{00000000-0010-0000-0300-00008E000000}" name="Column137" dataDxfId="16266"/>
    <tableColumn id="143" xr3:uid="{00000000-0010-0000-0300-00008F000000}" name="Column138" dataDxfId="16265"/>
    <tableColumn id="144" xr3:uid="{00000000-0010-0000-0300-000090000000}" name="Column139" dataDxfId="16264"/>
    <tableColumn id="145" xr3:uid="{00000000-0010-0000-0300-000091000000}" name="Column140" dataDxfId="16263"/>
    <tableColumn id="146" xr3:uid="{00000000-0010-0000-0300-000092000000}" name="Column141" dataDxfId="16262"/>
    <tableColumn id="147" xr3:uid="{00000000-0010-0000-0300-000093000000}" name="Column142" dataDxfId="16261"/>
    <tableColumn id="148" xr3:uid="{00000000-0010-0000-0300-000094000000}" name="Column143" dataDxfId="16260"/>
    <tableColumn id="149" xr3:uid="{00000000-0010-0000-0300-000095000000}" name="Column144" dataDxfId="16259"/>
    <tableColumn id="150" xr3:uid="{00000000-0010-0000-0300-000096000000}" name="Column145" dataDxfId="16258"/>
    <tableColumn id="151" xr3:uid="{00000000-0010-0000-0300-000097000000}" name="Column146" dataDxfId="16257"/>
    <tableColumn id="152" xr3:uid="{00000000-0010-0000-0300-000098000000}" name="Column147" dataDxfId="16256"/>
    <tableColumn id="153" xr3:uid="{00000000-0010-0000-0300-000099000000}" name="Column148" dataDxfId="16255"/>
    <tableColumn id="154" xr3:uid="{00000000-0010-0000-0300-00009A000000}" name="Column149" dataDxfId="16254"/>
    <tableColumn id="155" xr3:uid="{00000000-0010-0000-0300-00009B000000}" name="Column150" dataDxfId="16253"/>
    <tableColumn id="156" xr3:uid="{00000000-0010-0000-0300-00009C000000}" name="Column151" dataDxfId="16252"/>
    <tableColumn id="157" xr3:uid="{00000000-0010-0000-0300-00009D000000}" name="Column152" dataDxfId="16251"/>
    <tableColumn id="158" xr3:uid="{00000000-0010-0000-0300-00009E000000}" name="Column153" dataDxfId="16250"/>
    <tableColumn id="159" xr3:uid="{00000000-0010-0000-0300-00009F000000}" name="Column154" dataDxfId="16249"/>
    <tableColumn id="160" xr3:uid="{00000000-0010-0000-0300-0000A0000000}" name="Column155" dataDxfId="16248"/>
    <tableColumn id="161" xr3:uid="{00000000-0010-0000-0300-0000A1000000}" name="Column156" dataDxfId="16247"/>
    <tableColumn id="162" xr3:uid="{00000000-0010-0000-0300-0000A2000000}" name="Column157" dataDxfId="16246"/>
    <tableColumn id="163" xr3:uid="{00000000-0010-0000-0300-0000A3000000}" name="Column158" dataDxfId="16245"/>
    <tableColumn id="164" xr3:uid="{00000000-0010-0000-0300-0000A4000000}" name="Column159" dataDxfId="16244"/>
    <tableColumn id="165" xr3:uid="{00000000-0010-0000-0300-0000A5000000}" name="Column160" dataDxfId="16243"/>
    <tableColumn id="166" xr3:uid="{00000000-0010-0000-0300-0000A6000000}" name="Column161" dataDxfId="16242"/>
    <tableColumn id="167" xr3:uid="{00000000-0010-0000-0300-0000A7000000}" name="Column162" dataDxfId="16241"/>
    <tableColumn id="168" xr3:uid="{00000000-0010-0000-0300-0000A8000000}" name="Column163" dataDxfId="16240"/>
    <tableColumn id="169" xr3:uid="{00000000-0010-0000-0300-0000A9000000}" name="Column164" dataDxfId="16239"/>
    <tableColumn id="170" xr3:uid="{00000000-0010-0000-0300-0000AA000000}" name="Column165" dataDxfId="16238"/>
    <tableColumn id="171" xr3:uid="{00000000-0010-0000-0300-0000AB000000}" name="Column166" dataDxfId="16237"/>
    <tableColumn id="172" xr3:uid="{00000000-0010-0000-0300-0000AC000000}" name="Column167" dataDxfId="16236"/>
    <tableColumn id="173" xr3:uid="{00000000-0010-0000-0300-0000AD000000}" name="Column168" dataDxfId="16235"/>
    <tableColumn id="174" xr3:uid="{00000000-0010-0000-0300-0000AE000000}" name="Column169" dataDxfId="16234"/>
    <tableColumn id="175" xr3:uid="{00000000-0010-0000-0300-0000AF000000}" name="Column170" dataDxfId="16233"/>
    <tableColumn id="176" xr3:uid="{00000000-0010-0000-0300-0000B0000000}" name="Column171" dataDxfId="16232"/>
    <tableColumn id="177" xr3:uid="{00000000-0010-0000-0300-0000B1000000}" name="Column172" dataDxfId="16231"/>
    <tableColumn id="178" xr3:uid="{00000000-0010-0000-0300-0000B2000000}" name="Column173" dataDxfId="16230"/>
    <tableColumn id="179" xr3:uid="{00000000-0010-0000-0300-0000B3000000}" name="Column174" dataDxfId="16229"/>
    <tableColumn id="180" xr3:uid="{00000000-0010-0000-0300-0000B4000000}" name="Column175" dataDxfId="16228"/>
    <tableColumn id="181" xr3:uid="{00000000-0010-0000-0300-0000B5000000}" name="Column176" dataDxfId="16227"/>
    <tableColumn id="182" xr3:uid="{00000000-0010-0000-0300-0000B6000000}" name="Column177" dataDxfId="16226"/>
    <tableColumn id="183" xr3:uid="{00000000-0010-0000-0300-0000B7000000}" name="Column178" dataDxfId="16225"/>
    <tableColumn id="184" xr3:uid="{00000000-0010-0000-0300-0000B8000000}" name="Column179" dataDxfId="16224"/>
    <tableColumn id="185" xr3:uid="{00000000-0010-0000-0300-0000B9000000}" name="Column180" dataDxfId="16223"/>
    <tableColumn id="186" xr3:uid="{00000000-0010-0000-0300-0000BA000000}" name="Column181" dataDxfId="16222"/>
    <tableColumn id="187" xr3:uid="{00000000-0010-0000-0300-0000BB000000}" name="Column182" dataDxfId="16221"/>
    <tableColumn id="188" xr3:uid="{00000000-0010-0000-0300-0000BC000000}" name="Column183" dataDxfId="16220"/>
    <tableColumn id="189" xr3:uid="{00000000-0010-0000-0300-0000BD000000}" name="Column184" dataDxfId="16219"/>
    <tableColumn id="190" xr3:uid="{00000000-0010-0000-0300-0000BE000000}" name="Column185" dataDxfId="16218"/>
    <tableColumn id="191" xr3:uid="{00000000-0010-0000-0300-0000BF000000}" name="Column186" dataDxfId="16217"/>
    <tableColumn id="192" xr3:uid="{00000000-0010-0000-0300-0000C0000000}" name="Column187" dataDxfId="16216"/>
    <tableColumn id="193" xr3:uid="{00000000-0010-0000-0300-0000C1000000}" name="Column188" dataDxfId="16215"/>
    <tableColumn id="194" xr3:uid="{00000000-0010-0000-0300-0000C2000000}" name="Column189" dataDxfId="16214"/>
    <tableColumn id="195" xr3:uid="{00000000-0010-0000-0300-0000C3000000}" name="Column190" dataDxfId="16213"/>
    <tableColumn id="196" xr3:uid="{00000000-0010-0000-0300-0000C4000000}" name="Column191" dataDxfId="16212"/>
    <tableColumn id="197" xr3:uid="{00000000-0010-0000-0300-0000C5000000}" name="Column192" dataDxfId="16211"/>
    <tableColumn id="198" xr3:uid="{00000000-0010-0000-0300-0000C6000000}" name="Column193" dataDxfId="16210"/>
    <tableColumn id="199" xr3:uid="{00000000-0010-0000-0300-0000C7000000}" name="Column194" dataDxfId="16209"/>
    <tableColumn id="200" xr3:uid="{00000000-0010-0000-0300-0000C8000000}" name="Column195" dataDxfId="16208"/>
    <tableColumn id="201" xr3:uid="{00000000-0010-0000-0300-0000C9000000}" name="Column196" dataDxfId="16207"/>
    <tableColumn id="202" xr3:uid="{00000000-0010-0000-0300-0000CA000000}" name="Column197" dataDxfId="16206"/>
    <tableColumn id="203" xr3:uid="{00000000-0010-0000-0300-0000CB000000}" name="Column198" dataDxfId="16205"/>
    <tableColumn id="204" xr3:uid="{00000000-0010-0000-0300-0000CC000000}" name="Column199" dataDxfId="16204"/>
    <tableColumn id="205" xr3:uid="{00000000-0010-0000-0300-0000CD000000}" name="Column200" dataDxfId="16203"/>
    <tableColumn id="206" xr3:uid="{00000000-0010-0000-0300-0000CE000000}" name="Column201" dataDxfId="16202"/>
    <tableColumn id="207" xr3:uid="{00000000-0010-0000-0300-0000CF000000}" name="Column202" dataDxfId="16201"/>
    <tableColumn id="208" xr3:uid="{00000000-0010-0000-0300-0000D0000000}" name="Column203" dataDxfId="16200"/>
    <tableColumn id="209" xr3:uid="{00000000-0010-0000-0300-0000D1000000}" name="Column204" dataDxfId="16199"/>
    <tableColumn id="210" xr3:uid="{00000000-0010-0000-0300-0000D2000000}" name="Column205" dataDxfId="16198"/>
    <tableColumn id="211" xr3:uid="{00000000-0010-0000-0300-0000D3000000}" name="Column206" dataDxfId="16197"/>
    <tableColumn id="212" xr3:uid="{00000000-0010-0000-0300-0000D4000000}" name="Column207" dataDxfId="16196"/>
    <tableColumn id="213" xr3:uid="{00000000-0010-0000-0300-0000D5000000}" name="Column208" dataDxfId="16195"/>
    <tableColumn id="214" xr3:uid="{00000000-0010-0000-0300-0000D6000000}" name="Column209" dataDxfId="16194"/>
    <tableColumn id="215" xr3:uid="{00000000-0010-0000-0300-0000D7000000}" name="Column210" dataDxfId="16193"/>
    <tableColumn id="216" xr3:uid="{00000000-0010-0000-0300-0000D8000000}" name="Column211" dataDxfId="16192"/>
    <tableColumn id="217" xr3:uid="{00000000-0010-0000-0300-0000D9000000}" name="Column212" dataDxfId="16191"/>
    <tableColumn id="218" xr3:uid="{00000000-0010-0000-0300-0000DA000000}" name="Column213" dataDxfId="16190"/>
    <tableColumn id="219" xr3:uid="{00000000-0010-0000-0300-0000DB000000}" name="Column214" dataDxfId="16189"/>
    <tableColumn id="220" xr3:uid="{00000000-0010-0000-0300-0000DC000000}" name="Column215" dataDxfId="16188"/>
    <tableColumn id="221" xr3:uid="{00000000-0010-0000-0300-0000DD000000}" name="Column216" dataDxfId="16187"/>
    <tableColumn id="222" xr3:uid="{00000000-0010-0000-0300-0000DE000000}" name="Column217" dataDxfId="16186"/>
    <tableColumn id="223" xr3:uid="{00000000-0010-0000-0300-0000DF000000}" name="Column218" dataDxfId="16185"/>
    <tableColumn id="224" xr3:uid="{00000000-0010-0000-0300-0000E0000000}" name="Column219" dataDxfId="16184"/>
    <tableColumn id="225" xr3:uid="{00000000-0010-0000-0300-0000E1000000}" name="Column220" dataDxfId="16183"/>
    <tableColumn id="226" xr3:uid="{00000000-0010-0000-0300-0000E2000000}" name="Column221" dataDxfId="16182"/>
    <tableColumn id="227" xr3:uid="{00000000-0010-0000-0300-0000E3000000}" name="Column222" dataDxfId="16181"/>
    <tableColumn id="228" xr3:uid="{00000000-0010-0000-0300-0000E4000000}" name="Column223" dataDxfId="16180"/>
    <tableColumn id="229" xr3:uid="{00000000-0010-0000-0300-0000E5000000}" name="Column224" dataDxfId="16179"/>
    <tableColumn id="230" xr3:uid="{00000000-0010-0000-0300-0000E6000000}" name="Column225" dataDxfId="16178"/>
    <tableColumn id="231" xr3:uid="{00000000-0010-0000-0300-0000E7000000}" name="Column226" dataDxfId="16177"/>
    <tableColumn id="232" xr3:uid="{00000000-0010-0000-0300-0000E8000000}" name="Column227" dataDxfId="16176"/>
    <tableColumn id="233" xr3:uid="{00000000-0010-0000-0300-0000E9000000}" name="Column228" dataDxfId="16175"/>
    <tableColumn id="234" xr3:uid="{00000000-0010-0000-0300-0000EA000000}" name="Column229" dataDxfId="16174"/>
    <tableColumn id="235" xr3:uid="{00000000-0010-0000-0300-0000EB000000}" name="Column230" dataDxfId="16173"/>
    <tableColumn id="236" xr3:uid="{00000000-0010-0000-0300-0000EC000000}" name="Column231" dataDxfId="16172"/>
    <tableColumn id="237" xr3:uid="{00000000-0010-0000-0300-0000ED000000}" name="Column232" dataDxfId="16171"/>
    <tableColumn id="238" xr3:uid="{00000000-0010-0000-0300-0000EE000000}" name="Column233" dataDxfId="16170"/>
    <tableColumn id="239" xr3:uid="{00000000-0010-0000-0300-0000EF000000}" name="Column234" dataDxfId="16169"/>
    <tableColumn id="240" xr3:uid="{00000000-0010-0000-0300-0000F0000000}" name="Column235" dataDxfId="16168"/>
    <tableColumn id="241" xr3:uid="{00000000-0010-0000-0300-0000F1000000}" name="Column236" dataDxfId="16167"/>
    <tableColumn id="242" xr3:uid="{00000000-0010-0000-0300-0000F2000000}" name="Column237" dataDxfId="16166"/>
    <tableColumn id="243" xr3:uid="{00000000-0010-0000-0300-0000F3000000}" name="Column238" dataDxfId="16165"/>
    <tableColumn id="244" xr3:uid="{00000000-0010-0000-0300-0000F4000000}" name="Column239" dataDxfId="16164"/>
    <tableColumn id="245" xr3:uid="{00000000-0010-0000-0300-0000F5000000}" name="Column240" dataDxfId="16163"/>
    <tableColumn id="246" xr3:uid="{00000000-0010-0000-0300-0000F6000000}" name="Column241" dataDxfId="16162"/>
    <tableColumn id="247" xr3:uid="{00000000-0010-0000-0300-0000F7000000}" name="Column242" dataDxfId="16161"/>
    <tableColumn id="248" xr3:uid="{00000000-0010-0000-0300-0000F8000000}" name="Column243" dataDxfId="16160"/>
    <tableColumn id="249" xr3:uid="{00000000-0010-0000-0300-0000F9000000}" name="Column244" dataDxfId="16159"/>
    <tableColumn id="250" xr3:uid="{00000000-0010-0000-0300-0000FA000000}" name="Column245" dataDxfId="16158"/>
    <tableColumn id="251" xr3:uid="{00000000-0010-0000-0300-0000FB000000}" name="Column246" dataDxfId="16157"/>
    <tableColumn id="252" xr3:uid="{00000000-0010-0000-0300-0000FC000000}" name="Column247" dataDxfId="16156"/>
    <tableColumn id="253" xr3:uid="{00000000-0010-0000-0300-0000FD000000}" name="Column248" dataDxfId="16155"/>
    <tableColumn id="254" xr3:uid="{00000000-0010-0000-0300-0000FE000000}" name="Column249" dataDxfId="16154"/>
    <tableColumn id="255" xr3:uid="{00000000-0010-0000-0300-0000FF000000}" name="Column250" dataDxfId="16153"/>
    <tableColumn id="256" xr3:uid="{00000000-0010-0000-0300-000000010000}" name="Column251" dataDxfId="16152"/>
    <tableColumn id="257" xr3:uid="{00000000-0010-0000-0300-000001010000}" name="Column252" dataDxfId="16151"/>
    <tableColumn id="258" xr3:uid="{00000000-0010-0000-0300-000002010000}" name="Column253" dataDxfId="16150"/>
    <tableColumn id="259" xr3:uid="{00000000-0010-0000-0300-000003010000}" name="Column254" dataDxfId="16149"/>
    <tableColumn id="260" xr3:uid="{00000000-0010-0000-0300-000004010000}" name="Column255" dataDxfId="16148"/>
    <tableColumn id="261" xr3:uid="{00000000-0010-0000-0300-000005010000}" name="Column256" dataDxfId="16147"/>
    <tableColumn id="262" xr3:uid="{00000000-0010-0000-0300-000006010000}" name="Column257" dataDxfId="16146"/>
    <tableColumn id="263" xr3:uid="{00000000-0010-0000-0300-000007010000}" name="Column258" dataDxfId="16145"/>
    <tableColumn id="264" xr3:uid="{00000000-0010-0000-0300-000008010000}" name="Column259" dataDxfId="16144"/>
    <tableColumn id="265" xr3:uid="{00000000-0010-0000-0300-000009010000}" name="Column260" dataDxfId="16143"/>
    <tableColumn id="266" xr3:uid="{00000000-0010-0000-0300-00000A010000}" name="Column261" dataDxfId="16142"/>
    <tableColumn id="267" xr3:uid="{00000000-0010-0000-0300-00000B010000}" name="Column262" dataDxfId="16141"/>
    <tableColumn id="268" xr3:uid="{00000000-0010-0000-0300-00000C010000}" name="Column263" dataDxfId="16140"/>
    <tableColumn id="269" xr3:uid="{00000000-0010-0000-0300-00000D010000}" name="Column264" dataDxfId="16139"/>
    <tableColumn id="270" xr3:uid="{00000000-0010-0000-0300-00000E010000}" name="Column265" dataDxfId="16138"/>
    <tableColumn id="271" xr3:uid="{00000000-0010-0000-0300-00000F010000}" name="Column266" dataDxfId="16137"/>
    <tableColumn id="272" xr3:uid="{00000000-0010-0000-0300-000010010000}" name="Column267" dataDxfId="16136"/>
    <tableColumn id="273" xr3:uid="{00000000-0010-0000-0300-000011010000}" name="Column268" dataDxfId="16135"/>
    <tableColumn id="274" xr3:uid="{00000000-0010-0000-0300-000012010000}" name="Column269" dataDxfId="16134"/>
    <tableColumn id="275" xr3:uid="{00000000-0010-0000-0300-000013010000}" name="Column270" dataDxfId="16133"/>
    <tableColumn id="276" xr3:uid="{00000000-0010-0000-0300-000014010000}" name="Column271" dataDxfId="16132"/>
    <tableColumn id="277" xr3:uid="{00000000-0010-0000-0300-000015010000}" name="Column272" dataDxfId="16131"/>
    <tableColumn id="278" xr3:uid="{00000000-0010-0000-0300-000016010000}" name="Column273" dataDxfId="16130"/>
    <tableColumn id="279" xr3:uid="{00000000-0010-0000-0300-000017010000}" name="Column274" dataDxfId="16129"/>
    <tableColumn id="280" xr3:uid="{00000000-0010-0000-0300-000018010000}" name="Column275" dataDxfId="16128"/>
    <tableColumn id="281" xr3:uid="{00000000-0010-0000-0300-000019010000}" name="Column276" dataDxfId="16127"/>
    <tableColumn id="282" xr3:uid="{00000000-0010-0000-0300-00001A010000}" name="Column277" dataDxfId="16126"/>
    <tableColumn id="283" xr3:uid="{00000000-0010-0000-0300-00001B010000}" name="Column278" dataDxfId="16125"/>
    <tableColumn id="284" xr3:uid="{00000000-0010-0000-0300-00001C010000}" name="Column279" dataDxfId="16124"/>
    <tableColumn id="285" xr3:uid="{00000000-0010-0000-0300-00001D010000}" name="Column280" dataDxfId="16123"/>
    <tableColumn id="286" xr3:uid="{00000000-0010-0000-0300-00001E010000}" name="Column281" dataDxfId="16122"/>
    <tableColumn id="287" xr3:uid="{00000000-0010-0000-0300-00001F010000}" name="Column282" dataDxfId="16121"/>
    <tableColumn id="288" xr3:uid="{00000000-0010-0000-0300-000020010000}" name="Column283" dataDxfId="16120"/>
    <tableColumn id="289" xr3:uid="{00000000-0010-0000-0300-000021010000}" name="Column284" dataDxfId="16119"/>
    <tableColumn id="290" xr3:uid="{00000000-0010-0000-0300-000022010000}" name="Column285" dataDxfId="16118"/>
    <tableColumn id="291" xr3:uid="{00000000-0010-0000-0300-000023010000}" name="Column286" dataDxfId="16117"/>
    <tableColumn id="292" xr3:uid="{00000000-0010-0000-0300-000024010000}" name="Column287" dataDxfId="16116"/>
    <tableColumn id="293" xr3:uid="{00000000-0010-0000-0300-000025010000}" name="Column288" dataDxfId="16115"/>
    <tableColumn id="294" xr3:uid="{00000000-0010-0000-0300-000026010000}" name="Column289" dataDxfId="16114"/>
    <tableColumn id="295" xr3:uid="{00000000-0010-0000-0300-000027010000}" name="Column290" dataDxfId="16113"/>
    <tableColumn id="296" xr3:uid="{00000000-0010-0000-0300-000028010000}" name="Column291" dataDxfId="16112"/>
    <tableColumn id="297" xr3:uid="{00000000-0010-0000-0300-000029010000}" name="Column292" dataDxfId="16111"/>
    <tableColumn id="298" xr3:uid="{00000000-0010-0000-0300-00002A010000}" name="Column293" dataDxfId="16110"/>
    <tableColumn id="299" xr3:uid="{00000000-0010-0000-0300-00002B010000}" name="Column294" dataDxfId="16109"/>
    <tableColumn id="300" xr3:uid="{00000000-0010-0000-0300-00002C010000}" name="Column295" dataDxfId="16108"/>
    <tableColumn id="301" xr3:uid="{00000000-0010-0000-0300-00002D010000}" name="Column296" dataDxfId="16107"/>
    <tableColumn id="302" xr3:uid="{00000000-0010-0000-0300-00002E010000}" name="Column297" dataDxfId="16106"/>
    <tableColumn id="303" xr3:uid="{00000000-0010-0000-0300-00002F010000}" name="Column298" dataDxfId="16105"/>
    <tableColumn id="304" xr3:uid="{00000000-0010-0000-0300-000030010000}" name="Column299" dataDxfId="16104"/>
    <tableColumn id="305" xr3:uid="{00000000-0010-0000-0300-000031010000}" name="Column300" dataDxfId="16103"/>
    <tableColumn id="306" xr3:uid="{00000000-0010-0000-0300-000032010000}" name="Column301" dataDxfId="16102"/>
    <tableColumn id="307" xr3:uid="{00000000-0010-0000-0300-000033010000}" name="Column302" dataDxfId="16101"/>
    <tableColumn id="308" xr3:uid="{00000000-0010-0000-0300-000034010000}" name="Column303" dataDxfId="16100"/>
    <tableColumn id="309" xr3:uid="{00000000-0010-0000-0300-000035010000}" name="Column304" dataDxfId="16099"/>
    <tableColumn id="310" xr3:uid="{00000000-0010-0000-0300-000036010000}" name="Column305" dataDxfId="16098"/>
    <tableColumn id="311" xr3:uid="{00000000-0010-0000-0300-000037010000}" name="Column306" dataDxfId="16097"/>
    <tableColumn id="312" xr3:uid="{00000000-0010-0000-0300-000038010000}" name="Column307" dataDxfId="16096"/>
    <tableColumn id="313" xr3:uid="{00000000-0010-0000-0300-000039010000}" name="Column308" dataDxfId="16095"/>
    <tableColumn id="314" xr3:uid="{00000000-0010-0000-0300-00003A010000}" name="Column309" dataDxfId="16094"/>
    <tableColumn id="315" xr3:uid="{00000000-0010-0000-0300-00003B010000}" name="Column310" dataDxfId="16093"/>
    <tableColumn id="316" xr3:uid="{00000000-0010-0000-0300-00003C010000}" name="Column311" dataDxfId="16092"/>
    <tableColumn id="317" xr3:uid="{00000000-0010-0000-0300-00003D010000}" name="Column312" dataDxfId="16091"/>
    <tableColumn id="318" xr3:uid="{00000000-0010-0000-0300-00003E010000}" name="Column313" dataDxfId="16090"/>
    <tableColumn id="319" xr3:uid="{00000000-0010-0000-0300-00003F010000}" name="Column314" dataDxfId="16089"/>
    <tableColumn id="320" xr3:uid="{00000000-0010-0000-0300-000040010000}" name="Column315" dataDxfId="16088"/>
    <tableColumn id="321" xr3:uid="{00000000-0010-0000-0300-000041010000}" name="Column316" dataDxfId="16087"/>
    <tableColumn id="322" xr3:uid="{00000000-0010-0000-0300-000042010000}" name="Column317" dataDxfId="16086"/>
    <tableColumn id="323" xr3:uid="{00000000-0010-0000-0300-000043010000}" name="Column318" dataDxfId="16085"/>
    <tableColumn id="324" xr3:uid="{00000000-0010-0000-0300-000044010000}" name="Column319" dataDxfId="16084"/>
    <tableColumn id="325" xr3:uid="{00000000-0010-0000-0300-000045010000}" name="Column320" dataDxfId="16083"/>
    <tableColumn id="326" xr3:uid="{00000000-0010-0000-0300-000046010000}" name="Column321" dataDxfId="16082"/>
    <tableColumn id="327" xr3:uid="{00000000-0010-0000-0300-000047010000}" name="Column322" dataDxfId="16081"/>
    <tableColumn id="328" xr3:uid="{00000000-0010-0000-0300-000048010000}" name="Column323" dataDxfId="16080"/>
    <tableColumn id="329" xr3:uid="{00000000-0010-0000-0300-000049010000}" name="Column324" dataDxfId="16079"/>
    <tableColumn id="330" xr3:uid="{00000000-0010-0000-0300-00004A010000}" name="Column325" dataDxfId="16078"/>
    <tableColumn id="331" xr3:uid="{00000000-0010-0000-0300-00004B010000}" name="Column326" dataDxfId="16077"/>
    <tableColumn id="332" xr3:uid="{00000000-0010-0000-0300-00004C010000}" name="Column327" dataDxfId="16076"/>
    <tableColumn id="333" xr3:uid="{00000000-0010-0000-0300-00004D010000}" name="Column328" dataDxfId="16075"/>
    <tableColumn id="334" xr3:uid="{00000000-0010-0000-0300-00004E010000}" name="Column329" dataDxfId="16074"/>
    <tableColumn id="335" xr3:uid="{00000000-0010-0000-0300-00004F010000}" name="Column330" dataDxfId="16073"/>
    <tableColumn id="336" xr3:uid="{00000000-0010-0000-0300-000050010000}" name="Column331" dataDxfId="16072"/>
    <tableColumn id="337" xr3:uid="{00000000-0010-0000-0300-000051010000}" name="Column332" dataDxfId="16071"/>
    <tableColumn id="338" xr3:uid="{00000000-0010-0000-0300-000052010000}" name="Column333" dataDxfId="16070"/>
    <tableColumn id="339" xr3:uid="{00000000-0010-0000-0300-000053010000}" name="Column334" dataDxfId="16069"/>
    <tableColumn id="340" xr3:uid="{00000000-0010-0000-0300-000054010000}" name="Column335" dataDxfId="16068"/>
    <tableColumn id="341" xr3:uid="{00000000-0010-0000-0300-000055010000}" name="Column336" dataDxfId="16067"/>
    <tableColumn id="342" xr3:uid="{00000000-0010-0000-0300-000056010000}" name="Column337" dataDxfId="16066"/>
    <tableColumn id="343" xr3:uid="{00000000-0010-0000-0300-000057010000}" name="Column338" dataDxfId="16065"/>
    <tableColumn id="344" xr3:uid="{00000000-0010-0000-0300-000058010000}" name="Column339" dataDxfId="16064"/>
    <tableColumn id="345" xr3:uid="{00000000-0010-0000-0300-000059010000}" name="Column340" dataDxfId="16063"/>
    <tableColumn id="346" xr3:uid="{00000000-0010-0000-0300-00005A010000}" name="Column341" dataDxfId="16062"/>
    <tableColumn id="347" xr3:uid="{00000000-0010-0000-0300-00005B010000}" name="Column342" dataDxfId="16061"/>
    <tableColumn id="348" xr3:uid="{00000000-0010-0000-0300-00005C010000}" name="Column343" dataDxfId="16060"/>
    <tableColumn id="349" xr3:uid="{00000000-0010-0000-0300-00005D010000}" name="Column344" dataDxfId="16059"/>
    <tableColumn id="350" xr3:uid="{00000000-0010-0000-0300-00005E010000}" name="Column345" dataDxfId="16058"/>
    <tableColumn id="351" xr3:uid="{00000000-0010-0000-0300-00005F010000}" name="Column346" dataDxfId="16057"/>
    <tableColumn id="352" xr3:uid="{00000000-0010-0000-0300-000060010000}" name="Column347" dataDxfId="16056"/>
    <tableColumn id="353" xr3:uid="{00000000-0010-0000-0300-000061010000}" name="Column348" dataDxfId="16055"/>
    <tableColumn id="354" xr3:uid="{00000000-0010-0000-0300-000062010000}" name="Column349" dataDxfId="16054"/>
    <tableColumn id="355" xr3:uid="{00000000-0010-0000-0300-000063010000}" name="Column350" dataDxfId="16053"/>
    <tableColumn id="356" xr3:uid="{00000000-0010-0000-0300-000064010000}" name="Column351" dataDxfId="16052"/>
    <tableColumn id="357" xr3:uid="{00000000-0010-0000-0300-000065010000}" name="Column352" dataDxfId="16051"/>
    <tableColumn id="358" xr3:uid="{00000000-0010-0000-0300-000066010000}" name="Column353" dataDxfId="16050"/>
    <tableColumn id="359" xr3:uid="{00000000-0010-0000-0300-000067010000}" name="Column354" dataDxfId="16049"/>
    <tableColumn id="360" xr3:uid="{00000000-0010-0000-0300-000068010000}" name="Column355" dataDxfId="16048"/>
    <tableColumn id="361" xr3:uid="{00000000-0010-0000-0300-000069010000}" name="Column356" dataDxfId="16047"/>
    <tableColumn id="362" xr3:uid="{00000000-0010-0000-0300-00006A010000}" name="Column357" dataDxfId="16046"/>
    <tableColumn id="363" xr3:uid="{00000000-0010-0000-0300-00006B010000}" name="Column358" dataDxfId="16045"/>
    <tableColumn id="364" xr3:uid="{00000000-0010-0000-0300-00006C010000}" name="Column359" dataDxfId="16044"/>
    <tableColumn id="365" xr3:uid="{00000000-0010-0000-0300-00006D010000}" name="Column360" dataDxfId="16043"/>
    <tableColumn id="366" xr3:uid="{00000000-0010-0000-0300-00006E010000}" name="Column361" dataDxfId="16042"/>
    <tableColumn id="367" xr3:uid="{00000000-0010-0000-0300-00006F010000}" name="Column362" dataDxfId="16041"/>
    <tableColumn id="368" xr3:uid="{00000000-0010-0000-0300-000070010000}" name="Column363" dataDxfId="16040"/>
    <tableColumn id="369" xr3:uid="{00000000-0010-0000-0300-000071010000}" name="Column364" dataDxfId="16039"/>
    <tableColumn id="370" xr3:uid="{00000000-0010-0000-0300-000072010000}" name="Column365" dataDxfId="16038"/>
    <tableColumn id="371" xr3:uid="{00000000-0010-0000-0300-000073010000}" name="Column366" dataDxfId="16037"/>
    <tableColumn id="372" xr3:uid="{00000000-0010-0000-0300-000074010000}" name="Column367" dataDxfId="16036"/>
    <tableColumn id="373" xr3:uid="{00000000-0010-0000-0300-000075010000}" name="Column368" dataDxfId="16035"/>
    <tableColumn id="374" xr3:uid="{00000000-0010-0000-0300-000076010000}" name="Column369" dataDxfId="16034"/>
    <tableColumn id="375" xr3:uid="{00000000-0010-0000-0300-000077010000}" name="Column370" dataDxfId="16033"/>
    <tableColumn id="376" xr3:uid="{00000000-0010-0000-0300-000078010000}" name="Column371" dataDxfId="16032"/>
    <tableColumn id="377" xr3:uid="{00000000-0010-0000-0300-000079010000}" name="Column372" dataDxfId="16031"/>
    <tableColumn id="378" xr3:uid="{00000000-0010-0000-0300-00007A010000}" name="Column373" dataDxfId="16030"/>
    <tableColumn id="379" xr3:uid="{00000000-0010-0000-0300-00007B010000}" name="Column374" dataDxfId="16029"/>
    <tableColumn id="380" xr3:uid="{00000000-0010-0000-0300-00007C010000}" name="Column375" dataDxfId="16028"/>
    <tableColumn id="381" xr3:uid="{00000000-0010-0000-0300-00007D010000}" name="Column376" dataDxfId="16027"/>
    <tableColumn id="382" xr3:uid="{00000000-0010-0000-0300-00007E010000}" name="Column377" dataDxfId="16026"/>
    <tableColumn id="383" xr3:uid="{00000000-0010-0000-0300-00007F010000}" name="Column378" dataDxfId="16025"/>
    <tableColumn id="384" xr3:uid="{00000000-0010-0000-0300-000080010000}" name="Column379" dataDxfId="16024"/>
    <tableColumn id="385" xr3:uid="{00000000-0010-0000-0300-000081010000}" name="Column380" dataDxfId="16023"/>
    <tableColumn id="386" xr3:uid="{00000000-0010-0000-0300-000082010000}" name="Column381" dataDxfId="16022"/>
    <tableColumn id="387" xr3:uid="{00000000-0010-0000-0300-000083010000}" name="Column382" dataDxfId="16021"/>
    <tableColumn id="388" xr3:uid="{00000000-0010-0000-0300-000084010000}" name="Column383" dataDxfId="16020"/>
    <tableColumn id="389" xr3:uid="{00000000-0010-0000-0300-000085010000}" name="Column384" dataDxfId="16019"/>
    <tableColumn id="390" xr3:uid="{00000000-0010-0000-0300-000086010000}" name="Column385" dataDxfId="16018"/>
    <tableColumn id="391" xr3:uid="{00000000-0010-0000-0300-000087010000}" name="Column386" dataDxfId="16017"/>
    <tableColumn id="392" xr3:uid="{00000000-0010-0000-0300-000088010000}" name="Column387" dataDxfId="16016"/>
    <tableColumn id="393" xr3:uid="{00000000-0010-0000-0300-000089010000}" name="Column388" dataDxfId="16015"/>
    <tableColumn id="394" xr3:uid="{00000000-0010-0000-0300-00008A010000}" name="Column389" dataDxfId="16014"/>
    <tableColumn id="395" xr3:uid="{00000000-0010-0000-0300-00008B010000}" name="Column390" dataDxfId="16013"/>
    <tableColumn id="396" xr3:uid="{00000000-0010-0000-0300-00008C010000}" name="Column391" dataDxfId="16012"/>
    <tableColumn id="397" xr3:uid="{00000000-0010-0000-0300-00008D010000}" name="Column392" dataDxfId="16011"/>
    <tableColumn id="398" xr3:uid="{00000000-0010-0000-0300-00008E010000}" name="Column393" dataDxfId="16010"/>
    <tableColumn id="399" xr3:uid="{00000000-0010-0000-0300-00008F010000}" name="Column394" dataDxfId="16009"/>
    <tableColumn id="400" xr3:uid="{00000000-0010-0000-0300-000090010000}" name="Column395" dataDxfId="16008"/>
    <tableColumn id="401" xr3:uid="{00000000-0010-0000-0300-000091010000}" name="Column396" dataDxfId="16007"/>
    <tableColumn id="402" xr3:uid="{00000000-0010-0000-0300-000092010000}" name="Column397" dataDxfId="16006"/>
    <tableColumn id="403" xr3:uid="{00000000-0010-0000-0300-000093010000}" name="Column398" dataDxfId="16005"/>
    <tableColumn id="404" xr3:uid="{00000000-0010-0000-0300-000094010000}" name="Column399" dataDxfId="16004"/>
    <tableColumn id="405" xr3:uid="{00000000-0010-0000-0300-000095010000}" name="Column400" dataDxfId="16003"/>
    <tableColumn id="406" xr3:uid="{00000000-0010-0000-0300-000096010000}" name="Column401" dataDxfId="16002"/>
    <tableColumn id="407" xr3:uid="{00000000-0010-0000-0300-000097010000}" name="Column402" dataDxfId="16001"/>
    <tableColumn id="408" xr3:uid="{00000000-0010-0000-0300-000098010000}" name="Column403" dataDxfId="16000"/>
    <tableColumn id="409" xr3:uid="{00000000-0010-0000-0300-000099010000}" name="Column404" dataDxfId="15999"/>
    <tableColumn id="410" xr3:uid="{00000000-0010-0000-0300-00009A010000}" name="Column405" dataDxfId="15998"/>
    <tableColumn id="411" xr3:uid="{00000000-0010-0000-0300-00009B010000}" name="Column406" dataDxfId="15997"/>
    <tableColumn id="412" xr3:uid="{00000000-0010-0000-0300-00009C010000}" name="Column407" dataDxfId="15996"/>
    <tableColumn id="413" xr3:uid="{00000000-0010-0000-0300-00009D010000}" name="Column408" dataDxfId="15995"/>
    <tableColumn id="414" xr3:uid="{00000000-0010-0000-0300-00009E010000}" name="Column409" dataDxfId="15994"/>
    <tableColumn id="415" xr3:uid="{00000000-0010-0000-0300-00009F010000}" name="Column410" dataDxfId="15993"/>
    <tableColumn id="416" xr3:uid="{00000000-0010-0000-0300-0000A0010000}" name="Column411" dataDxfId="15992"/>
    <tableColumn id="417" xr3:uid="{00000000-0010-0000-0300-0000A1010000}" name="Column412" dataDxfId="15991"/>
    <tableColumn id="418" xr3:uid="{00000000-0010-0000-0300-0000A2010000}" name="Column413" dataDxfId="15990"/>
    <tableColumn id="419" xr3:uid="{00000000-0010-0000-0300-0000A3010000}" name="Column414" dataDxfId="15989"/>
    <tableColumn id="420" xr3:uid="{00000000-0010-0000-0300-0000A4010000}" name="Column415" dataDxfId="15988"/>
    <tableColumn id="421" xr3:uid="{00000000-0010-0000-0300-0000A5010000}" name="Column416" dataDxfId="15987"/>
    <tableColumn id="422" xr3:uid="{00000000-0010-0000-0300-0000A6010000}" name="Column417" dataDxfId="15986"/>
    <tableColumn id="423" xr3:uid="{00000000-0010-0000-0300-0000A7010000}" name="Column418" dataDxfId="15985"/>
    <tableColumn id="424" xr3:uid="{00000000-0010-0000-0300-0000A8010000}" name="Column419" dataDxfId="15984"/>
    <tableColumn id="425" xr3:uid="{00000000-0010-0000-0300-0000A9010000}" name="Column420" dataDxfId="15983"/>
    <tableColumn id="426" xr3:uid="{00000000-0010-0000-0300-0000AA010000}" name="Column421" dataDxfId="15982"/>
    <tableColumn id="427" xr3:uid="{00000000-0010-0000-0300-0000AB010000}" name="Column422" dataDxfId="15981"/>
    <tableColumn id="428" xr3:uid="{00000000-0010-0000-0300-0000AC010000}" name="Column423" dataDxfId="15980"/>
    <tableColumn id="429" xr3:uid="{00000000-0010-0000-0300-0000AD010000}" name="Column424" dataDxfId="15979"/>
    <tableColumn id="430" xr3:uid="{00000000-0010-0000-0300-0000AE010000}" name="Column425" dataDxfId="15978"/>
    <tableColumn id="431" xr3:uid="{00000000-0010-0000-0300-0000AF010000}" name="Column426" dataDxfId="15977"/>
    <tableColumn id="432" xr3:uid="{00000000-0010-0000-0300-0000B0010000}" name="Column427" dataDxfId="15976"/>
    <tableColumn id="433" xr3:uid="{00000000-0010-0000-0300-0000B1010000}" name="Column428" dataDxfId="15975"/>
    <tableColumn id="434" xr3:uid="{00000000-0010-0000-0300-0000B2010000}" name="Column429" dataDxfId="15974"/>
    <tableColumn id="435" xr3:uid="{00000000-0010-0000-0300-0000B3010000}" name="Column430" dataDxfId="15973"/>
    <tableColumn id="436" xr3:uid="{00000000-0010-0000-0300-0000B4010000}" name="Column431" dataDxfId="15972"/>
    <tableColumn id="437" xr3:uid="{00000000-0010-0000-0300-0000B5010000}" name="Column432" dataDxfId="15971"/>
    <tableColumn id="438" xr3:uid="{00000000-0010-0000-0300-0000B6010000}" name="Column433" dataDxfId="15970"/>
    <tableColumn id="439" xr3:uid="{00000000-0010-0000-0300-0000B7010000}" name="Column434" dataDxfId="15969"/>
    <tableColumn id="440" xr3:uid="{00000000-0010-0000-0300-0000B8010000}" name="Column435" dataDxfId="15968"/>
    <tableColumn id="441" xr3:uid="{00000000-0010-0000-0300-0000B9010000}" name="Column436" dataDxfId="15967"/>
    <tableColumn id="442" xr3:uid="{00000000-0010-0000-0300-0000BA010000}" name="Column437" dataDxfId="15966"/>
    <tableColumn id="443" xr3:uid="{00000000-0010-0000-0300-0000BB010000}" name="Column438" dataDxfId="15965"/>
    <tableColumn id="444" xr3:uid="{00000000-0010-0000-0300-0000BC010000}" name="Column439" dataDxfId="15964"/>
    <tableColumn id="445" xr3:uid="{00000000-0010-0000-0300-0000BD010000}" name="Column440" dataDxfId="15963"/>
    <tableColumn id="446" xr3:uid="{00000000-0010-0000-0300-0000BE010000}" name="Column441" dataDxfId="15962"/>
    <tableColumn id="447" xr3:uid="{00000000-0010-0000-0300-0000BF010000}" name="Column442" dataDxfId="15961"/>
    <tableColumn id="448" xr3:uid="{00000000-0010-0000-0300-0000C0010000}" name="Column443" dataDxfId="15960"/>
    <tableColumn id="449" xr3:uid="{00000000-0010-0000-0300-0000C1010000}" name="Column444" dataDxfId="15959"/>
    <tableColumn id="450" xr3:uid="{00000000-0010-0000-0300-0000C2010000}" name="Column445" dataDxfId="15958"/>
    <tableColumn id="451" xr3:uid="{00000000-0010-0000-0300-0000C3010000}" name="Column446" dataDxfId="15957"/>
    <tableColumn id="452" xr3:uid="{00000000-0010-0000-0300-0000C4010000}" name="Column447" dataDxfId="15956"/>
    <tableColumn id="453" xr3:uid="{00000000-0010-0000-0300-0000C5010000}" name="Column448" dataDxfId="15955"/>
    <tableColumn id="454" xr3:uid="{00000000-0010-0000-0300-0000C6010000}" name="Column449" dataDxfId="15954"/>
    <tableColumn id="455" xr3:uid="{00000000-0010-0000-0300-0000C7010000}" name="Column450" dataDxfId="15953"/>
    <tableColumn id="456" xr3:uid="{00000000-0010-0000-0300-0000C8010000}" name="Column451" dataDxfId="15952"/>
    <tableColumn id="457" xr3:uid="{00000000-0010-0000-0300-0000C9010000}" name="Column452" dataDxfId="15951"/>
    <tableColumn id="458" xr3:uid="{00000000-0010-0000-0300-0000CA010000}" name="Column453" dataDxfId="15950"/>
    <tableColumn id="459" xr3:uid="{00000000-0010-0000-0300-0000CB010000}" name="Column454" dataDxfId="15949"/>
    <tableColumn id="460" xr3:uid="{00000000-0010-0000-0300-0000CC010000}" name="Column455" dataDxfId="15948"/>
    <tableColumn id="461" xr3:uid="{00000000-0010-0000-0300-0000CD010000}" name="Column456" dataDxfId="15947"/>
    <tableColumn id="462" xr3:uid="{00000000-0010-0000-0300-0000CE010000}" name="Column457" dataDxfId="15946"/>
    <tableColumn id="463" xr3:uid="{00000000-0010-0000-0300-0000CF010000}" name="Column458" dataDxfId="15945"/>
    <tableColumn id="464" xr3:uid="{00000000-0010-0000-0300-0000D0010000}" name="Column459" dataDxfId="15944"/>
    <tableColumn id="465" xr3:uid="{00000000-0010-0000-0300-0000D1010000}" name="Column460" dataDxfId="15943"/>
    <tableColumn id="466" xr3:uid="{00000000-0010-0000-0300-0000D2010000}" name="Column461" dataDxfId="15942"/>
    <tableColumn id="467" xr3:uid="{00000000-0010-0000-0300-0000D3010000}" name="Column462" dataDxfId="15941"/>
    <tableColumn id="468" xr3:uid="{00000000-0010-0000-0300-0000D4010000}" name="Column463" dataDxfId="15940"/>
    <tableColumn id="469" xr3:uid="{00000000-0010-0000-0300-0000D5010000}" name="Column464" dataDxfId="15939"/>
    <tableColumn id="470" xr3:uid="{00000000-0010-0000-0300-0000D6010000}" name="Column465" dataDxfId="15938"/>
    <tableColumn id="471" xr3:uid="{00000000-0010-0000-0300-0000D7010000}" name="Column466" dataDxfId="15937"/>
    <tableColumn id="472" xr3:uid="{00000000-0010-0000-0300-0000D8010000}" name="Column467" dataDxfId="15936"/>
    <tableColumn id="473" xr3:uid="{00000000-0010-0000-0300-0000D9010000}" name="Column468" dataDxfId="15935"/>
    <tableColumn id="474" xr3:uid="{00000000-0010-0000-0300-0000DA010000}" name="Column469" dataDxfId="15934"/>
    <tableColumn id="475" xr3:uid="{00000000-0010-0000-0300-0000DB010000}" name="Column470" dataDxfId="15933"/>
    <tableColumn id="476" xr3:uid="{00000000-0010-0000-0300-0000DC010000}" name="Column471" dataDxfId="15932"/>
    <tableColumn id="477" xr3:uid="{00000000-0010-0000-0300-0000DD010000}" name="Column472" dataDxfId="15931"/>
    <tableColumn id="478" xr3:uid="{00000000-0010-0000-0300-0000DE010000}" name="Column473" dataDxfId="15930"/>
    <tableColumn id="479" xr3:uid="{00000000-0010-0000-0300-0000DF010000}" name="Column474" dataDxfId="15929"/>
    <tableColumn id="480" xr3:uid="{00000000-0010-0000-0300-0000E0010000}" name="Column475" dataDxfId="15928"/>
    <tableColumn id="481" xr3:uid="{00000000-0010-0000-0300-0000E1010000}" name="Column476" dataDxfId="15927"/>
    <tableColumn id="482" xr3:uid="{00000000-0010-0000-0300-0000E2010000}" name="Column477" dataDxfId="15926"/>
    <tableColumn id="483" xr3:uid="{00000000-0010-0000-0300-0000E3010000}" name="Column478" dataDxfId="15925"/>
    <tableColumn id="484" xr3:uid="{00000000-0010-0000-0300-0000E4010000}" name="Column479" dataDxfId="15924"/>
    <tableColumn id="485" xr3:uid="{00000000-0010-0000-0300-0000E5010000}" name="Column480" dataDxfId="15923"/>
    <tableColumn id="486" xr3:uid="{00000000-0010-0000-0300-0000E6010000}" name="Column481" dataDxfId="15922"/>
    <tableColumn id="487" xr3:uid="{00000000-0010-0000-0300-0000E7010000}" name="Column482" dataDxfId="15921"/>
    <tableColumn id="488" xr3:uid="{00000000-0010-0000-0300-0000E8010000}" name="Column483" dataDxfId="15920"/>
    <tableColumn id="489" xr3:uid="{00000000-0010-0000-0300-0000E9010000}" name="Column484" dataDxfId="15919"/>
    <tableColumn id="490" xr3:uid="{00000000-0010-0000-0300-0000EA010000}" name="Column485" dataDxfId="15918"/>
    <tableColumn id="491" xr3:uid="{00000000-0010-0000-0300-0000EB010000}" name="Column486" dataDxfId="15917"/>
    <tableColumn id="492" xr3:uid="{00000000-0010-0000-0300-0000EC010000}" name="Column487" dataDxfId="15916"/>
    <tableColumn id="493" xr3:uid="{00000000-0010-0000-0300-0000ED010000}" name="Column488" dataDxfId="15915"/>
    <tableColumn id="494" xr3:uid="{00000000-0010-0000-0300-0000EE010000}" name="Column489" dataDxfId="15914"/>
    <tableColumn id="495" xr3:uid="{00000000-0010-0000-0300-0000EF010000}" name="Column490" dataDxfId="15913"/>
    <tableColumn id="496" xr3:uid="{00000000-0010-0000-0300-0000F0010000}" name="Column491" dataDxfId="15912"/>
    <tableColumn id="497" xr3:uid="{00000000-0010-0000-0300-0000F1010000}" name="Column492" dataDxfId="15911"/>
    <tableColumn id="498" xr3:uid="{00000000-0010-0000-0300-0000F2010000}" name="Column493" dataDxfId="15910"/>
    <tableColumn id="499" xr3:uid="{00000000-0010-0000-0300-0000F3010000}" name="Column494" dataDxfId="15909"/>
    <tableColumn id="500" xr3:uid="{00000000-0010-0000-0300-0000F4010000}" name="Column495" dataDxfId="15908"/>
    <tableColumn id="501" xr3:uid="{00000000-0010-0000-0300-0000F5010000}" name="Column496" dataDxfId="15907"/>
    <tableColumn id="502" xr3:uid="{00000000-0010-0000-0300-0000F6010000}" name="Column497" dataDxfId="15906"/>
    <tableColumn id="503" xr3:uid="{00000000-0010-0000-0300-0000F7010000}" name="Column498" dataDxfId="15905"/>
    <tableColumn id="504" xr3:uid="{00000000-0010-0000-0300-0000F8010000}" name="Column499" dataDxfId="15904"/>
    <tableColumn id="505" xr3:uid="{00000000-0010-0000-0300-0000F9010000}" name="Column500" dataDxfId="15903"/>
    <tableColumn id="506" xr3:uid="{00000000-0010-0000-0300-0000FA010000}" name="Column501" dataDxfId="15902"/>
    <tableColumn id="507" xr3:uid="{00000000-0010-0000-0300-0000FB010000}" name="Column502" dataDxfId="15901"/>
    <tableColumn id="508" xr3:uid="{00000000-0010-0000-0300-0000FC010000}" name="Column503" dataDxfId="15900"/>
    <tableColumn id="509" xr3:uid="{00000000-0010-0000-0300-0000FD010000}" name="Column504" dataDxfId="15899"/>
    <tableColumn id="510" xr3:uid="{00000000-0010-0000-0300-0000FE010000}" name="Column505" dataDxfId="15898"/>
    <tableColumn id="511" xr3:uid="{00000000-0010-0000-0300-0000FF010000}" name="Column506" dataDxfId="15897"/>
    <tableColumn id="512" xr3:uid="{00000000-0010-0000-0300-000000020000}" name="Column507" dataDxfId="15896"/>
    <tableColumn id="513" xr3:uid="{00000000-0010-0000-0300-000001020000}" name="Column508" dataDxfId="15895"/>
    <tableColumn id="514" xr3:uid="{00000000-0010-0000-0300-000002020000}" name="Column509" dataDxfId="15894"/>
    <tableColumn id="515" xr3:uid="{00000000-0010-0000-0300-000003020000}" name="Column510" dataDxfId="15893"/>
    <tableColumn id="516" xr3:uid="{00000000-0010-0000-0300-000004020000}" name="Column511" dataDxfId="15892"/>
    <tableColumn id="517" xr3:uid="{00000000-0010-0000-0300-000005020000}" name="Column512" dataDxfId="15891"/>
    <tableColumn id="518" xr3:uid="{00000000-0010-0000-0300-000006020000}" name="Column513" dataDxfId="15890"/>
    <tableColumn id="519" xr3:uid="{00000000-0010-0000-0300-000007020000}" name="Column514" dataDxfId="15889"/>
    <tableColumn id="520" xr3:uid="{00000000-0010-0000-0300-000008020000}" name="Column515" dataDxfId="15888"/>
    <tableColumn id="521" xr3:uid="{00000000-0010-0000-0300-000009020000}" name="Column516" dataDxfId="15887"/>
    <tableColumn id="522" xr3:uid="{00000000-0010-0000-0300-00000A020000}" name="Column517" dataDxfId="15886"/>
    <tableColumn id="523" xr3:uid="{00000000-0010-0000-0300-00000B020000}" name="Column518" dataDxfId="15885"/>
    <tableColumn id="524" xr3:uid="{00000000-0010-0000-0300-00000C020000}" name="Column519" dataDxfId="15884"/>
    <tableColumn id="525" xr3:uid="{00000000-0010-0000-0300-00000D020000}" name="Column520" dataDxfId="15883"/>
    <tableColumn id="526" xr3:uid="{00000000-0010-0000-0300-00000E020000}" name="Column521" dataDxfId="15882"/>
    <tableColumn id="527" xr3:uid="{00000000-0010-0000-0300-00000F020000}" name="Column522" dataDxfId="15881"/>
    <tableColumn id="528" xr3:uid="{00000000-0010-0000-0300-000010020000}" name="Column523" dataDxfId="15880"/>
    <tableColumn id="529" xr3:uid="{00000000-0010-0000-0300-000011020000}" name="Column524" dataDxfId="15879"/>
    <tableColumn id="530" xr3:uid="{00000000-0010-0000-0300-000012020000}" name="Column525" dataDxfId="15878"/>
    <tableColumn id="531" xr3:uid="{00000000-0010-0000-0300-000013020000}" name="Column526" dataDxfId="15877"/>
    <tableColumn id="532" xr3:uid="{00000000-0010-0000-0300-000014020000}" name="Column527" dataDxfId="15876"/>
    <tableColumn id="533" xr3:uid="{00000000-0010-0000-0300-000015020000}" name="Column528" dataDxfId="15875"/>
    <tableColumn id="534" xr3:uid="{00000000-0010-0000-0300-000016020000}" name="Column529" dataDxfId="15874"/>
    <tableColumn id="535" xr3:uid="{00000000-0010-0000-0300-000017020000}" name="Column530" dataDxfId="15873"/>
    <tableColumn id="536" xr3:uid="{00000000-0010-0000-0300-000018020000}" name="Column531" dataDxfId="15872"/>
    <tableColumn id="537" xr3:uid="{00000000-0010-0000-0300-000019020000}" name="Column532" dataDxfId="15871"/>
    <tableColumn id="538" xr3:uid="{00000000-0010-0000-0300-00001A020000}" name="Column533" dataDxfId="15870"/>
    <tableColumn id="539" xr3:uid="{00000000-0010-0000-0300-00001B020000}" name="Column534" dataDxfId="15869"/>
    <tableColumn id="540" xr3:uid="{00000000-0010-0000-0300-00001C020000}" name="Column535" dataDxfId="15868"/>
    <tableColumn id="541" xr3:uid="{00000000-0010-0000-0300-00001D020000}" name="Column536" dataDxfId="15867"/>
    <tableColumn id="542" xr3:uid="{00000000-0010-0000-0300-00001E020000}" name="Column537" dataDxfId="15866"/>
    <tableColumn id="543" xr3:uid="{00000000-0010-0000-0300-00001F020000}" name="Column538" dataDxfId="15865"/>
    <tableColumn id="544" xr3:uid="{00000000-0010-0000-0300-000020020000}" name="Column539" dataDxfId="15864"/>
    <tableColumn id="545" xr3:uid="{00000000-0010-0000-0300-000021020000}" name="Column540" dataDxfId="15863"/>
    <tableColumn id="546" xr3:uid="{00000000-0010-0000-0300-000022020000}" name="Column541" dataDxfId="15862"/>
    <tableColumn id="547" xr3:uid="{00000000-0010-0000-0300-000023020000}" name="Column542" dataDxfId="15861"/>
    <tableColumn id="548" xr3:uid="{00000000-0010-0000-0300-000024020000}" name="Column543" dataDxfId="15860"/>
    <tableColumn id="549" xr3:uid="{00000000-0010-0000-0300-000025020000}" name="Column544" dataDxfId="15859"/>
    <tableColumn id="550" xr3:uid="{00000000-0010-0000-0300-000026020000}" name="Column545" dataDxfId="15858"/>
    <tableColumn id="551" xr3:uid="{00000000-0010-0000-0300-000027020000}" name="Column546" dataDxfId="15857"/>
    <tableColumn id="552" xr3:uid="{00000000-0010-0000-0300-000028020000}" name="Column547" dataDxfId="15856"/>
    <tableColumn id="553" xr3:uid="{00000000-0010-0000-0300-000029020000}" name="Column548" dataDxfId="15855"/>
    <tableColumn id="554" xr3:uid="{00000000-0010-0000-0300-00002A020000}" name="Column549" dataDxfId="15854"/>
    <tableColumn id="555" xr3:uid="{00000000-0010-0000-0300-00002B020000}" name="Column550" dataDxfId="15853"/>
    <tableColumn id="556" xr3:uid="{00000000-0010-0000-0300-00002C020000}" name="Column551" dataDxfId="15852"/>
    <tableColumn id="557" xr3:uid="{00000000-0010-0000-0300-00002D020000}" name="Column552" dataDxfId="15851"/>
    <tableColumn id="558" xr3:uid="{00000000-0010-0000-0300-00002E020000}" name="Column553" dataDxfId="15850"/>
    <tableColumn id="559" xr3:uid="{00000000-0010-0000-0300-00002F020000}" name="Column554" dataDxfId="15849"/>
    <tableColumn id="560" xr3:uid="{00000000-0010-0000-0300-000030020000}" name="Column555" dataDxfId="15848"/>
    <tableColumn id="561" xr3:uid="{00000000-0010-0000-0300-000031020000}" name="Column556" dataDxfId="15847"/>
    <tableColumn id="562" xr3:uid="{00000000-0010-0000-0300-000032020000}" name="Column557" dataDxfId="15846"/>
    <tableColumn id="563" xr3:uid="{00000000-0010-0000-0300-000033020000}" name="Column558" dataDxfId="15845"/>
    <tableColumn id="564" xr3:uid="{00000000-0010-0000-0300-000034020000}" name="Column559" dataDxfId="15844"/>
    <tableColumn id="565" xr3:uid="{00000000-0010-0000-0300-000035020000}" name="Column560" dataDxfId="15843"/>
    <tableColumn id="566" xr3:uid="{00000000-0010-0000-0300-000036020000}" name="Column561" dataDxfId="15842"/>
    <tableColumn id="567" xr3:uid="{00000000-0010-0000-0300-000037020000}" name="Column562" dataDxfId="15841"/>
    <tableColumn id="568" xr3:uid="{00000000-0010-0000-0300-000038020000}" name="Column563" dataDxfId="15840"/>
    <tableColumn id="569" xr3:uid="{00000000-0010-0000-0300-000039020000}" name="Column564" dataDxfId="15839"/>
    <tableColumn id="570" xr3:uid="{00000000-0010-0000-0300-00003A020000}" name="Column565" dataDxfId="15838"/>
    <tableColumn id="571" xr3:uid="{00000000-0010-0000-0300-00003B020000}" name="Column566" dataDxfId="15837"/>
    <tableColumn id="572" xr3:uid="{00000000-0010-0000-0300-00003C020000}" name="Column567" dataDxfId="15836"/>
    <tableColumn id="573" xr3:uid="{00000000-0010-0000-0300-00003D020000}" name="Column568" dataDxfId="15835"/>
    <tableColumn id="574" xr3:uid="{00000000-0010-0000-0300-00003E020000}" name="Column569" dataDxfId="15834"/>
    <tableColumn id="575" xr3:uid="{00000000-0010-0000-0300-00003F020000}" name="Column570" dataDxfId="15833"/>
    <tableColumn id="576" xr3:uid="{00000000-0010-0000-0300-000040020000}" name="Column571" dataDxfId="15832"/>
    <tableColumn id="577" xr3:uid="{00000000-0010-0000-0300-000041020000}" name="Column572" dataDxfId="15831"/>
    <tableColumn id="578" xr3:uid="{00000000-0010-0000-0300-000042020000}" name="Column573" dataDxfId="15830"/>
    <tableColumn id="579" xr3:uid="{00000000-0010-0000-0300-000043020000}" name="Column574" dataDxfId="15829"/>
    <tableColumn id="580" xr3:uid="{00000000-0010-0000-0300-000044020000}" name="Column575" dataDxfId="15828"/>
    <tableColumn id="581" xr3:uid="{00000000-0010-0000-0300-000045020000}" name="Column576" dataDxfId="15827"/>
    <tableColumn id="582" xr3:uid="{00000000-0010-0000-0300-000046020000}" name="Column577" dataDxfId="15826"/>
    <tableColumn id="583" xr3:uid="{00000000-0010-0000-0300-000047020000}" name="Column578" dataDxfId="15825"/>
    <tableColumn id="584" xr3:uid="{00000000-0010-0000-0300-000048020000}" name="Column579" dataDxfId="15824"/>
    <tableColumn id="585" xr3:uid="{00000000-0010-0000-0300-000049020000}" name="Column580" dataDxfId="15823"/>
    <tableColumn id="586" xr3:uid="{00000000-0010-0000-0300-00004A020000}" name="Column581" dataDxfId="15822"/>
    <tableColumn id="587" xr3:uid="{00000000-0010-0000-0300-00004B020000}" name="Column582" dataDxfId="15821"/>
    <tableColumn id="588" xr3:uid="{00000000-0010-0000-0300-00004C020000}" name="Column583" dataDxfId="15820"/>
    <tableColumn id="589" xr3:uid="{00000000-0010-0000-0300-00004D020000}" name="Column584" dataDxfId="15819"/>
    <tableColumn id="590" xr3:uid="{00000000-0010-0000-0300-00004E020000}" name="Column585" dataDxfId="15818"/>
    <tableColumn id="591" xr3:uid="{00000000-0010-0000-0300-00004F020000}" name="Column586" dataDxfId="15817"/>
    <tableColumn id="592" xr3:uid="{00000000-0010-0000-0300-000050020000}" name="Column587" dataDxfId="15816"/>
    <tableColumn id="593" xr3:uid="{00000000-0010-0000-0300-000051020000}" name="Column588" dataDxfId="15815"/>
    <tableColumn id="594" xr3:uid="{00000000-0010-0000-0300-000052020000}" name="Column589" dataDxfId="15814"/>
    <tableColumn id="595" xr3:uid="{00000000-0010-0000-0300-000053020000}" name="Column590" dataDxfId="15813"/>
    <tableColumn id="596" xr3:uid="{00000000-0010-0000-0300-000054020000}" name="Column591" dataDxfId="15812"/>
    <tableColumn id="597" xr3:uid="{00000000-0010-0000-0300-000055020000}" name="Column592" dataDxfId="15811"/>
    <tableColumn id="598" xr3:uid="{00000000-0010-0000-0300-000056020000}" name="Column593" dataDxfId="15810"/>
    <tableColumn id="599" xr3:uid="{00000000-0010-0000-0300-000057020000}" name="Column594" dataDxfId="15809"/>
    <tableColumn id="600" xr3:uid="{00000000-0010-0000-0300-000058020000}" name="Column595" dataDxfId="15808"/>
    <tableColumn id="601" xr3:uid="{00000000-0010-0000-0300-000059020000}" name="Column596" dataDxfId="15807"/>
    <tableColumn id="602" xr3:uid="{00000000-0010-0000-0300-00005A020000}" name="Column597" dataDxfId="15806"/>
    <tableColumn id="603" xr3:uid="{00000000-0010-0000-0300-00005B020000}" name="Column598" dataDxfId="15805"/>
    <tableColumn id="604" xr3:uid="{00000000-0010-0000-0300-00005C020000}" name="Column599" dataDxfId="15804"/>
    <tableColumn id="605" xr3:uid="{00000000-0010-0000-0300-00005D020000}" name="Column600" dataDxfId="15803"/>
    <tableColumn id="606" xr3:uid="{00000000-0010-0000-0300-00005E020000}" name="Column601" dataDxfId="15802"/>
    <tableColumn id="607" xr3:uid="{00000000-0010-0000-0300-00005F020000}" name="Column602" dataDxfId="15801"/>
    <tableColumn id="608" xr3:uid="{00000000-0010-0000-0300-000060020000}" name="Column603" dataDxfId="15800"/>
    <tableColumn id="609" xr3:uid="{00000000-0010-0000-0300-000061020000}" name="Column604" dataDxfId="15799"/>
    <tableColumn id="610" xr3:uid="{00000000-0010-0000-0300-000062020000}" name="Column605" dataDxfId="15798"/>
    <tableColumn id="611" xr3:uid="{00000000-0010-0000-0300-000063020000}" name="Column606" dataDxfId="15797"/>
    <tableColumn id="612" xr3:uid="{00000000-0010-0000-0300-000064020000}" name="Column607" dataDxfId="15796"/>
    <tableColumn id="613" xr3:uid="{00000000-0010-0000-0300-000065020000}" name="Column608" dataDxfId="15795"/>
    <tableColumn id="614" xr3:uid="{00000000-0010-0000-0300-000066020000}" name="Column609" dataDxfId="15794"/>
    <tableColumn id="615" xr3:uid="{00000000-0010-0000-0300-000067020000}" name="Column610" dataDxfId="15793"/>
    <tableColumn id="616" xr3:uid="{00000000-0010-0000-0300-000068020000}" name="Column611" dataDxfId="15792"/>
    <tableColumn id="617" xr3:uid="{00000000-0010-0000-0300-000069020000}" name="Column612" dataDxfId="15791"/>
    <tableColumn id="618" xr3:uid="{00000000-0010-0000-0300-00006A020000}" name="Column613" dataDxfId="15790"/>
    <tableColumn id="619" xr3:uid="{00000000-0010-0000-0300-00006B020000}" name="Column614" dataDxfId="15789"/>
    <tableColumn id="620" xr3:uid="{00000000-0010-0000-0300-00006C020000}" name="Column615" dataDxfId="15788"/>
    <tableColumn id="621" xr3:uid="{00000000-0010-0000-0300-00006D020000}" name="Column616" dataDxfId="15787"/>
    <tableColumn id="622" xr3:uid="{00000000-0010-0000-0300-00006E020000}" name="Column617" dataDxfId="15786"/>
    <tableColumn id="623" xr3:uid="{00000000-0010-0000-0300-00006F020000}" name="Column618" dataDxfId="15785"/>
    <tableColumn id="624" xr3:uid="{00000000-0010-0000-0300-000070020000}" name="Column619" dataDxfId="15784"/>
    <tableColumn id="625" xr3:uid="{00000000-0010-0000-0300-000071020000}" name="Column620" dataDxfId="15783"/>
    <tableColumn id="626" xr3:uid="{00000000-0010-0000-0300-000072020000}" name="Column621" dataDxfId="15782"/>
    <tableColumn id="627" xr3:uid="{00000000-0010-0000-0300-000073020000}" name="Column622" dataDxfId="15781"/>
    <tableColumn id="628" xr3:uid="{00000000-0010-0000-0300-000074020000}" name="Column623" dataDxfId="15780"/>
    <tableColumn id="629" xr3:uid="{00000000-0010-0000-0300-000075020000}" name="Column624" dataDxfId="15779"/>
    <tableColumn id="630" xr3:uid="{00000000-0010-0000-0300-000076020000}" name="Column625" dataDxfId="15778"/>
    <tableColumn id="631" xr3:uid="{00000000-0010-0000-0300-000077020000}" name="Column626" dataDxfId="15777"/>
    <tableColumn id="632" xr3:uid="{00000000-0010-0000-0300-000078020000}" name="Column627" dataDxfId="15776"/>
    <tableColumn id="633" xr3:uid="{00000000-0010-0000-0300-000079020000}" name="Column628" dataDxfId="15775"/>
    <tableColumn id="634" xr3:uid="{00000000-0010-0000-0300-00007A020000}" name="Column629" dataDxfId="15774"/>
    <tableColumn id="635" xr3:uid="{00000000-0010-0000-0300-00007B020000}" name="Column630" dataDxfId="15773"/>
    <tableColumn id="636" xr3:uid="{00000000-0010-0000-0300-00007C020000}" name="Column631" dataDxfId="15772"/>
    <tableColumn id="637" xr3:uid="{00000000-0010-0000-0300-00007D020000}" name="Column632" dataDxfId="15771"/>
    <tableColumn id="638" xr3:uid="{00000000-0010-0000-0300-00007E020000}" name="Column633" dataDxfId="15770"/>
    <tableColumn id="639" xr3:uid="{00000000-0010-0000-0300-00007F020000}" name="Column634" dataDxfId="15769"/>
    <tableColumn id="640" xr3:uid="{00000000-0010-0000-0300-000080020000}" name="Column635" dataDxfId="15768"/>
    <tableColumn id="641" xr3:uid="{00000000-0010-0000-0300-000081020000}" name="Column636" dataDxfId="15767"/>
    <tableColumn id="642" xr3:uid="{00000000-0010-0000-0300-000082020000}" name="Column637" dataDxfId="15766"/>
    <tableColumn id="643" xr3:uid="{00000000-0010-0000-0300-000083020000}" name="Column638" dataDxfId="15765"/>
    <tableColumn id="644" xr3:uid="{00000000-0010-0000-0300-000084020000}" name="Column639" dataDxfId="15764"/>
    <tableColumn id="645" xr3:uid="{00000000-0010-0000-0300-000085020000}" name="Column640" dataDxfId="15763"/>
    <tableColumn id="646" xr3:uid="{00000000-0010-0000-0300-000086020000}" name="Column641" dataDxfId="15762"/>
    <tableColumn id="647" xr3:uid="{00000000-0010-0000-0300-000087020000}" name="Column642" dataDxfId="15761"/>
    <tableColumn id="648" xr3:uid="{00000000-0010-0000-0300-000088020000}" name="Column643" dataDxfId="15760"/>
    <tableColumn id="649" xr3:uid="{00000000-0010-0000-0300-000089020000}" name="Column644" dataDxfId="15759"/>
    <tableColumn id="650" xr3:uid="{00000000-0010-0000-0300-00008A020000}" name="Column645" dataDxfId="15758"/>
    <tableColumn id="651" xr3:uid="{00000000-0010-0000-0300-00008B020000}" name="Column646" dataDxfId="15757"/>
    <tableColumn id="652" xr3:uid="{00000000-0010-0000-0300-00008C020000}" name="Column647" dataDxfId="15756"/>
    <tableColumn id="653" xr3:uid="{00000000-0010-0000-0300-00008D020000}" name="Column648" dataDxfId="15755"/>
    <tableColumn id="654" xr3:uid="{00000000-0010-0000-0300-00008E020000}" name="Column649" dataDxfId="15754"/>
    <tableColumn id="655" xr3:uid="{00000000-0010-0000-0300-00008F020000}" name="Column650" dataDxfId="15753"/>
    <tableColumn id="656" xr3:uid="{00000000-0010-0000-0300-000090020000}" name="Column651" dataDxfId="15752"/>
    <tableColumn id="657" xr3:uid="{00000000-0010-0000-0300-000091020000}" name="Column652" dataDxfId="15751"/>
    <tableColumn id="658" xr3:uid="{00000000-0010-0000-0300-000092020000}" name="Column653" dataDxfId="15750"/>
    <tableColumn id="659" xr3:uid="{00000000-0010-0000-0300-000093020000}" name="Column654" dataDxfId="15749"/>
    <tableColumn id="660" xr3:uid="{00000000-0010-0000-0300-000094020000}" name="Column655" dataDxfId="15748"/>
    <tableColumn id="661" xr3:uid="{00000000-0010-0000-0300-000095020000}" name="Column656" dataDxfId="15747"/>
    <tableColumn id="662" xr3:uid="{00000000-0010-0000-0300-000096020000}" name="Column657" dataDxfId="15746"/>
    <tableColumn id="663" xr3:uid="{00000000-0010-0000-0300-000097020000}" name="Column658" dataDxfId="15745"/>
    <tableColumn id="664" xr3:uid="{00000000-0010-0000-0300-000098020000}" name="Column659" dataDxfId="15744"/>
    <tableColumn id="665" xr3:uid="{00000000-0010-0000-0300-000099020000}" name="Column660" dataDxfId="15743"/>
    <tableColumn id="666" xr3:uid="{00000000-0010-0000-0300-00009A020000}" name="Column661" dataDxfId="15742"/>
    <tableColumn id="667" xr3:uid="{00000000-0010-0000-0300-00009B020000}" name="Column662" dataDxfId="15741"/>
    <tableColumn id="668" xr3:uid="{00000000-0010-0000-0300-00009C020000}" name="Column663" dataDxfId="15740"/>
    <tableColumn id="669" xr3:uid="{00000000-0010-0000-0300-00009D020000}" name="Column664" dataDxfId="15739"/>
    <tableColumn id="670" xr3:uid="{00000000-0010-0000-0300-00009E020000}" name="Column665" dataDxfId="15738"/>
    <tableColumn id="671" xr3:uid="{00000000-0010-0000-0300-00009F020000}" name="Column666" dataDxfId="15737"/>
    <tableColumn id="672" xr3:uid="{00000000-0010-0000-0300-0000A0020000}" name="Column667" dataDxfId="15736"/>
    <tableColumn id="673" xr3:uid="{00000000-0010-0000-0300-0000A1020000}" name="Column668" dataDxfId="15735"/>
    <tableColumn id="674" xr3:uid="{00000000-0010-0000-0300-0000A2020000}" name="Column669" dataDxfId="15734"/>
    <tableColumn id="675" xr3:uid="{00000000-0010-0000-0300-0000A3020000}" name="Column670" dataDxfId="15733"/>
    <tableColumn id="676" xr3:uid="{00000000-0010-0000-0300-0000A4020000}" name="Column671" dataDxfId="15732"/>
    <tableColumn id="677" xr3:uid="{00000000-0010-0000-0300-0000A5020000}" name="Column672" dataDxfId="15731"/>
    <tableColumn id="678" xr3:uid="{00000000-0010-0000-0300-0000A6020000}" name="Column673" dataDxfId="15730"/>
    <tableColumn id="679" xr3:uid="{00000000-0010-0000-0300-0000A7020000}" name="Column674" dataDxfId="15729"/>
    <tableColumn id="680" xr3:uid="{00000000-0010-0000-0300-0000A8020000}" name="Column675" dataDxfId="15728"/>
    <tableColumn id="681" xr3:uid="{00000000-0010-0000-0300-0000A9020000}" name="Column676" dataDxfId="15727"/>
    <tableColumn id="682" xr3:uid="{00000000-0010-0000-0300-0000AA020000}" name="Column677" dataDxfId="15726"/>
    <tableColumn id="683" xr3:uid="{00000000-0010-0000-0300-0000AB020000}" name="Column678" dataDxfId="15725"/>
    <tableColumn id="684" xr3:uid="{00000000-0010-0000-0300-0000AC020000}" name="Column679" dataDxfId="15724"/>
    <tableColumn id="685" xr3:uid="{00000000-0010-0000-0300-0000AD020000}" name="Column680" dataDxfId="15723"/>
    <tableColumn id="686" xr3:uid="{00000000-0010-0000-0300-0000AE020000}" name="Column681" dataDxfId="15722"/>
    <tableColumn id="687" xr3:uid="{00000000-0010-0000-0300-0000AF020000}" name="Column682" dataDxfId="15721"/>
    <tableColumn id="688" xr3:uid="{00000000-0010-0000-0300-0000B0020000}" name="Column683" dataDxfId="15720"/>
    <tableColumn id="689" xr3:uid="{00000000-0010-0000-0300-0000B1020000}" name="Column684" dataDxfId="15719"/>
    <tableColumn id="690" xr3:uid="{00000000-0010-0000-0300-0000B2020000}" name="Column685" dataDxfId="15718"/>
    <tableColumn id="691" xr3:uid="{00000000-0010-0000-0300-0000B3020000}" name="Column686" dataDxfId="15717"/>
    <tableColumn id="692" xr3:uid="{00000000-0010-0000-0300-0000B4020000}" name="Column687" dataDxfId="15716"/>
    <tableColumn id="693" xr3:uid="{00000000-0010-0000-0300-0000B5020000}" name="Column688" dataDxfId="15715"/>
    <tableColumn id="694" xr3:uid="{00000000-0010-0000-0300-0000B6020000}" name="Column689" dataDxfId="15714"/>
    <tableColumn id="695" xr3:uid="{00000000-0010-0000-0300-0000B7020000}" name="Column690" dataDxfId="15713"/>
    <tableColumn id="696" xr3:uid="{00000000-0010-0000-0300-0000B8020000}" name="Column691" dataDxfId="15712"/>
    <tableColumn id="697" xr3:uid="{00000000-0010-0000-0300-0000B9020000}" name="Column692" dataDxfId="15711"/>
    <tableColumn id="698" xr3:uid="{00000000-0010-0000-0300-0000BA020000}" name="Column693" dataDxfId="15710"/>
    <tableColumn id="699" xr3:uid="{00000000-0010-0000-0300-0000BB020000}" name="Column694" dataDxfId="15709"/>
    <tableColumn id="700" xr3:uid="{00000000-0010-0000-0300-0000BC020000}" name="Column695" dataDxfId="15708"/>
    <tableColumn id="701" xr3:uid="{00000000-0010-0000-0300-0000BD020000}" name="Column696" dataDxfId="15707"/>
    <tableColumn id="702" xr3:uid="{00000000-0010-0000-0300-0000BE020000}" name="Column697" dataDxfId="15706"/>
    <tableColumn id="703" xr3:uid="{00000000-0010-0000-0300-0000BF020000}" name="Column698" dataDxfId="15705"/>
    <tableColumn id="704" xr3:uid="{00000000-0010-0000-0300-0000C0020000}" name="Column699" dataDxfId="15704"/>
    <tableColumn id="705" xr3:uid="{00000000-0010-0000-0300-0000C1020000}" name="Column700" dataDxfId="15703"/>
    <tableColumn id="706" xr3:uid="{00000000-0010-0000-0300-0000C2020000}" name="Column701" dataDxfId="15702"/>
    <tableColumn id="707" xr3:uid="{00000000-0010-0000-0300-0000C3020000}" name="Column702" dataDxfId="15701"/>
    <tableColumn id="708" xr3:uid="{00000000-0010-0000-0300-0000C4020000}" name="Column703" dataDxfId="15700"/>
    <tableColumn id="709" xr3:uid="{00000000-0010-0000-0300-0000C5020000}" name="Column704" dataDxfId="15699"/>
    <tableColumn id="710" xr3:uid="{00000000-0010-0000-0300-0000C6020000}" name="Column705" dataDxfId="15698"/>
    <tableColumn id="711" xr3:uid="{00000000-0010-0000-0300-0000C7020000}" name="Column706" dataDxfId="15697"/>
    <tableColumn id="712" xr3:uid="{00000000-0010-0000-0300-0000C8020000}" name="Column707" dataDxfId="15696"/>
    <tableColumn id="713" xr3:uid="{00000000-0010-0000-0300-0000C9020000}" name="Column708" dataDxfId="15695"/>
    <tableColumn id="714" xr3:uid="{00000000-0010-0000-0300-0000CA020000}" name="Column709" dataDxfId="15694"/>
    <tableColumn id="715" xr3:uid="{00000000-0010-0000-0300-0000CB020000}" name="Column710" dataDxfId="15693"/>
    <tableColumn id="716" xr3:uid="{00000000-0010-0000-0300-0000CC020000}" name="Column711" dataDxfId="15692"/>
    <tableColumn id="717" xr3:uid="{00000000-0010-0000-0300-0000CD020000}" name="Column712" dataDxfId="15691"/>
    <tableColumn id="718" xr3:uid="{00000000-0010-0000-0300-0000CE020000}" name="Column713" dataDxfId="15690"/>
    <tableColumn id="719" xr3:uid="{00000000-0010-0000-0300-0000CF020000}" name="Column714" dataDxfId="15689"/>
    <tableColumn id="720" xr3:uid="{00000000-0010-0000-0300-0000D0020000}" name="Column715" dataDxfId="15688"/>
    <tableColumn id="721" xr3:uid="{00000000-0010-0000-0300-0000D1020000}" name="Column716" dataDxfId="15687"/>
    <tableColumn id="722" xr3:uid="{00000000-0010-0000-0300-0000D2020000}" name="Column717" dataDxfId="15686"/>
    <tableColumn id="723" xr3:uid="{00000000-0010-0000-0300-0000D3020000}" name="Column718" dataDxfId="15685"/>
    <tableColumn id="724" xr3:uid="{00000000-0010-0000-0300-0000D4020000}" name="Column719" dataDxfId="15684"/>
    <tableColumn id="725" xr3:uid="{00000000-0010-0000-0300-0000D5020000}" name="Column720" dataDxfId="15683"/>
    <tableColumn id="726" xr3:uid="{00000000-0010-0000-0300-0000D6020000}" name="Column721" dataDxfId="15682"/>
    <tableColumn id="727" xr3:uid="{00000000-0010-0000-0300-0000D7020000}" name="Column722" dataDxfId="15681"/>
    <tableColumn id="728" xr3:uid="{00000000-0010-0000-0300-0000D8020000}" name="Column723" dataDxfId="15680"/>
    <tableColumn id="729" xr3:uid="{00000000-0010-0000-0300-0000D9020000}" name="Column724" dataDxfId="15679"/>
    <tableColumn id="730" xr3:uid="{00000000-0010-0000-0300-0000DA020000}" name="Column725" dataDxfId="15678"/>
    <tableColumn id="731" xr3:uid="{00000000-0010-0000-0300-0000DB020000}" name="Column726" dataDxfId="15677"/>
    <tableColumn id="732" xr3:uid="{00000000-0010-0000-0300-0000DC020000}" name="Column727" dataDxfId="15676"/>
    <tableColumn id="733" xr3:uid="{00000000-0010-0000-0300-0000DD020000}" name="Column728" dataDxfId="15675"/>
    <tableColumn id="734" xr3:uid="{00000000-0010-0000-0300-0000DE020000}" name="Column729" dataDxfId="15674"/>
    <tableColumn id="735" xr3:uid="{00000000-0010-0000-0300-0000DF020000}" name="Column730" dataDxfId="15673"/>
    <tableColumn id="736" xr3:uid="{00000000-0010-0000-0300-0000E0020000}" name="Column731" dataDxfId="15672"/>
    <tableColumn id="737" xr3:uid="{00000000-0010-0000-0300-0000E1020000}" name="Column732" dataDxfId="15671"/>
    <tableColumn id="738" xr3:uid="{00000000-0010-0000-0300-0000E2020000}" name="Column733" dataDxfId="15670"/>
    <tableColumn id="739" xr3:uid="{00000000-0010-0000-0300-0000E3020000}" name="Column734" dataDxfId="15669"/>
    <tableColumn id="740" xr3:uid="{00000000-0010-0000-0300-0000E4020000}" name="Column735" dataDxfId="15668"/>
    <tableColumn id="741" xr3:uid="{00000000-0010-0000-0300-0000E5020000}" name="Column736" dataDxfId="15667"/>
    <tableColumn id="742" xr3:uid="{00000000-0010-0000-0300-0000E6020000}" name="Column737" dataDxfId="15666"/>
    <tableColumn id="743" xr3:uid="{00000000-0010-0000-0300-0000E7020000}" name="Column738" dataDxfId="15665"/>
    <tableColumn id="744" xr3:uid="{00000000-0010-0000-0300-0000E8020000}" name="Column739" dataDxfId="15664"/>
    <tableColumn id="745" xr3:uid="{00000000-0010-0000-0300-0000E9020000}" name="Column740" dataDxfId="15663"/>
    <tableColumn id="746" xr3:uid="{00000000-0010-0000-0300-0000EA020000}" name="Column741" dataDxfId="15662"/>
    <tableColumn id="747" xr3:uid="{00000000-0010-0000-0300-0000EB020000}" name="Column742" dataDxfId="15661"/>
    <tableColumn id="748" xr3:uid="{00000000-0010-0000-0300-0000EC020000}" name="Column743" dataDxfId="15660"/>
    <tableColumn id="749" xr3:uid="{00000000-0010-0000-0300-0000ED020000}" name="Column744" dataDxfId="15659"/>
    <tableColumn id="750" xr3:uid="{00000000-0010-0000-0300-0000EE020000}" name="Column745" dataDxfId="15658"/>
    <tableColumn id="751" xr3:uid="{00000000-0010-0000-0300-0000EF020000}" name="Column746" dataDxfId="15657"/>
    <tableColumn id="752" xr3:uid="{00000000-0010-0000-0300-0000F0020000}" name="Column747" dataDxfId="15656"/>
    <tableColumn id="753" xr3:uid="{00000000-0010-0000-0300-0000F1020000}" name="Column748" dataDxfId="15655"/>
    <tableColumn id="754" xr3:uid="{00000000-0010-0000-0300-0000F2020000}" name="Column749" dataDxfId="15654"/>
    <tableColumn id="755" xr3:uid="{00000000-0010-0000-0300-0000F3020000}" name="Column750" dataDxfId="15653"/>
    <tableColumn id="756" xr3:uid="{00000000-0010-0000-0300-0000F4020000}" name="Column751" dataDxfId="15652"/>
    <tableColumn id="757" xr3:uid="{00000000-0010-0000-0300-0000F5020000}" name="Column752" dataDxfId="15651"/>
    <tableColumn id="758" xr3:uid="{00000000-0010-0000-0300-0000F6020000}" name="Column753" dataDxfId="15650"/>
    <tableColumn id="759" xr3:uid="{00000000-0010-0000-0300-0000F7020000}" name="Column754" dataDxfId="15649"/>
    <tableColumn id="760" xr3:uid="{00000000-0010-0000-0300-0000F8020000}" name="Column755" dataDxfId="15648"/>
    <tableColumn id="761" xr3:uid="{00000000-0010-0000-0300-0000F9020000}" name="Column756" dataDxfId="15647"/>
    <tableColumn id="762" xr3:uid="{00000000-0010-0000-0300-0000FA020000}" name="Column757" dataDxfId="15646"/>
    <tableColumn id="763" xr3:uid="{00000000-0010-0000-0300-0000FB020000}" name="Column758" dataDxfId="15645"/>
    <tableColumn id="764" xr3:uid="{00000000-0010-0000-0300-0000FC020000}" name="Column759" dataDxfId="15644"/>
    <tableColumn id="765" xr3:uid="{00000000-0010-0000-0300-0000FD020000}" name="Column760" dataDxfId="15643"/>
    <tableColumn id="766" xr3:uid="{00000000-0010-0000-0300-0000FE020000}" name="Column761" dataDxfId="15642"/>
    <tableColumn id="767" xr3:uid="{00000000-0010-0000-0300-0000FF020000}" name="Column762" dataDxfId="15641"/>
    <tableColumn id="768" xr3:uid="{00000000-0010-0000-0300-000000030000}" name="Column763" dataDxfId="15640"/>
    <tableColumn id="769" xr3:uid="{00000000-0010-0000-0300-000001030000}" name="Column764" dataDxfId="15639"/>
    <tableColumn id="770" xr3:uid="{00000000-0010-0000-0300-000002030000}" name="Column765" dataDxfId="15638"/>
    <tableColumn id="771" xr3:uid="{00000000-0010-0000-0300-000003030000}" name="Column766" dataDxfId="15637"/>
    <tableColumn id="772" xr3:uid="{00000000-0010-0000-0300-000004030000}" name="Column767" dataDxfId="15636"/>
    <tableColumn id="773" xr3:uid="{00000000-0010-0000-0300-000005030000}" name="Column768" dataDxfId="15635"/>
    <tableColumn id="774" xr3:uid="{00000000-0010-0000-0300-000006030000}" name="Column769" dataDxfId="15634"/>
    <tableColumn id="775" xr3:uid="{00000000-0010-0000-0300-000007030000}" name="Column770" dataDxfId="15633"/>
    <tableColumn id="776" xr3:uid="{00000000-0010-0000-0300-000008030000}" name="Column771" dataDxfId="15632"/>
    <tableColumn id="777" xr3:uid="{00000000-0010-0000-0300-000009030000}" name="Column772" dataDxfId="15631"/>
    <tableColumn id="778" xr3:uid="{00000000-0010-0000-0300-00000A030000}" name="Column773" dataDxfId="15630"/>
    <tableColumn id="779" xr3:uid="{00000000-0010-0000-0300-00000B030000}" name="Column774" dataDxfId="15629"/>
    <tableColumn id="780" xr3:uid="{00000000-0010-0000-0300-00000C030000}" name="Column775" dataDxfId="15628"/>
    <tableColumn id="781" xr3:uid="{00000000-0010-0000-0300-00000D030000}" name="Column776" dataDxfId="15627"/>
    <tableColumn id="782" xr3:uid="{00000000-0010-0000-0300-00000E030000}" name="Column777" dataDxfId="15626"/>
    <tableColumn id="783" xr3:uid="{00000000-0010-0000-0300-00000F030000}" name="Column778" dataDxfId="15625"/>
    <tableColumn id="784" xr3:uid="{00000000-0010-0000-0300-000010030000}" name="Column779" dataDxfId="15624"/>
    <tableColumn id="785" xr3:uid="{00000000-0010-0000-0300-000011030000}" name="Column780" dataDxfId="15623"/>
    <tableColumn id="786" xr3:uid="{00000000-0010-0000-0300-000012030000}" name="Column781" dataDxfId="15622"/>
    <tableColumn id="787" xr3:uid="{00000000-0010-0000-0300-000013030000}" name="Column782" dataDxfId="15621"/>
    <tableColumn id="788" xr3:uid="{00000000-0010-0000-0300-000014030000}" name="Column783" dataDxfId="15620"/>
    <tableColumn id="789" xr3:uid="{00000000-0010-0000-0300-000015030000}" name="Column784" dataDxfId="15619"/>
    <tableColumn id="790" xr3:uid="{00000000-0010-0000-0300-000016030000}" name="Column785" dataDxfId="15618"/>
    <tableColumn id="791" xr3:uid="{00000000-0010-0000-0300-000017030000}" name="Column786" dataDxfId="15617"/>
    <tableColumn id="792" xr3:uid="{00000000-0010-0000-0300-000018030000}" name="Column787" dataDxfId="15616"/>
    <tableColumn id="793" xr3:uid="{00000000-0010-0000-0300-000019030000}" name="Column788" dataDxfId="15615"/>
    <tableColumn id="794" xr3:uid="{00000000-0010-0000-0300-00001A030000}" name="Column789" dataDxfId="15614"/>
    <tableColumn id="795" xr3:uid="{00000000-0010-0000-0300-00001B030000}" name="Column790" dataDxfId="15613"/>
    <tableColumn id="796" xr3:uid="{00000000-0010-0000-0300-00001C030000}" name="Column791" dataDxfId="15612"/>
    <tableColumn id="797" xr3:uid="{00000000-0010-0000-0300-00001D030000}" name="Column792" dataDxfId="15611"/>
    <tableColumn id="798" xr3:uid="{00000000-0010-0000-0300-00001E030000}" name="Column793" dataDxfId="15610"/>
    <tableColumn id="799" xr3:uid="{00000000-0010-0000-0300-00001F030000}" name="Column794" dataDxfId="15609"/>
    <tableColumn id="800" xr3:uid="{00000000-0010-0000-0300-000020030000}" name="Column795" dataDxfId="15608"/>
    <tableColumn id="801" xr3:uid="{00000000-0010-0000-0300-000021030000}" name="Column796" dataDxfId="15607"/>
    <tableColumn id="802" xr3:uid="{00000000-0010-0000-0300-000022030000}" name="Column797" dataDxfId="15606"/>
    <tableColumn id="803" xr3:uid="{00000000-0010-0000-0300-000023030000}" name="Column798" dataDxfId="15605"/>
    <tableColumn id="804" xr3:uid="{00000000-0010-0000-0300-000024030000}" name="Column799" dataDxfId="15604"/>
    <tableColumn id="805" xr3:uid="{00000000-0010-0000-0300-000025030000}" name="Column800" dataDxfId="15603"/>
    <tableColumn id="806" xr3:uid="{00000000-0010-0000-0300-000026030000}" name="Column801" dataDxfId="15602"/>
    <tableColumn id="807" xr3:uid="{00000000-0010-0000-0300-000027030000}" name="Column802" dataDxfId="15601"/>
    <tableColumn id="808" xr3:uid="{00000000-0010-0000-0300-000028030000}" name="Column803" dataDxfId="15600"/>
    <tableColumn id="809" xr3:uid="{00000000-0010-0000-0300-000029030000}" name="Column804" dataDxfId="15599"/>
    <tableColumn id="810" xr3:uid="{00000000-0010-0000-0300-00002A030000}" name="Column805" dataDxfId="15598"/>
    <tableColumn id="811" xr3:uid="{00000000-0010-0000-0300-00002B030000}" name="Column806" dataDxfId="15597"/>
    <tableColumn id="812" xr3:uid="{00000000-0010-0000-0300-00002C030000}" name="Column807" dataDxfId="15596"/>
    <tableColumn id="813" xr3:uid="{00000000-0010-0000-0300-00002D030000}" name="Column808" dataDxfId="15595"/>
    <tableColumn id="814" xr3:uid="{00000000-0010-0000-0300-00002E030000}" name="Column809" dataDxfId="15594"/>
    <tableColumn id="815" xr3:uid="{00000000-0010-0000-0300-00002F030000}" name="Column810" dataDxfId="15593"/>
    <tableColumn id="816" xr3:uid="{00000000-0010-0000-0300-000030030000}" name="Column811" dataDxfId="15592"/>
    <tableColumn id="817" xr3:uid="{00000000-0010-0000-0300-000031030000}" name="Column812" dataDxfId="15591"/>
    <tableColumn id="818" xr3:uid="{00000000-0010-0000-0300-000032030000}" name="Column813" dataDxfId="15590"/>
    <tableColumn id="819" xr3:uid="{00000000-0010-0000-0300-000033030000}" name="Column814" dataDxfId="15589"/>
    <tableColumn id="820" xr3:uid="{00000000-0010-0000-0300-000034030000}" name="Column815" dataDxfId="15588"/>
    <tableColumn id="821" xr3:uid="{00000000-0010-0000-0300-000035030000}" name="Column816" dataDxfId="15587"/>
    <tableColumn id="822" xr3:uid="{00000000-0010-0000-0300-000036030000}" name="Column817" dataDxfId="15586"/>
    <tableColumn id="823" xr3:uid="{00000000-0010-0000-0300-000037030000}" name="Column818" dataDxfId="15585"/>
    <tableColumn id="824" xr3:uid="{00000000-0010-0000-0300-000038030000}" name="Column819" dataDxfId="15584"/>
    <tableColumn id="825" xr3:uid="{00000000-0010-0000-0300-000039030000}" name="Column820" dataDxfId="15583"/>
    <tableColumn id="826" xr3:uid="{00000000-0010-0000-0300-00003A030000}" name="Column821" dataDxfId="15582"/>
    <tableColumn id="827" xr3:uid="{00000000-0010-0000-0300-00003B030000}" name="Column822" dataDxfId="15581"/>
    <tableColumn id="828" xr3:uid="{00000000-0010-0000-0300-00003C030000}" name="Column823" dataDxfId="15580"/>
    <tableColumn id="829" xr3:uid="{00000000-0010-0000-0300-00003D030000}" name="Column824" dataDxfId="15579"/>
    <tableColumn id="830" xr3:uid="{00000000-0010-0000-0300-00003E030000}" name="Column825" dataDxfId="15578"/>
    <tableColumn id="831" xr3:uid="{00000000-0010-0000-0300-00003F030000}" name="Column826" dataDxfId="15577"/>
    <tableColumn id="832" xr3:uid="{00000000-0010-0000-0300-000040030000}" name="Column827" dataDxfId="15576"/>
    <tableColumn id="833" xr3:uid="{00000000-0010-0000-0300-000041030000}" name="Column828" dataDxfId="15575"/>
    <tableColumn id="834" xr3:uid="{00000000-0010-0000-0300-000042030000}" name="Column829" dataDxfId="15574"/>
    <tableColumn id="835" xr3:uid="{00000000-0010-0000-0300-000043030000}" name="Column830" dataDxfId="15573"/>
    <tableColumn id="836" xr3:uid="{00000000-0010-0000-0300-000044030000}" name="Column831" dataDxfId="15572"/>
    <tableColumn id="837" xr3:uid="{00000000-0010-0000-0300-000045030000}" name="Column832" dataDxfId="15571"/>
    <tableColumn id="838" xr3:uid="{00000000-0010-0000-0300-000046030000}" name="Column833" dataDxfId="15570"/>
    <tableColumn id="839" xr3:uid="{00000000-0010-0000-0300-000047030000}" name="Column834" dataDxfId="15569"/>
    <tableColumn id="840" xr3:uid="{00000000-0010-0000-0300-000048030000}" name="Column835" dataDxfId="15568"/>
    <tableColumn id="841" xr3:uid="{00000000-0010-0000-0300-000049030000}" name="Column836" dataDxfId="15567"/>
    <tableColumn id="842" xr3:uid="{00000000-0010-0000-0300-00004A030000}" name="Column837" dataDxfId="15566"/>
    <tableColumn id="843" xr3:uid="{00000000-0010-0000-0300-00004B030000}" name="Column838" dataDxfId="15565"/>
    <tableColumn id="844" xr3:uid="{00000000-0010-0000-0300-00004C030000}" name="Column839" dataDxfId="15564"/>
    <tableColumn id="845" xr3:uid="{00000000-0010-0000-0300-00004D030000}" name="Column840" dataDxfId="15563"/>
    <tableColumn id="846" xr3:uid="{00000000-0010-0000-0300-00004E030000}" name="Column841" dataDxfId="15562"/>
    <tableColumn id="847" xr3:uid="{00000000-0010-0000-0300-00004F030000}" name="Column842" dataDxfId="15561"/>
    <tableColumn id="848" xr3:uid="{00000000-0010-0000-0300-000050030000}" name="Column843" dataDxfId="15560"/>
    <tableColumn id="849" xr3:uid="{00000000-0010-0000-0300-000051030000}" name="Column844" dataDxfId="15559"/>
    <tableColumn id="850" xr3:uid="{00000000-0010-0000-0300-000052030000}" name="Column845" dataDxfId="15558"/>
    <tableColumn id="851" xr3:uid="{00000000-0010-0000-0300-000053030000}" name="Column846" dataDxfId="15557"/>
    <tableColumn id="852" xr3:uid="{00000000-0010-0000-0300-000054030000}" name="Column847" dataDxfId="15556"/>
    <tableColumn id="853" xr3:uid="{00000000-0010-0000-0300-000055030000}" name="Column848" dataDxfId="15555"/>
    <tableColumn id="854" xr3:uid="{00000000-0010-0000-0300-000056030000}" name="Column849" dataDxfId="15554"/>
    <tableColumn id="855" xr3:uid="{00000000-0010-0000-0300-000057030000}" name="Column850" dataDxfId="15553"/>
    <tableColumn id="856" xr3:uid="{00000000-0010-0000-0300-000058030000}" name="Column851" dataDxfId="15552"/>
    <tableColumn id="857" xr3:uid="{00000000-0010-0000-0300-000059030000}" name="Column852" dataDxfId="15551"/>
    <tableColumn id="858" xr3:uid="{00000000-0010-0000-0300-00005A030000}" name="Column853" dataDxfId="15550"/>
    <tableColumn id="859" xr3:uid="{00000000-0010-0000-0300-00005B030000}" name="Column854" dataDxfId="15549"/>
    <tableColumn id="860" xr3:uid="{00000000-0010-0000-0300-00005C030000}" name="Column855" dataDxfId="15548"/>
    <tableColumn id="861" xr3:uid="{00000000-0010-0000-0300-00005D030000}" name="Column856" dataDxfId="15547"/>
    <tableColumn id="862" xr3:uid="{00000000-0010-0000-0300-00005E030000}" name="Column857" dataDxfId="15546"/>
    <tableColumn id="863" xr3:uid="{00000000-0010-0000-0300-00005F030000}" name="Column858" dataDxfId="15545"/>
    <tableColumn id="864" xr3:uid="{00000000-0010-0000-0300-000060030000}" name="Column859" dataDxfId="15544"/>
    <tableColumn id="865" xr3:uid="{00000000-0010-0000-0300-000061030000}" name="Column860" dataDxfId="15543"/>
    <tableColumn id="866" xr3:uid="{00000000-0010-0000-0300-000062030000}" name="Column861" dataDxfId="15542"/>
    <tableColumn id="867" xr3:uid="{00000000-0010-0000-0300-000063030000}" name="Column862" dataDxfId="15541"/>
    <tableColumn id="868" xr3:uid="{00000000-0010-0000-0300-000064030000}" name="Column863" dataDxfId="15540"/>
    <tableColumn id="869" xr3:uid="{00000000-0010-0000-0300-000065030000}" name="Column864" dataDxfId="15539"/>
    <tableColumn id="870" xr3:uid="{00000000-0010-0000-0300-000066030000}" name="Column865" dataDxfId="15538"/>
    <tableColumn id="871" xr3:uid="{00000000-0010-0000-0300-000067030000}" name="Column866" dataDxfId="15537"/>
    <tableColumn id="872" xr3:uid="{00000000-0010-0000-0300-000068030000}" name="Column867" dataDxfId="15536"/>
    <tableColumn id="873" xr3:uid="{00000000-0010-0000-0300-000069030000}" name="Column868" dataDxfId="15535"/>
    <tableColumn id="874" xr3:uid="{00000000-0010-0000-0300-00006A030000}" name="Column869" dataDxfId="15534"/>
    <tableColumn id="875" xr3:uid="{00000000-0010-0000-0300-00006B030000}" name="Column870" dataDxfId="15533"/>
    <tableColumn id="876" xr3:uid="{00000000-0010-0000-0300-00006C030000}" name="Column871" dataDxfId="15532"/>
    <tableColumn id="877" xr3:uid="{00000000-0010-0000-0300-00006D030000}" name="Column872" dataDxfId="15531"/>
    <tableColumn id="878" xr3:uid="{00000000-0010-0000-0300-00006E030000}" name="Column873" dataDxfId="15530"/>
    <tableColumn id="879" xr3:uid="{00000000-0010-0000-0300-00006F030000}" name="Column874" dataDxfId="15529"/>
    <tableColumn id="880" xr3:uid="{00000000-0010-0000-0300-000070030000}" name="Column875" dataDxfId="15528"/>
    <tableColumn id="881" xr3:uid="{00000000-0010-0000-0300-000071030000}" name="Column876" dataDxfId="15527"/>
    <tableColumn id="882" xr3:uid="{00000000-0010-0000-0300-000072030000}" name="Column877" dataDxfId="15526"/>
    <tableColumn id="883" xr3:uid="{00000000-0010-0000-0300-000073030000}" name="Column878" dataDxfId="15525"/>
    <tableColumn id="884" xr3:uid="{00000000-0010-0000-0300-000074030000}" name="Column879" dataDxfId="15524"/>
    <tableColumn id="885" xr3:uid="{00000000-0010-0000-0300-000075030000}" name="Column880" dataDxfId="15523"/>
    <tableColumn id="886" xr3:uid="{00000000-0010-0000-0300-000076030000}" name="Column881" dataDxfId="15522"/>
    <tableColumn id="887" xr3:uid="{00000000-0010-0000-0300-000077030000}" name="Column882" dataDxfId="15521"/>
    <tableColumn id="888" xr3:uid="{00000000-0010-0000-0300-000078030000}" name="Column883" dataDxfId="15520"/>
    <tableColumn id="889" xr3:uid="{00000000-0010-0000-0300-000079030000}" name="Column884" dataDxfId="15519"/>
    <tableColumn id="890" xr3:uid="{00000000-0010-0000-0300-00007A030000}" name="Column885" dataDxfId="15518"/>
    <tableColumn id="891" xr3:uid="{00000000-0010-0000-0300-00007B030000}" name="Column886" dataDxfId="15517"/>
    <tableColumn id="892" xr3:uid="{00000000-0010-0000-0300-00007C030000}" name="Column887" dataDxfId="15516"/>
    <tableColumn id="893" xr3:uid="{00000000-0010-0000-0300-00007D030000}" name="Column888" dataDxfId="15515"/>
    <tableColumn id="894" xr3:uid="{00000000-0010-0000-0300-00007E030000}" name="Column889" dataDxfId="15514"/>
    <tableColumn id="895" xr3:uid="{00000000-0010-0000-0300-00007F030000}" name="Column890" dataDxfId="15513"/>
    <tableColumn id="896" xr3:uid="{00000000-0010-0000-0300-000080030000}" name="Column891" dataDxfId="15512"/>
    <tableColumn id="897" xr3:uid="{00000000-0010-0000-0300-000081030000}" name="Column892" dataDxfId="15511"/>
    <tableColumn id="898" xr3:uid="{00000000-0010-0000-0300-000082030000}" name="Column893" dataDxfId="15510"/>
    <tableColumn id="899" xr3:uid="{00000000-0010-0000-0300-000083030000}" name="Column894" dataDxfId="15509"/>
    <tableColumn id="900" xr3:uid="{00000000-0010-0000-0300-000084030000}" name="Column895" dataDxfId="15508"/>
    <tableColumn id="901" xr3:uid="{00000000-0010-0000-0300-000085030000}" name="Column896" dataDxfId="15507"/>
    <tableColumn id="902" xr3:uid="{00000000-0010-0000-0300-000086030000}" name="Column897" dataDxfId="15506"/>
    <tableColumn id="903" xr3:uid="{00000000-0010-0000-0300-000087030000}" name="Column898" dataDxfId="15505"/>
    <tableColumn id="904" xr3:uid="{00000000-0010-0000-0300-000088030000}" name="Column899" dataDxfId="15504"/>
    <tableColumn id="905" xr3:uid="{00000000-0010-0000-0300-000089030000}" name="Column900" dataDxfId="15503"/>
    <tableColumn id="906" xr3:uid="{00000000-0010-0000-0300-00008A030000}" name="Column901" dataDxfId="15502"/>
    <tableColumn id="907" xr3:uid="{00000000-0010-0000-0300-00008B030000}" name="Column902" dataDxfId="15501"/>
    <tableColumn id="908" xr3:uid="{00000000-0010-0000-0300-00008C030000}" name="Column903" dataDxfId="15500"/>
    <tableColumn id="909" xr3:uid="{00000000-0010-0000-0300-00008D030000}" name="Column904" dataDxfId="15499"/>
    <tableColumn id="910" xr3:uid="{00000000-0010-0000-0300-00008E030000}" name="Column905" dataDxfId="15498"/>
    <tableColumn id="911" xr3:uid="{00000000-0010-0000-0300-00008F030000}" name="Column906" dataDxfId="15497"/>
    <tableColumn id="912" xr3:uid="{00000000-0010-0000-0300-000090030000}" name="Column907" dataDxfId="15496"/>
    <tableColumn id="913" xr3:uid="{00000000-0010-0000-0300-000091030000}" name="Column908" dataDxfId="15495"/>
    <tableColumn id="914" xr3:uid="{00000000-0010-0000-0300-000092030000}" name="Column909" dataDxfId="15494"/>
    <tableColumn id="915" xr3:uid="{00000000-0010-0000-0300-000093030000}" name="Column910" dataDxfId="15493"/>
    <tableColumn id="916" xr3:uid="{00000000-0010-0000-0300-000094030000}" name="Column911" dataDxfId="15492"/>
    <tableColumn id="917" xr3:uid="{00000000-0010-0000-0300-000095030000}" name="Column912" dataDxfId="15491"/>
    <tableColumn id="918" xr3:uid="{00000000-0010-0000-0300-000096030000}" name="Column913" dataDxfId="15490"/>
    <tableColumn id="919" xr3:uid="{00000000-0010-0000-0300-000097030000}" name="Column914" dataDxfId="15489"/>
    <tableColumn id="920" xr3:uid="{00000000-0010-0000-0300-000098030000}" name="Column915" dataDxfId="15488"/>
    <tableColumn id="921" xr3:uid="{00000000-0010-0000-0300-000099030000}" name="Column916" dataDxfId="15487"/>
    <tableColumn id="922" xr3:uid="{00000000-0010-0000-0300-00009A030000}" name="Column917" dataDxfId="15486"/>
    <tableColumn id="923" xr3:uid="{00000000-0010-0000-0300-00009B030000}" name="Column918" dataDxfId="15485"/>
    <tableColumn id="924" xr3:uid="{00000000-0010-0000-0300-00009C030000}" name="Column919" dataDxfId="15484"/>
    <tableColumn id="925" xr3:uid="{00000000-0010-0000-0300-00009D030000}" name="Column920" dataDxfId="15483"/>
    <tableColumn id="926" xr3:uid="{00000000-0010-0000-0300-00009E030000}" name="Column921" dataDxfId="15482"/>
    <tableColumn id="927" xr3:uid="{00000000-0010-0000-0300-00009F030000}" name="Column922" dataDxfId="15481"/>
    <tableColumn id="928" xr3:uid="{00000000-0010-0000-0300-0000A0030000}" name="Column923" dataDxfId="15480"/>
    <tableColumn id="929" xr3:uid="{00000000-0010-0000-0300-0000A1030000}" name="Column924" dataDxfId="15479"/>
    <tableColumn id="930" xr3:uid="{00000000-0010-0000-0300-0000A2030000}" name="Column925" dataDxfId="15478"/>
    <tableColumn id="931" xr3:uid="{00000000-0010-0000-0300-0000A3030000}" name="Column926" dataDxfId="15477"/>
    <tableColumn id="932" xr3:uid="{00000000-0010-0000-0300-0000A4030000}" name="Column927" dataDxfId="15476"/>
    <tableColumn id="933" xr3:uid="{00000000-0010-0000-0300-0000A5030000}" name="Column928" dataDxfId="15475"/>
    <tableColumn id="934" xr3:uid="{00000000-0010-0000-0300-0000A6030000}" name="Column929" dataDxfId="15474"/>
    <tableColumn id="935" xr3:uid="{00000000-0010-0000-0300-0000A7030000}" name="Column930" dataDxfId="15473"/>
    <tableColumn id="936" xr3:uid="{00000000-0010-0000-0300-0000A8030000}" name="Column931" dataDxfId="15472"/>
    <tableColumn id="937" xr3:uid="{00000000-0010-0000-0300-0000A9030000}" name="Column932" dataDxfId="15471"/>
    <tableColumn id="938" xr3:uid="{00000000-0010-0000-0300-0000AA030000}" name="Column933" dataDxfId="15470"/>
    <tableColumn id="939" xr3:uid="{00000000-0010-0000-0300-0000AB030000}" name="Column934" dataDxfId="15469"/>
    <tableColumn id="940" xr3:uid="{00000000-0010-0000-0300-0000AC030000}" name="Column935" dataDxfId="15468"/>
    <tableColumn id="941" xr3:uid="{00000000-0010-0000-0300-0000AD030000}" name="Column936" dataDxfId="15467"/>
    <tableColumn id="942" xr3:uid="{00000000-0010-0000-0300-0000AE030000}" name="Column937" dataDxfId="15466"/>
    <tableColumn id="943" xr3:uid="{00000000-0010-0000-0300-0000AF030000}" name="Column938" dataDxfId="15465"/>
    <tableColumn id="944" xr3:uid="{00000000-0010-0000-0300-0000B0030000}" name="Column939" dataDxfId="15464"/>
    <tableColumn id="945" xr3:uid="{00000000-0010-0000-0300-0000B1030000}" name="Column940" dataDxfId="15463"/>
    <tableColumn id="946" xr3:uid="{00000000-0010-0000-0300-0000B2030000}" name="Column941" dataDxfId="15462"/>
    <tableColumn id="947" xr3:uid="{00000000-0010-0000-0300-0000B3030000}" name="Column942" dataDxfId="15461"/>
    <tableColumn id="948" xr3:uid="{00000000-0010-0000-0300-0000B4030000}" name="Column943" dataDxfId="15460"/>
    <tableColumn id="949" xr3:uid="{00000000-0010-0000-0300-0000B5030000}" name="Column944" dataDxfId="15459"/>
    <tableColumn id="950" xr3:uid="{00000000-0010-0000-0300-0000B6030000}" name="Column945" dataDxfId="15458"/>
    <tableColumn id="951" xr3:uid="{00000000-0010-0000-0300-0000B7030000}" name="Column946" dataDxfId="15457"/>
    <tableColumn id="952" xr3:uid="{00000000-0010-0000-0300-0000B8030000}" name="Column947" dataDxfId="15456"/>
    <tableColumn id="953" xr3:uid="{00000000-0010-0000-0300-0000B9030000}" name="Column948" dataDxfId="15455"/>
    <tableColumn id="954" xr3:uid="{00000000-0010-0000-0300-0000BA030000}" name="Column949" dataDxfId="15454"/>
    <tableColumn id="955" xr3:uid="{00000000-0010-0000-0300-0000BB030000}" name="Column950" dataDxfId="15453"/>
    <tableColumn id="956" xr3:uid="{00000000-0010-0000-0300-0000BC030000}" name="Column951" dataDxfId="15452"/>
    <tableColumn id="957" xr3:uid="{00000000-0010-0000-0300-0000BD030000}" name="Column952" dataDxfId="15451"/>
    <tableColumn id="958" xr3:uid="{00000000-0010-0000-0300-0000BE030000}" name="Column953" dataDxfId="15450"/>
    <tableColumn id="959" xr3:uid="{00000000-0010-0000-0300-0000BF030000}" name="Column954" dataDxfId="15449"/>
    <tableColumn id="960" xr3:uid="{00000000-0010-0000-0300-0000C0030000}" name="Column955" dataDxfId="15448"/>
    <tableColumn id="961" xr3:uid="{00000000-0010-0000-0300-0000C1030000}" name="Column956" dataDxfId="15447"/>
    <tableColumn id="962" xr3:uid="{00000000-0010-0000-0300-0000C2030000}" name="Column957" dataDxfId="15446"/>
    <tableColumn id="963" xr3:uid="{00000000-0010-0000-0300-0000C3030000}" name="Column958" dataDxfId="15445"/>
    <tableColumn id="964" xr3:uid="{00000000-0010-0000-0300-0000C4030000}" name="Column959" dataDxfId="15444"/>
    <tableColumn id="965" xr3:uid="{00000000-0010-0000-0300-0000C5030000}" name="Column960" dataDxfId="15443"/>
    <tableColumn id="966" xr3:uid="{00000000-0010-0000-0300-0000C6030000}" name="Column961" dataDxfId="15442"/>
    <tableColumn id="967" xr3:uid="{00000000-0010-0000-0300-0000C7030000}" name="Column962" dataDxfId="15441"/>
    <tableColumn id="968" xr3:uid="{00000000-0010-0000-0300-0000C8030000}" name="Column963" dataDxfId="15440"/>
    <tableColumn id="969" xr3:uid="{00000000-0010-0000-0300-0000C9030000}" name="Column964" dataDxfId="15439"/>
    <tableColumn id="970" xr3:uid="{00000000-0010-0000-0300-0000CA030000}" name="Column965" dataDxfId="15438"/>
    <tableColumn id="971" xr3:uid="{00000000-0010-0000-0300-0000CB030000}" name="Column966" dataDxfId="15437"/>
    <tableColumn id="972" xr3:uid="{00000000-0010-0000-0300-0000CC030000}" name="Column967" dataDxfId="15436"/>
    <tableColumn id="973" xr3:uid="{00000000-0010-0000-0300-0000CD030000}" name="Column968" dataDxfId="15435"/>
    <tableColumn id="974" xr3:uid="{00000000-0010-0000-0300-0000CE030000}" name="Column969" dataDxfId="15434"/>
    <tableColumn id="975" xr3:uid="{00000000-0010-0000-0300-0000CF030000}" name="Column970" dataDxfId="15433"/>
    <tableColumn id="976" xr3:uid="{00000000-0010-0000-0300-0000D0030000}" name="Column971" dataDxfId="15432"/>
    <tableColumn id="977" xr3:uid="{00000000-0010-0000-0300-0000D1030000}" name="Column972" dataDxfId="15431"/>
    <tableColumn id="978" xr3:uid="{00000000-0010-0000-0300-0000D2030000}" name="Column973" dataDxfId="15430"/>
    <tableColumn id="979" xr3:uid="{00000000-0010-0000-0300-0000D3030000}" name="Column974" dataDxfId="15429"/>
    <tableColumn id="980" xr3:uid="{00000000-0010-0000-0300-0000D4030000}" name="Column975" dataDxfId="15428"/>
    <tableColumn id="981" xr3:uid="{00000000-0010-0000-0300-0000D5030000}" name="Column976" dataDxfId="15427"/>
    <tableColumn id="982" xr3:uid="{00000000-0010-0000-0300-0000D6030000}" name="Column977" dataDxfId="15426"/>
    <tableColumn id="983" xr3:uid="{00000000-0010-0000-0300-0000D7030000}" name="Column978" dataDxfId="15425"/>
    <tableColumn id="984" xr3:uid="{00000000-0010-0000-0300-0000D8030000}" name="Column979" dataDxfId="15424"/>
    <tableColumn id="985" xr3:uid="{00000000-0010-0000-0300-0000D9030000}" name="Column980" dataDxfId="15423"/>
    <tableColumn id="986" xr3:uid="{00000000-0010-0000-0300-0000DA030000}" name="Column981" dataDxfId="15422"/>
    <tableColumn id="987" xr3:uid="{00000000-0010-0000-0300-0000DB030000}" name="Column982" dataDxfId="15421"/>
    <tableColumn id="988" xr3:uid="{00000000-0010-0000-0300-0000DC030000}" name="Column983" dataDxfId="15420"/>
    <tableColumn id="989" xr3:uid="{00000000-0010-0000-0300-0000DD030000}" name="Column984" dataDxfId="15419"/>
    <tableColumn id="990" xr3:uid="{00000000-0010-0000-0300-0000DE030000}" name="Column985" dataDxfId="15418"/>
    <tableColumn id="991" xr3:uid="{00000000-0010-0000-0300-0000DF030000}" name="Column986" dataDxfId="15417"/>
    <tableColumn id="992" xr3:uid="{00000000-0010-0000-0300-0000E0030000}" name="Column987" dataDxfId="15416"/>
    <tableColumn id="993" xr3:uid="{00000000-0010-0000-0300-0000E1030000}" name="Column988" dataDxfId="15415"/>
    <tableColumn id="994" xr3:uid="{00000000-0010-0000-0300-0000E2030000}" name="Column989" dataDxfId="15414"/>
    <tableColumn id="995" xr3:uid="{00000000-0010-0000-0300-0000E3030000}" name="Column990" dataDxfId="15413"/>
    <tableColumn id="996" xr3:uid="{00000000-0010-0000-0300-0000E4030000}" name="Column991" dataDxfId="15412"/>
    <tableColumn id="997" xr3:uid="{00000000-0010-0000-0300-0000E5030000}" name="Column992" dataDxfId="15411"/>
    <tableColumn id="998" xr3:uid="{00000000-0010-0000-0300-0000E6030000}" name="Column993" dataDxfId="15410"/>
    <tableColumn id="999" xr3:uid="{00000000-0010-0000-0300-0000E7030000}" name="Column994" dataDxfId="15409"/>
    <tableColumn id="1000" xr3:uid="{00000000-0010-0000-0300-0000E8030000}" name="Column995" dataDxfId="15408"/>
    <tableColumn id="1001" xr3:uid="{00000000-0010-0000-0300-0000E9030000}" name="Column996" dataDxfId="15407"/>
    <tableColumn id="1002" xr3:uid="{00000000-0010-0000-0300-0000EA030000}" name="Column997" dataDxfId="15406"/>
    <tableColumn id="1003" xr3:uid="{00000000-0010-0000-0300-0000EB030000}" name="Column998" dataDxfId="15405"/>
    <tableColumn id="1004" xr3:uid="{00000000-0010-0000-0300-0000EC030000}" name="Column999" dataDxfId="15404"/>
    <tableColumn id="1005" xr3:uid="{00000000-0010-0000-0300-0000ED030000}" name="Column1000" dataDxfId="15403"/>
    <tableColumn id="1006" xr3:uid="{00000000-0010-0000-0300-0000EE030000}" name="Column1001" dataDxfId="15402"/>
    <tableColumn id="1007" xr3:uid="{00000000-0010-0000-0300-0000EF030000}" name="Column1002" dataDxfId="15401"/>
    <tableColumn id="1008" xr3:uid="{00000000-0010-0000-0300-0000F0030000}" name="Column1003" dataDxfId="15400"/>
    <tableColumn id="1009" xr3:uid="{00000000-0010-0000-0300-0000F1030000}" name="Column1004" dataDxfId="15399"/>
    <tableColumn id="1010" xr3:uid="{00000000-0010-0000-0300-0000F2030000}" name="Column1005" dataDxfId="15398"/>
    <tableColumn id="1011" xr3:uid="{00000000-0010-0000-0300-0000F3030000}" name="Column1006" dataDxfId="15397"/>
    <tableColumn id="1012" xr3:uid="{00000000-0010-0000-0300-0000F4030000}" name="Column1007" dataDxfId="15396"/>
    <tableColumn id="1013" xr3:uid="{00000000-0010-0000-0300-0000F5030000}" name="Column1008" dataDxfId="15395"/>
    <tableColumn id="1014" xr3:uid="{00000000-0010-0000-0300-0000F6030000}" name="Column1009" dataDxfId="15394"/>
    <tableColumn id="1015" xr3:uid="{00000000-0010-0000-0300-0000F7030000}" name="Column1010" dataDxfId="15393"/>
    <tableColumn id="1016" xr3:uid="{00000000-0010-0000-0300-0000F8030000}" name="Column1011" dataDxfId="15392"/>
    <tableColumn id="1017" xr3:uid="{00000000-0010-0000-0300-0000F9030000}" name="Column1012" dataDxfId="15391"/>
    <tableColumn id="1018" xr3:uid="{00000000-0010-0000-0300-0000FA030000}" name="Column1013" dataDxfId="15390"/>
    <tableColumn id="1019" xr3:uid="{00000000-0010-0000-0300-0000FB030000}" name="Column1014" dataDxfId="15389"/>
    <tableColumn id="1020" xr3:uid="{00000000-0010-0000-0300-0000FC030000}" name="Column1015" dataDxfId="15388"/>
    <tableColumn id="1021" xr3:uid="{00000000-0010-0000-0300-0000FD030000}" name="Column1016" dataDxfId="15387"/>
    <tableColumn id="1022" xr3:uid="{00000000-0010-0000-0300-0000FE030000}" name="Column1017" dataDxfId="15386"/>
    <tableColumn id="1023" xr3:uid="{00000000-0010-0000-0300-0000FF030000}" name="Column1018" dataDxfId="15385"/>
    <tableColumn id="1024" xr3:uid="{00000000-0010-0000-0300-000000040000}" name="Column1019" dataDxfId="15384"/>
    <tableColumn id="1025" xr3:uid="{00000000-0010-0000-0300-000001040000}" name="Column1020" dataDxfId="15383"/>
    <tableColumn id="1026" xr3:uid="{00000000-0010-0000-0300-000002040000}" name="Column1021" dataDxfId="15382"/>
    <tableColumn id="1027" xr3:uid="{00000000-0010-0000-0300-000003040000}" name="Column1022" dataDxfId="15381"/>
    <tableColumn id="1028" xr3:uid="{00000000-0010-0000-0300-000004040000}" name="Column1023" dataDxfId="15380"/>
    <tableColumn id="1029" xr3:uid="{00000000-0010-0000-0300-000005040000}" name="Column1024" dataDxfId="15379"/>
    <tableColumn id="1030" xr3:uid="{00000000-0010-0000-0300-000006040000}" name="Column1025" dataDxfId="15378"/>
    <tableColumn id="1031" xr3:uid="{00000000-0010-0000-0300-000007040000}" name="Column1026" dataDxfId="15377"/>
    <tableColumn id="1032" xr3:uid="{00000000-0010-0000-0300-000008040000}" name="Column1027" dataDxfId="15376"/>
    <tableColumn id="1033" xr3:uid="{00000000-0010-0000-0300-000009040000}" name="Column1028" dataDxfId="15375"/>
    <tableColumn id="1034" xr3:uid="{00000000-0010-0000-0300-00000A040000}" name="Column1029" dataDxfId="15374"/>
    <tableColumn id="1035" xr3:uid="{00000000-0010-0000-0300-00000B040000}" name="Column1030" dataDxfId="15373"/>
    <tableColumn id="1036" xr3:uid="{00000000-0010-0000-0300-00000C040000}" name="Column1031" dataDxfId="15372"/>
    <tableColumn id="1037" xr3:uid="{00000000-0010-0000-0300-00000D040000}" name="Column1032" dataDxfId="15371"/>
    <tableColumn id="1038" xr3:uid="{00000000-0010-0000-0300-00000E040000}" name="Column1033" dataDxfId="15370"/>
    <tableColumn id="1039" xr3:uid="{00000000-0010-0000-0300-00000F040000}" name="Column1034" dataDxfId="15369"/>
    <tableColumn id="1040" xr3:uid="{00000000-0010-0000-0300-000010040000}" name="Column1035" dataDxfId="15368"/>
    <tableColumn id="1041" xr3:uid="{00000000-0010-0000-0300-000011040000}" name="Column1036" dataDxfId="15367"/>
    <tableColumn id="1042" xr3:uid="{00000000-0010-0000-0300-000012040000}" name="Column1037" dataDxfId="15366"/>
    <tableColumn id="1043" xr3:uid="{00000000-0010-0000-0300-000013040000}" name="Column1038" dataDxfId="15365"/>
    <tableColumn id="1044" xr3:uid="{00000000-0010-0000-0300-000014040000}" name="Column1039" dataDxfId="15364"/>
    <tableColumn id="1045" xr3:uid="{00000000-0010-0000-0300-000015040000}" name="Column1040" dataDxfId="15363"/>
    <tableColumn id="1046" xr3:uid="{00000000-0010-0000-0300-000016040000}" name="Column1041" dataDxfId="15362"/>
    <tableColumn id="1047" xr3:uid="{00000000-0010-0000-0300-000017040000}" name="Column1042" dataDxfId="15361"/>
    <tableColumn id="1048" xr3:uid="{00000000-0010-0000-0300-000018040000}" name="Column1043" dataDxfId="15360"/>
    <tableColumn id="1049" xr3:uid="{00000000-0010-0000-0300-000019040000}" name="Column1044" dataDxfId="15359"/>
    <tableColumn id="1050" xr3:uid="{00000000-0010-0000-0300-00001A040000}" name="Column1045" dataDxfId="15358"/>
    <tableColumn id="1051" xr3:uid="{00000000-0010-0000-0300-00001B040000}" name="Column1046" dataDxfId="15357"/>
    <tableColumn id="1052" xr3:uid="{00000000-0010-0000-0300-00001C040000}" name="Column1047" dataDxfId="15356"/>
    <tableColumn id="1053" xr3:uid="{00000000-0010-0000-0300-00001D040000}" name="Column1048" dataDxfId="15355"/>
    <tableColumn id="1054" xr3:uid="{00000000-0010-0000-0300-00001E040000}" name="Column1049" dataDxfId="15354"/>
    <tableColumn id="1055" xr3:uid="{00000000-0010-0000-0300-00001F040000}" name="Column1050" dataDxfId="15353"/>
    <tableColumn id="1056" xr3:uid="{00000000-0010-0000-0300-000020040000}" name="Column1051" dataDxfId="15352"/>
    <tableColumn id="1057" xr3:uid="{00000000-0010-0000-0300-000021040000}" name="Column1052" dataDxfId="15351"/>
    <tableColumn id="1058" xr3:uid="{00000000-0010-0000-0300-000022040000}" name="Column1053" dataDxfId="15350"/>
    <tableColumn id="1059" xr3:uid="{00000000-0010-0000-0300-000023040000}" name="Column1054" dataDxfId="15349"/>
    <tableColumn id="1060" xr3:uid="{00000000-0010-0000-0300-000024040000}" name="Column1055" dataDxfId="15348"/>
    <tableColumn id="1061" xr3:uid="{00000000-0010-0000-0300-000025040000}" name="Column1056" dataDxfId="15347"/>
    <tableColumn id="1062" xr3:uid="{00000000-0010-0000-0300-000026040000}" name="Column1057" dataDxfId="15346"/>
    <tableColumn id="1063" xr3:uid="{00000000-0010-0000-0300-000027040000}" name="Column1058" dataDxfId="15345"/>
    <tableColumn id="1064" xr3:uid="{00000000-0010-0000-0300-000028040000}" name="Column1059" dataDxfId="15344"/>
    <tableColumn id="1065" xr3:uid="{00000000-0010-0000-0300-000029040000}" name="Column1060" dataDxfId="15343"/>
    <tableColumn id="1066" xr3:uid="{00000000-0010-0000-0300-00002A040000}" name="Column1061" dataDxfId="15342"/>
    <tableColumn id="1067" xr3:uid="{00000000-0010-0000-0300-00002B040000}" name="Column1062" dataDxfId="15341"/>
    <tableColumn id="1068" xr3:uid="{00000000-0010-0000-0300-00002C040000}" name="Column1063" dataDxfId="15340"/>
    <tableColumn id="1069" xr3:uid="{00000000-0010-0000-0300-00002D040000}" name="Column1064" dataDxfId="15339"/>
    <tableColumn id="1070" xr3:uid="{00000000-0010-0000-0300-00002E040000}" name="Column1065" dataDxfId="15338"/>
    <tableColumn id="1071" xr3:uid="{00000000-0010-0000-0300-00002F040000}" name="Column1066" dataDxfId="15337"/>
    <tableColumn id="1072" xr3:uid="{00000000-0010-0000-0300-000030040000}" name="Column1067" dataDxfId="15336"/>
    <tableColumn id="1073" xr3:uid="{00000000-0010-0000-0300-000031040000}" name="Column1068" dataDxfId="15335"/>
    <tableColumn id="1074" xr3:uid="{00000000-0010-0000-0300-000032040000}" name="Column1069" dataDxfId="15334"/>
    <tableColumn id="1075" xr3:uid="{00000000-0010-0000-0300-000033040000}" name="Column1070" dataDxfId="15333"/>
    <tableColumn id="1076" xr3:uid="{00000000-0010-0000-0300-000034040000}" name="Column1071" dataDxfId="15332"/>
    <tableColumn id="1077" xr3:uid="{00000000-0010-0000-0300-000035040000}" name="Column1072" dataDxfId="15331"/>
    <tableColumn id="1078" xr3:uid="{00000000-0010-0000-0300-000036040000}" name="Column1073" dataDxfId="15330"/>
    <tableColumn id="1079" xr3:uid="{00000000-0010-0000-0300-000037040000}" name="Column1074" dataDxfId="15329"/>
    <tableColumn id="1080" xr3:uid="{00000000-0010-0000-0300-000038040000}" name="Column1075" dataDxfId="15328"/>
    <tableColumn id="1081" xr3:uid="{00000000-0010-0000-0300-000039040000}" name="Column1076" dataDxfId="15327"/>
    <tableColumn id="1082" xr3:uid="{00000000-0010-0000-0300-00003A040000}" name="Column1077" dataDxfId="15326"/>
    <tableColumn id="1083" xr3:uid="{00000000-0010-0000-0300-00003B040000}" name="Column1078" dataDxfId="15325"/>
    <tableColumn id="1084" xr3:uid="{00000000-0010-0000-0300-00003C040000}" name="Column1079" dataDxfId="15324"/>
    <tableColumn id="1085" xr3:uid="{00000000-0010-0000-0300-00003D040000}" name="Column1080" dataDxfId="15323"/>
    <tableColumn id="1086" xr3:uid="{00000000-0010-0000-0300-00003E040000}" name="Column1081" dataDxfId="15322"/>
    <tableColumn id="1087" xr3:uid="{00000000-0010-0000-0300-00003F040000}" name="Column1082" dataDxfId="15321"/>
    <tableColumn id="1088" xr3:uid="{00000000-0010-0000-0300-000040040000}" name="Column1083" dataDxfId="15320"/>
    <tableColumn id="1089" xr3:uid="{00000000-0010-0000-0300-000041040000}" name="Column1084" dataDxfId="15319"/>
    <tableColumn id="1090" xr3:uid="{00000000-0010-0000-0300-000042040000}" name="Column1085" dataDxfId="15318"/>
    <tableColumn id="1091" xr3:uid="{00000000-0010-0000-0300-000043040000}" name="Column1086" dataDxfId="15317"/>
    <tableColumn id="1092" xr3:uid="{00000000-0010-0000-0300-000044040000}" name="Column1087" dataDxfId="15316"/>
    <tableColumn id="1093" xr3:uid="{00000000-0010-0000-0300-000045040000}" name="Column1088" dataDxfId="15315"/>
    <tableColumn id="1094" xr3:uid="{00000000-0010-0000-0300-000046040000}" name="Column1089" dataDxfId="15314"/>
    <tableColumn id="1095" xr3:uid="{00000000-0010-0000-0300-000047040000}" name="Column1090" dataDxfId="15313"/>
    <tableColumn id="1096" xr3:uid="{00000000-0010-0000-0300-000048040000}" name="Column1091" dataDxfId="15312"/>
    <tableColumn id="1097" xr3:uid="{00000000-0010-0000-0300-000049040000}" name="Column1092" dataDxfId="15311"/>
    <tableColumn id="1098" xr3:uid="{00000000-0010-0000-0300-00004A040000}" name="Column1093" dataDxfId="15310"/>
    <tableColumn id="1099" xr3:uid="{00000000-0010-0000-0300-00004B040000}" name="Column1094" dataDxfId="15309"/>
    <tableColumn id="1100" xr3:uid="{00000000-0010-0000-0300-00004C040000}" name="Column1095" dataDxfId="15308"/>
    <tableColumn id="1101" xr3:uid="{00000000-0010-0000-0300-00004D040000}" name="Column1096" dataDxfId="15307"/>
    <tableColumn id="1102" xr3:uid="{00000000-0010-0000-0300-00004E040000}" name="Column1097" dataDxfId="15306"/>
    <tableColumn id="1103" xr3:uid="{00000000-0010-0000-0300-00004F040000}" name="Column1098" dataDxfId="15305"/>
    <tableColumn id="1104" xr3:uid="{00000000-0010-0000-0300-000050040000}" name="Column1099" dataDxfId="15304"/>
    <tableColumn id="1105" xr3:uid="{00000000-0010-0000-0300-000051040000}" name="Column1100" dataDxfId="15303"/>
    <tableColumn id="1106" xr3:uid="{00000000-0010-0000-0300-000052040000}" name="Column1101" dataDxfId="15302"/>
    <tableColumn id="1107" xr3:uid="{00000000-0010-0000-0300-000053040000}" name="Column1102" dataDxfId="15301"/>
    <tableColumn id="1108" xr3:uid="{00000000-0010-0000-0300-000054040000}" name="Column1103" dataDxfId="15300"/>
    <tableColumn id="1109" xr3:uid="{00000000-0010-0000-0300-000055040000}" name="Column1104" dataDxfId="15299"/>
    <tableColumn id="1110" xr3:uid="{00000000-0010-0000-0300-000056040000}" name="Column1105" dataDxfId="15298"/>
    <tableColumn id="1111" xr3:uid="{00000000-0010-0000-0300-000057040000}" name="Column1106" dataDxfId="15297"/>
    <tableColumn id="1112" xr3:uid="{00000000-0010-0000-0300-000058040000}" name="Column1107" dataDxfId="15296"/>
    <tableColumn id="1113" xr3:uid="{00000000-0010-0000-0300-000059040000}" name="Column1108" dataDxfId="15295"/>
    <tableColumn id="1114" xr3:uid="{00000000-0010-0000-0300-00005A040000}" name="Column1109" dataDxfId="15294"/>
    <tableColumn id="1115" xr3:uid="{00000000-0010-0000-0300-00005B040000}" name="Column1110" dataDxfId="15293"/>
    <tableColumn id="1116" xr3:uid="{00000000-0010-0000-0300-00005C040000}" name="Column1111" dataDxfId="15292"/>
    <tableColumn id="1117" xr3:uid="{00000000-0010-0000-0300-00005D040000}" name="Column1112" dataDxfId="15291"/>
    <tableColumn id="1118" xr3:uid="{00000000-0010-0000-0300-00005E040000}" name="Column1113" dataDxfId="15290"/>
    <tableColumn id="1119" xr3:uid="{00000000-0010-0000-0300-00005F040000}" name="Column1114" dataDxfId="15289"/>
    <tableColumn id="1120" xr3:uid="{00000000-0010-0000-0300-000060040000}" name="Column1115" dataDxfId="15288"/>
    <tableColumn id="1121" xr3:uid="{00000000-0010-0000-0300-000061040000}" name="Column1116" dataDxfId="15287"/>
    <tableColumn id="1122" xr3:uid="{00000000-0010-0000-0300-000062040000}" name="Column1117" dataDxfId="15286"/>
    <tableColumn id="1123" xr3:uid="{00000000-0010-0000-0300-000063040000}" name="Column1118" dataDxfId="15285"/>
    <tableColumn id="1124" xr3:uid="{00000000-0010-0000-0300-000064040000}" name="Column1119" dataDxfId="15284"/>
    <tableColumn id="1125" xr3:uid="{00000000-0010-0000-0300-000065040000}" name="Column1120" dataDxfId="15283"/>
    <tableColumn id="1126" xr3:uid="{00000000-0010-0000-0300-000066040000}" name="Column1121" dataDxfId="15282"/>
    <tableColumn id="1127" xr3:uid="{00000000-0010-0000-0300-000067040000}" name="Column1122" dataDxfId="15281"/>
    <tableColumn id="1128" xr3:uid="{00000000-0010-0000-0300-000068040000}" name="Column1123" dataDxfId="15280"/>
    <tableColumn id="1129" xr3:uid="{00000000-0010-0000-0300-000069040000}" name="Column1124" dataDxfId="15279"/>
    <tableColumn id="1130" xr3:uid="{00000000-0010-0000-0300-00006A040000}" name="Column1125" dataDxfId="15278"/>
    <tableColumn id="1131" xr3:uid="{00000000-0010-0000-0300-00006B040000}" name="Column1126" dataDxfId="15277"/>
    <tableColumn id="1132" xr3:uid="{00000000-0010-0000-0300-00006C040000}" name="Column1127" dataDxfId="15276"/>
    <tableColumn id="1133" xr3:uid="{00000000-0010-0000-0300-00006D040000}" name="Column1128" dataDxfId="15275"/>
    <tableColumn id="1134" xr3:uid="{00000000-0010-0000-0300-00006E040000}" name="Column1129" dataDxfId="15274"/>
    <tableColumn id="1135" xr3:uid="{00000000-0010-0000-0300-00006F040000}" name="Column1130" dataDxfId="15273"/>
    <tableColumn id="1136" xr3:uid="{00000000-0010-0000-0300-000070040000}" name="Column1131" dataDxfId="15272"/>
    <tableColumn id="1137" xr3:uid="{00000000-0010-0000-0300-000071040000}" name="Column1132" dataDxfId="15271"/>
    <tableColumn id="1138" xr3:uid="{00000000-0010-0000-0300-000072040000}" name="Column1133" dataDxfId="15270"/>
    <tableColumn id="1139" xr3:uid="{00000000-0010-0000-0300-000073040000}" name="Column1134" dataDxfId="15269"/>
    <tableColumn id="1140" xr3:uid="{00000000-0010-0000-0300-000074040000}" name="Column1135" dataDxfId="15268"/>
    <tableColumn id="1141" xr3:uid="{00000000-0010-0000-0300-000075040000}" name="Column1136" dataDxfId="15267"/>
    <tableColumn id="1142" xr3:uid="{00000000-0010-0000-0300-000076040000}" name="Column1137" dataDxfId="15266"/>
    <tableColumn id="1143" xr3:uid="{00000000-0010-0000-0300-000077040000}" name="Column1138" dataDxfId="15265"/>
    <tableColumn id="1144" xr3:uid="{00000000-0010-0000-0300-000078040000}" name="Column1139" dataDxfId="15264"/>
    <tableColumn id="1145" xr3:uid="{00000000-0010-0000-0300-000079040000}" name="Column1140" dataDxfId="15263"/>
    <tableColumn id="1146" xr3:uid="{00000000-0010-0000-0300-00007A040000}" name="Column1141" dataDxfId="15262"/>
    <tableColumn id="1147" xr3:uid="{00000000-0010-0000-0300-00007B040000}" name="Column1142" dataDxfId="15261"/>
    <tableColumn id="1148" xr3:uid="{00000000-0010-0000-0300-00007C040000}" name="Column1143" dataDxfId="15260"/>
    <tableColumn id="1149" xr3:uid="{00000000-0010-0000-0300-00007D040000}" name="Column1144" dataDxfId="15259"/>
    <tableColumn id="1150" xr3:uid="{00000000-0010-0000-0300-00007E040000}" name="Column1145" dataDxfId="15258"/>
    <tableColumn id="1151" xr3:uid="{00000000-0010-0000-0300-00007F040000}" name="Column1146" dataDxfId="15257"/>
    <tableColumn id="1152" xr3:uid="{00000000-0010-0000-0300-000080040000}" name="Column1147" dataDxfId="15256"/>
    <tableColumn id="1153" xr3:uid="{00000000-0010-0000-0300-000081040000}" name="Column1148" dataDxfId="15255"/>
    <tableColumn id="1154" xr3:uid="{00000000-0010-0000-0300-000082040000}" name="Column1149" dataDxfId="15254"/>
    <tableColumn id="1155" xr3:uid="{00000000-0010-0000-0300-000083040000}" name="Column1150" dataDxfId="15253"/>
    <tableColumn id="1156" xr3:uid="{00000000-0010-0000-0300-000084040000}" name="Column1151" dataDxfId="15252"/>
    <tableColumn id="1157" xr3:uid="{00000000-0010-0000-0300-000085040000}" name="Column1152" dataDxfId="15251"/>
    <tableColumn id="1158" xr3:uid="{00000000-0010-0000-0300-000086040000}" name="Column1153" dataDxfId="15250"/>
    <tableColumn id="1159" xr3:uid="{00000000-0010-0000-0300-000087040000}" name="Column1154" dataDxfId="15249"/>
    <tableColumn id="1160" xr3:uid="{00000000-0010-0000-0300-000088040000}" name="Column1155" dataDxfId="15248"/>
    <tableColumn id="1161" xr3:uid="{00000000-0010-0000-0300-000089040000}" name="Column1156" dataDxfId="15247"/>
    <tableColumn id="1162" xr3:uid="{00000000-0010-0000-0300-00008A040000}" name="Column1157" dataDxfId="15246"/>
    <tableColumn id="1163" xr3:uid="{00000000-0010-0000-0300-00008B040000}" name="Column1158" dataDxfId="15245"/>
    <tableColumn id="1164" xr3:uid="{00000000-0010-0000-0300-00008C040000}" name="Column1159" dataDxfId="15244"/>
    <tableColumn id="1165" xr3:uid="{00000000-0010-0000-0300-00008D040000}" name="Column1160" dataDxfId="15243"/>
    <tableColumn id="1166" xr3:uid="{00000000-0010-0000-0300-00008E040000}" name="Column1161" dataDxfId="15242"/>
    <tableColumn id="1167" xr3:uid="{00000000-0010-0000-0300-00008F040000}" name="Column1162" dataDxfId="15241"/>
    <tableColumn id="1168" xr3:uid="{00000000-0010-0000-0300-000090040000}" name="Column1163" dataDxfId="15240"/>
    <tableColumn id="1169" xr3:uid="{00000000-0010-0000-0300-000091040000}" name="Column1164" dataDxfId="15239"/>
    <tableColumn id="1170" xr3:uid="{00000000-0010-0000-0300-000092040000}" name="Column1165" dataDxfId="15238"/>
    <tableColumn id="1171" xr3:uid="{00000000-0010-0000-0300-000093040000}" name="Column1166" dataDxfId="15237"/>
    <tableColumn id="1172" xr3:uid="{00000000-0010-0000-0300-000094040000}" name="Column1167" dataDxfId="15236"/>
    <tableColumn id="1173" xr3:uid="{00000000-0010-0000-0300-000095040000}" name="Column1168" dataDxfId="15235"/>
    <tableColumn id="1174" xr3:uid="{00000000-0010-0000-0300-000096040000}" name="Column1169" dataDxfId="15234"/>
    <tableColumn id="1175" xr3:uid="{00000000-0010-0000-0300-000097040000}" name="Column1170" dataDxfId="15233"/>
    <tableColumn id="1176" xr3:uid="{00000000-0010-0000-0300-000098040000}" name="Column1171" dataDxfId="15232"/>
    <tableColumn id="1177" xr3:uid="{00000000-0010-0000-0300-000099040000}" name="Column1172" dataDxfId="15231"/>
    <tableColumn id="1178" xr3:uid="{00000000-0010-0000-0300-00009A040000}" name="Column1173" dataDxfId="15230"/>
    <tableColumn id="1179" xr3:uid="{00000000-0010-0000-0300-00009B040000}" name="Column1174" dataDxfId="15229"/>
    <tableColumn id="1180" xr3:uid="{00000000-0010-0000-0300-00009C040000}" name="Column1175" dataDxfId="15228"/>
    <tableColumn id="1181" xr3:uid="{00000000-0010-0000-0300-00009D040000}" name="Column1176" dataDxfId="15227"/>
    <tableColumn id="1182" xr3:uid="{00000000-0010-0000-0300-00009E040000}" name="Column1177" dataDxfId="15226"/>
    <tableColumn id="1183" xr3:uid="{00000000-0010-0000-0300-00009F040000}" name="Column1178" dataDxfId="15225"/>
    <tableColumn id="1184" xr3:uid="{00000000-0010-0000-0300-0000A0040000}" name="Column1179" dataDxfId="15224"/>
    <tableColumn id="1185" xr3:uid="{00000000-0010-0000-0300-0000A1040000}" name="Column1180" dataDxfId="15223"/>
    <tableColumn id="1186" xr3:uid="{00000000-0010-0000-0300-0000A2040000}" name="Column1181" dataDxfId="15222"/>
    <tableColumn id="1187" xr3:uid="{00000000-0010-0000-0300-0000A3040000}" name="Column1182" dataDxfId="15221"/>
    <tableColumn id="1188" xr3:uid="{00000000-0010-0000-0300-0000A4040000}" name="Column1183" dataDxfId="15220"/>
    <tableColumn id="1189" xr3:uid="{00000000-0010-0000-0300-0000A5040000}" name="Column1184" dataDxfId="15219"/>
    <tableColumn id="1190" xr3:uid="{00000000-0010-0000-0300-0000A6040000}" name="Column1185" dataDxfId="15218"/>
    <tableColumn id="1191" xr3:uid="{00000000-0010-0000-0300-0000A7040000}" name="Column1186" dataDxfId="15217"/>
    <tableColumn id="1192" xr3:uid="{00000000-0010-0000-0300-0000A8040000}" name="Column1187" dataDxfId="15216"/>
    <tableColumn id="1193" xr3:uid="{00000000-0010-0000-0300-0000A9040000}" name="Column1188" dataDxfId="15215"/>
    <tableColumn id="1194" xr3:uid="{00000000-0010-0000-0300-0000AA040000}" name="Column1189" dataDxfId="15214"/>
    <tableColumn id="1195" xr3:uid="{00000000-0010-0000-0300-0000AB040000}" name="Column1190" dataDxfId="15213"/>
    <tableColumn id="1196" xr3:uid="{00000000-0010-0000-0300-0000AC040000}" name="Column1191" dataDxfId="15212"/>
    <tableColumn id="1197" xr3:uid="{00000000-0010-0000-0300-0000AD040000}" name="Column1192" dataDxfId="15211"/>
    <tableColumn id="1198" xr3:uid="{00000000-0010-0000-0300-0000AE040000}" name="Column1193" dataDxfId="15210"/>
    <tableColumn id="1199" xr3:uid="{00000000-0010-0000-0300-0000AF040000}" name="Column1194" dataDxfId="15209"/>
    <tableColumn id="1200" xr3:uid="{00000000-0010-0000-0300-0000B0040000}" name="Column1195" dataDxfId="15208"/>
    <tableColumn id="1201" xr3:uid="{00000000-0010-0000-0300-0000B1040000}" name="Column1196" dataDxfId="15207"/>
    <tableColumn id="1202" xr3:uid="{00000000-0010-0000-0300-0000B2040000}" name="Column1197" dataDxfId="15206"/>
    <tableColumn id="1203" xr3:uid="{00000000-0010-0000-0300-0000B3040000}" name="Column1198" dataDxfId="15205"/>
    <tableColumn id="1204" xr3:uid="{00000000-0010-0000-0300-0000B4040000}" name="Column1199" dataDxfId="15204"/>
    <tableColumn id="1205" xr3:uid="{00000000-0010-0000-0300-0000B5040000}" name="Column1200" dataDxfId="15203"/>
    <tableColumn id="1206" xr3:uid="{00000000-0010-0000-0300-0000B6040000}" name="Column1201" dataDxfId="15202"/>
    <tableColumn id="1207" xr3:uid="{00000000-0010-0000-0300-0000B7040000}" name="Column1202" dataDxfId="15201"/>
    <tableColumn id="1208" xr3:uid="{00000000-0010-0000-0300-0000B8040000}" name="Column1203" dataDxfId="15200"/>
    <tableColumn id="1209" xr3:uid="{00000000-0010-0000-0300-0000B9040000}" name="Column1204" dataDxfId="15199"/>
    <tableColumn id="1210" xr3:uid="{00000000-0010-0000-0300-0000BA040000}" name="Column1205" dataDxfId="15198"/>
    <tableColumn id="1211" xr3:uid="{00000000-0010-0000-0300-0000BB040000}" name="Column1206" dataDxfId="15197"/>
    <tableColumn id="1212" xr3:uid="{00000000-0010-0000-0300-0000BC040000}" name="Column1207" dataDxfId="15196"/>
    <tableColumn id="1213" xr3:uid="{00000000-0010-0000-0300-0000BD040000}" name="Column1208" dataDxfId="15195"/>
    <tableColumn id="1214" xr3:uid="{00000000-0010-0000-0300-0000BE040000}" name="Column1209" dataDxfId="15194"/>
    <tableColumn id="1215" xr3:uid="{00000000-0010-0000-0300-0000BF040000}" name="Column1210" dataDxfId="15193"/>
    <tableColumn id="1216" xr3:uid="{00000000-0010-0000-0300-0000C0040000}" name="Column1211" dataDxfId="15192"/>
    <tableColumn id="1217" xr3:uid="{00000000-0010-0000-0300-0000C1040000}" name="Column1212" dataDxfId="15191"/>
    <tableColumn id="1218" xr3:uid="{00000000-0010-0000-0300-0000C2040000}" name="Column1213" dataDxfId="15190"/>
    <tableColumn id="1219" xr3:uid="{00000000-0010-0000-0300-0000C3040000}" name="Column1214" dataDxfId="15189"/>
    <tableColumn id="1220" xr3:uid="{00000000-0010-0000-0300-0000C4040000}" name="Column1215" dataDxfId="15188"/>
    <tableColumn id="1221" xr3:uid="{00000000-0010-0000-0300-0000C5040000}" name="Column1216" dataDxfId="15187"/>
    <tableColumn id="1222" xr3:uid="{00000000-0010-0000-0300-0000C6040000}" name="Column1217" dataDxfId="15186"/>
    <tableColumn id="1223" xr3:uid="{00000000-0010-0000-0300-0000C7040000}" name="Column1218" dataDxfId="15185"/>
    <tableColumn id="1224" xr3:uid="{00000000-0010-0000-0300-0000C8040000}" name="Column1219" dataDxfId="15184"/>
    <tableColumn id="1225" xr3:uid="{00000000-0010-0000-0300-0000C9040000}" name="Column1220" dataDxfId="15183"/>
    <tableColumn id="1226" xr3:uid="{00000000-0010-0000-0300-0000CA040000}" name="Column1221" dataDxfId="15182"/>
    <tableColumn id="1227" xr3:uid="{00000000-0010-0000-0300-0000CB040000}" name="Column1222" dataDxfId="15181"/>
    <tableColumn id="1228" xr3:uid="{00000000-0010-0000-0300-0000CC040000}" name="Column1223" dataDxfId="15180"/>
    <tableColumn id="1229" xr3:uid="{00000000-0010-0000-0300-0000CD040000}" name="Column1224" dataDxfId="15179"/>
    <tableColumn id="1230" xr3:uid="{00000000-0010-0000-0300-0000CE040000}" name="Column1225" dataDxfId="15178"/>
    <tableColumn id="1231" xr3:uid="{00000000-0010-0000-0300-0000CF040000}" name="Column1226" dataDxfId="15177"/>
    <tableColumn id="1232" xr3:uid="{00000000-0010-0000-0300-0000D0040000}" name="Column1227" dataDxfId="15176"/>
    <tableColumn id="1233" xr3:uid="{00000000-0010-0000-0300-0000D1040000}" name="Column1228" dataDxfId="15175"/>
    <tableColumn id="1234" xr3:uid="{00000000-0010-0000-0300-0000D2040000}" name="Column1229" dataDxfId="15174"/>
    <tableColumn id="1235" xr3:uid="{00000000-0010-0000-0300-0000D3040000}" name="Column1230" dataDxfId="15173"/>
    <tableColumn id="1236" xr3:uid="{00000000-0010-0000-0300-0000D4040000}" name="Column1231" dataDxfId="15172"/>
    <tableColumn id="1237" xr3:uid="{00000000-0010-0000-0300-0000D5040000}" name="Column1232" dataDxfId="15171"/>
    <tableColumn id="1238" xr3:uid="{00000000-0010-0000-0300-0000D6040000}" name="Column1233" dataDxfId="15170"/>
    <tableColumn id="1239" xr3:uid="{00000000-0010-0000-0300-0000D7040000}" name="Column1234" dataDxfId="15169"/>
    <tableColumn id="1240" xr3:uid="{00000000-0010-0000-0300-0000D8040000}" name="Column1235" dataDxfId="15168"/>
    <tableColumn id="1241" xr3:uid="{00000000-0010-0000-0300-0000D9040000}" name="Column1236" dataDxfId="15167"/>
    <tableColumn id="1242" xr3:uid="{00000000-0010-0000-0300-0000DA040000}" name="Column1237" dataDxfId="15166"/>
    <tableColumn id="1243" xr3:uid="{00000000-0010-0000-0300-0000DB040000}" name="Column1238" dataDxfId="15165"/>
    <tableColumn id="1244" xr3:uid="{00000000-0010-0000-0300-0000DC040000}" name="Column1239" dataDxfId="15164"/>
    <tableColumn id="1245" xr3:uid="{00000000-0010-0000-0300-0000DD040000}" name="Column1240" dataDxfId="15163"/>
    <tableColumn id="1246" xr3:uid="{00000000-0010-0000-0300-0000DE040000}" name="Column1241" dataDxfId="15162"/>
    <tableColumn id="1247" xr3:uid="{00000000-0010-0000-0300-0000DF040000}" name="Column1242" dataDxfId="15161"/>
    <tableColumn id="1248" xr3:uid="{00000000-0010-0000-0300-0000E0040000}" name="Column1243" dataDxfId="15160"/>
    <tableColumn id="1249" xr3:uid="{00000000-0010-0000-0300-0000E1040000}" name="Column1244" dataDxfId="15159"/>
    <tableColumn id="1250" xr3:uid="{00000000-0010-0000-0300-0000E2040000}" name="Column1245" dataDxfId="15158"/>
    <tableColumn id="1251" xr3:uid="{00000000-0010-0000-0300-0000E3040000}" name="Column1246" dataDxfId="15157"/>
    <tableColumn id="1252" xr3:uid="{00000000-0010-0000-0300-0000E4040000}" name="Column1247" dataDxfId="15156"/>
    <tableColumn id="1253" xr3:uid="{00000000-0010-0000-0300-0000E5040000}" name="Column1248" dataDxfId="15155"/>
    <tableColumn id="1254" xr3:uid="{00000000-0010-0000-0300-0000E6040000}" name="Column1249" dataDxfId="15154"/>
    <tableColumn id="1255" xr3:uid="{00000000-0010-0000-0300-0000E7040000}" name="Column1250" dataDxfId="15153"/>
    <tableColumn id="1256" xr3:uid="{00000000-0010-0000-0300-0000E8040000}" name="Column1251" dataDxfId="15152"/>
    <tableColumn id="1257" xr3:uid="{00000000-0010-0000-0300-0000E9040000}" name="Column1252" dataDxfId="15151"/>
    <tableColumn id="1258" xr3:uid="{00000000-0010-0000-0300-0000EA040000}" name="Column1253" dataDxfId="15150"/>
    <tableColumn id="1259" xr3:uid="{00000000-0010-0000-0300-0000EB040000}" name="Column1254" dataDxfId="15149"/>
    <tableColumn id="1260" xr3:uid="{00000000-0010-0000-0300-0000EC040000}" name="Column1255" dataDxfId="15148"/>
    <tableColumn id="1261" xr3:uid="{00000000-0010-0000-0300-0000ED040000}" name="Column1256" dataDxfId="15147"/>
    <tableColumn id="1262" xr3:uid="{00000000-0010-0000-0300-0000EE040000}" name="Column1257" dataDxfId="15146"/>
    <tableColumn id="1263" xr3:uid="{00000000-0010-0000-0300-0000EF040000}" name="Column1258" dataDxfId="15145"/>
    <tableColumn id="1264" xr3:uid="{00000000-0010-0000-0300-0000F0040000}" name="Column1259" dataDxfId="15144"/>
    <tableColumn id="1265" xr3:uid="{00000000-0010-0000-0300-0000F1040000}" name="Column1260" dataDxfId="15143"/>
    <tableColumn id="1266" xr3:uid="{00000000-0010-0000-0300-0000F2040000}" name="Column1261" dataDxfId="15142"/>
    <tableColumn id="1267" xr3:uid="{00000000-0010-0000-0300-0000F3040000}" name="Column1262" dataDxfId="15141"/>
    <tableColumn id="1268" xr3:uid="{00000000-0010-0000-0300-0000F4040000}" name="Column1263" dataDxfId="15140"/>
    <tableColumn id="1269" xr3:uid="{00000000-0010-0000-0300-0000F5040000}" name="Column1264" dataDxfId="15139"/>
    <tableColumn id="1270" xr3:uid="{00000000-0010-0000-0300-0000F6040000}" name="Column1265" dataDxfId="15138"/>
    <tableColumn id="1271" xr3:uid="{00000000-0010-0000-0300-0000F7040000}" name="Column1266" dataDxfId="15137"/>
    <tableColumn id="1272" xr3:uid="{00000000-0010-0000-0300-0000F8040000}" name="Column1267" dataDxfId="15136"/>
    <tableColumn id="1273" xr3:uid="{00000000-0010-0000-0300-0000F9040000}" name="Column1268" dataDxfId="15135"/>
    <tableColumn id="1274" xr3:uid="{00000000-0010-0000-0300-0000FA040000}" name="Column1269" dataDxfId="15134"/>
    <tableColumn id="1275" xr3:uid="{00000000-0010-0000-0300-0000FB040000}" name="Column1270" dataDxfId="15133"/>
    <tableColumn id="1276" xr3:uid="{00000000-0010-0000-0300-0000FC040000}" name="Column1271" dataDxfId="15132"/>
    <tableColumn id="1277" xr3:uid="{00000000-0010-0000-0300-0000FD040000}" name="Column1272" dataDxfId="15131"/>
    <tableColumn id="1278" xr3:uid="{00000000-0010-0000-0300-0000FE040000}" name="Column1273" dataDxfId="15130"/>
    <tableColumn id="1279" xr3:uid="{00000000-0010-0000-0300-0000FF040000}" name="Column1274" dataDxfId="15129"/>
    <tableColumn id="1280" xr3:uid="{00000000-0010-0000-0300-000000050000}" name="Column1275" dataDxfId="15128"/>
    <tableColumn id="1281" xr3:uid="{00000000-0010-0000-0300-000001050000}" name="Column1276" dataDxfId="15127"/>
    <tableColumn id="1282" xr3:uid="{00000000-0010-0000-0300-000002050000}" name="Column1277" dataDxfId="15126"/>
    <tableColumn id="1283" xr3:uid="{00000000-0010-0000-0300-000003050000}" name="Column1278" dataDxfId="15125"/>
    <tableColumn id="1284" xr3:uid="{00000000-0010-0000-0300-000004050000}" name="Column1279" dataDxfId="15124"/>
    <tableColumn id="1285" xr3:uid="{00000000-0010-0000-0300-000005050000}" name="Column1280" dataDxfId="15123"/>
    <tableColumn id="1286" xr3:uid="{00000000-0010-0000-0300-000006050000}" name="Column1281" dataDxfId="15122"/>
    <tableColumn id="1287" xr3:uid="{00000000-0010-0000-0300-000007050000}" name="Column1282" dataDxfId="15121"/>
    <tableColumn id="1288" xr3:uid="{00000000-0010-0000-0300-000008050000}" name="Column1283" dataDxfId="15120"/>
    <tableColumn id="1289" xr3:uid="{00000000-0010-0000-0300-000009050000}" name="Column1284" dataDxfId="15119"/>
    <tableColumn id="1290" xr3:uid="{00000000-0010-0000-0300-00000A050000}" name="Column1285" dataDxfId="15118"/>
    <tableColumn id="1291" xr3:uid="{00000000-0010-0000-0300-00000B050000}" name="Column1286" dataDxfId="15117"/>
    <tableColumn id="1292" xr3:uid="{00000000-0010-0000-0300-00000C050000}" name="Column1287" dataDxfId="15116"/>
    <tableColumn id="1293" xr3:uid="{00000000-0010-0000-0300-00000D050000}" name="Column1288" dataDxfId="15115"/>
    <tableColumn id="1294" xr3:uid="{00000000-0010-0000-0300-00000E050000}" name="Column1289" dataDxfId="15114"/>
    <tableColumn id="1295" xr3:uid="{00000000-0010-0000-0300-00000F050000}" name="Column1290" dataDxfId="15113"/>
    <tableColumn id="1296" xr3:uid="{00000000-0010-0000-0300-000010050000}" name="Column1291" dataDxfId="15112"/>
    <tableColumn id="1297" xr3:uid="{00000000-0010-0000-0300-000011050000}" name="Column1292" dataDxfId="15111"/>
    <tableColumn id="1298" xr3:uid="{00000000-0010-0000-0300-000012050000}" name="Column1293" dataDxfId="15110"/>
    <tableColumn id="1299" xr3:uid="{00000000-0010-0000-0300-000013050000}" name="Column1294" dataDxfId="15109"/>
    <tableColumn id="1300" xr3:uid="{00000000-0010-0000-0300-000014050000}" name="Column1295" dataDxfId="15108"/>
    <tableColumn id="1301" xr3:uid="{00000000-0010-0000-0300-000015050000}" name="Column1296" dataDxfId="15107"/>
    <tableColumn id="1302" xr3:uid="{00000000-0010-0000-0300-000016050000}" name="Column1297" dataDxfId="15106"/>
    <tableColumn id="1303" xr3:uid="{00000000-0010-0000-0300-000017050000}" name="Column1298" dataDxfId="15105"/>
    <tableColumn id="1304" xr3:uid="{00000000-0010-0000-0300-000018050000}" name="Column1299" dataDxfId="15104"/>
    <tableColumn id="1305" xr3:uid="{00000000-0010-0000-0300-000019050000}" name="Column1300" dataDxfId="15103"/>
    <tableColumn id="1306" xr3:uid="{00000000-0010-0000-0300-00001A050000}" name="Column1301" dataDxfId="15102"/>
    <tableColumn id="1307" xr3:uid="{00000000-0010-0000-0300-00001B050000}" name="Column1302" dataDxfId="15101"/>
    <tableColumn id="1308" xr3:uid="{00000000-0010-0000-0300-00001C050000}" name="Column1303" dataDxfId="15100"/>
    <tableColumn id="1309" xr3:uid="{00000000-0010-0000-0300-00001D050000}" name="Column1304" dataDxfId="15099"/>
    <tableColumn id="1310" xr3:uid="{00000000-0010-0000-0300-00001E050000}" name="Column1305" dataDxfId="15098"/>
    <tableColumn id="1311" xr3:uid="{00000000-0010-0000-0300-00001F050000}" name="Column1306" dataDxfId="15097"/>
    <tableColumn id="1312" xr3:uid="{00000000-0010-0000-0300-000020050000}" name="Column1307" dataDxfId="15096"/>
    <tableColumn id="1313" xr3:uid="{00000000-0010-0000-0300-000021050000}" name="Column1308" dataDxfId="15095"/>
    <tableColumn id="1314" xr3:uid="{00000000-0010-0000-0300-000022050000}" name="Column1309" dataDxfId="15094"/>
    <tableColumn id="1315" xr3:uid="{00000000-0010-0000-0300-000023050000}" name="Column1310" dataDxfId="15093"/>
    <tableColumn id="1316" xr3:uid="{00000000-0010-0000-0300-000024050000}" name="Column1311" dataDxfId="15092"/>
    <tableColumn id="1317" xr3:uid="{00000000-0010-0000-0300-000025050000}" name="Column1312" dataDxfId="15091"/>
    <tableColumn id="1318" xr3:uid="{00000000-0010-0000-0300-000026050000}" name="Column1313" dataDxfId="15090"/>
    <tableColumn id="1319" xr3:uid="{00000000-0010-0000-0300-000027050000}" name="Column1314" dataDxfId="15089"/>
    <tableColumn id="1320" xr3:uid="{00000000-0010-0000-0300-000028050000}" name="Column1315" dataDxfId="15088"/>
    <tableColumn id="1321" xr3:uid="{00000000-0010-0000-0300-000029050000}" name="Column1316" dataDxfId="15087"/>
    <tableColumn id="1322" xr3:uid="{00000000-0010-0000-0300-00002A050000}" name="Column1317" dataDxfId="15086"/>
    <tableColumn id="1323" xr3:uid="{00000000-0010-0000-0300-00002B050000}" name="Column1318" dataDxfId="15085"/>
    <tableColumn id="1324" xr3:uid="{00000000-0010-0000-0300-00002C050000}" name="Column1319" dataDxfId="15084"/>
    <tableColumn id="1325" xr3:uid="{00000000-0010-0000-0300-00002D050000}" name="Column1320" dataDxfId="15083"/>
    <tableColumn id="1326" xr3:uid="{00000000-0010-0000-0300-00002E050000}" name="Column1321" dataDxfId="15082"/>
    <tableColumn id="1327" xr3:uid="{00000000-0010-0000-0300-00002F050000}" name="Column1322" dataDxfId="15081"/>
    <tableColumn id="1328" xr3:uid="{00000000-0010-0000-0300-000030050000}" name="Column1323" dataDxfId="15080"/>
    <tableColumn id="1329" xr3:uid="{00000000-0010-0000-0300-000031050000}" name="Column1324" dataDxfId="15079"/>
    <tableColumn id="1330" xr3:uid="{00000000-0010-0000-0300-000032050000}" name="Column1325" dataDxfId="15078"/>
    <tableColumn id="1331" xr3:uid="{00000000-0010-0000-0300-000033050000}" name="Column1326" dataDxfId="15077"/>
    <tableColumn id="1332" xr3:uid="{00000000-0010-0000-0300-000034050000}" name="Column1327" dataDxfId="15076"/>
    <tableColumn id="1333" xr3:uid="{00000000-0010-0000-0300-000035050000}" name="Column1328" dataDxfId="15075"/>
    <tableColumn id="1334" xr3:uid="{00000000-0010-0000-0300-000036050000}" name="Column1329" dataDxfId="15074"/>
    <tableColumn id="1335" xr3:uid="{00000000-0010-0000-0300-000037050000}" name="Column1330" dataDxfId="15073"/>
    <tableColumn id="1336" xr3:uid="{00000000-0010-0000-0300-000038050000}" name="Column1331" dataDxfId="15072"/>
    <tableColumn id="1337" xr3:uid="{00000000-0010-0000-0300-000039050000}" name="Column1332" dataDxfId="15071"/>
    <tableColumn id="1338" xr3:uid="{00000000-0010-0000-0300-00003A050000}" name="Column1333" dataDxfId="15070"/>
    <tableColumn id="1339" xr3:uid="{00000000-0010-0000-0300-00003B050000}" name="Column1334" dataDxfId="15069"/>
    <tableColumn id="1340" xr3:uid="{00000000-0010-0000-0300-00003C050000}" name="Column1335" dataDxfId="15068"/>
    <tableColumn id="1341" xr3:uid="{00000000-0010-0000-0300-00003D050000}" name="Column1336" dataDxfId="15067"/>
    <tableColumn id="1342" xr3:uid="{00000000-0010-0000-0300-00003E050000}" name="Column1337" dataDxfId="15066"/>
    <tableColumn id="1343" xr3:uid="{00000000-0010-0000-0300-00003F050000}" name="Column1338" dataDxfId="15065"/>
    <tableColumn id="1344" xr3:uid="{00000000-0010-0000-0300-000040050000}" name="Column1339" dataDxfId="15064"/>
    <tableColumn id="1345" xr3:uid="{00000000-0010-0000-0300-000041050000}" name="Column1340" dataDxfId="15063"/>
    <tableColumn id="1346" xr3:uid="{00000000-0010-0000-0300-000042050000}" name="Column1341" dataDxfId="15062"/>
    <tableColumn id="1347" xr3:uid="{00000000-0010-0000-0300-000043050000}" name="Column1342" dataDxfId="15061"/>
    <tableColumn id="1348" xr3:uid="{00000000-0010-0000-0300-000044050000}" name="Column1343" dataDxfId="15060"/>
    <tableColumn id="1349" xr3:uid="{00000000-0010-0000-0300-000045050000}" name="Column1344" dataDxfId="15059"/>
    <tableColumn id="1350" xr3:uid="{00000000-0010-0000-0300-000046050000}" name="Column1345" dataDxfId="15058"/>
    <tableColumn id="1351" xr3:uid="{00000000-0010-0000-0300-000047050000}" name="Column1346" dataDxfId="15057"/>
    <tableColumn id="1352" xr3:uid="{00000000-0010-0000-0300-000048050000}" name="Column1347" dataDxfId="15056"/>
    <tableColumn id="1353" xr3:uid="{00000000-0010-0000-0300-000049050000}" name="Column1348" dataDxfId="15055"/>
    <tableColumn id="1354" xr3:uid="{00000000-0010-0000-0300-00004A050000}" name="Column1349" dataDxfId="15054"/>
    <tableColumn id="1355" xr3:uid="{00000000-0010-0000-0300-00004B050000}" name="Column1350" dataDxfId="15053"/>
    <tableColumn id="1356" xr3:uid="{00000000-0010-0000-0300-00004C050000}" name="Column1351" dataDxfId="15052"/>
    <tableColumn id="1357" xr3:uid="{00000000-0010-0000-0300-00004D050000}" name="Column1352" dataDxfId="15051"/>
    <tableColumn id="1358" xr3:uid="{00000000-0010-0000-0300-00004E050000}" name="Column1353" dataDxfId="15050"/>
    <tableColumn id="1359" xr3:uid="{00000000-0010-0000-0300-00004F050000}" name="Column1354" dataDxfId="15049"/>
    <tableColumn id="1360" xr3:uid="{00000000-0010-0000-0300-000050050000}" name="Column1355" dataDxfId="15048"/>
    <tableColumn id="1361" xr3:uid="{00000000-0010-0000-0300-000051050000}" name="Column1356" dataDxfId="15047"/>
    <tableColumn id="1362" xr3:uid="{00000000-0010-0000-0300-000052050000}" name="Column1357" dataDxfId="15046"/>
    <tableColumn id="1363" xr3:uid="{00000000-0010-0000-0300-000053050000}" name="Column1358" dataDxfId="15045"/>
    <tableColumn id="1364" xr3:uid="{00000000-0010-0000-0300-000054050000}" name="Column1359" dataDxfId="15044"/>
    <tableColumn id="1365" xr3:uid="{00000000-0010-0000-0300-000055050000}" name="Column1360" dataDxfId="15043"/>
    <tableColumn id="1366" xr3:uid="{00000000-0010-0000-0300-000056050000}" name="Column1361" dataDxfId="15042"/>
    <tableColumn id="1367" xr3:uid="{00000000-0010-0000-0300-000057050000}" name="Column1362" dataDxfId="15041"/>
    <tableColumn id="1368" xr3:uid="{00000000-0010-0000-0300-000058050000}" name="Column1363" dataDxfId="15040"/>
    <tableColumn id="1369" xr3:uid="{00000000-0010-0000-0300-000059050000}" name="Column1364" dataDxfId="15039"/>
    <tableColumn id="1370" xr3:uid="{00000000-0010-0000-0300-00005A050000}" name="Column1365" dataDxfId="15038"/>
    <tableColumn id="1371" xr3:uid="{00000000-0010-0000-0300-00005B050000}" name="Column1366" dataDxfId="15037"/>
    <tableColumn id="1372" xr3:uid="{00000000-0010-0000-0300-00005C050000}" name="Column1367" dataDxfId="15036"/>
    <tableColumn id="1373" xr3:uid="{00000000-0010-0000-0300-00005D050000}" name="Column1368" dataDxfId="15035"/>
    <tableColumn id="1374" xr3:uid="{00000000-0010-0000-0300-00005E050000}" name="Column1369" dataDxfId="15034"/>
    <tableColumn id="1375" xr3:uid="{00000000-0010-0000-0300-00005F050000}" name="Column1370" dataDxfId="15033"/>
    <tableColumn id="1376" xr3:uid="{00000000-0010-0000-0300-000060050000}" name="Column1371" dataDxfId="15032"/>
    <tableColumn id="1377" xr3:uid="{00000000-0010-0000-0300-000061050000}" name="Column1372" dataDxfId="15031"/>
    <tableColumn id="1378" xr3:uid="{00000000-0010-0000-0300-000062050000}" name="Column1373" dataDxfId="15030"/>
    <tableColumn id="1379" xr3:uid="{00000000-0010-0000-0300-000063050000}" name="Column1374" dataDxfId="15029"/>
    <tableColumn id="1380" xr3:uid="{00000000-0010-0000-0300-000064050000}" name="Column1375" dataDxfId="15028"/>
    <tableColumn id="1381" xr3:uid="{00000000-0010-0000-0300-000065050000}" name="Column1376" dataDxfId="15027"/>
    <tableColumn id="1382" xr3:uid="{00000000-0010-0000-0300-000066050000}" name="Column1377" dataDxfId="15026"/>
    <tableColumn id="1383" xr3:uid="{00000000-0010-0000-0300-000067050000}" name="Column1378" dataDxfId="15025"/>
    <tableColumn id="1384" xr3:uid="{00000000-0010-0000-0300-000068050000}" name="Column1379" dataDxfId="15024"/>
    <tableColumn id="1385" xr3:uid="{00000000-0010-0000-0300-000069050000}" name="Column1380" dataDxfId="15023"/>
    <tableColumn id="1386" xr3:uid="{00000000-0010-0000-0300-00006A050000}" name="Column1381" dataDxfId="15022"/>
    <tableColumn id="1387" xr3:uid="{00000000-0010-0000-0300-00006B050000}" name="Column1382" dataDxfId="15021"/>
    <tableColumn id="1388" xr3:uid="{00000000-0010-0000-0300-00006C050000}" name="Column1383" dataDxfId="15020"/>
    <tableColumn id="1389" xr3:uid="{00000000-0010-0000-0300-00006D050000}" name="Column1384" dataDxfId="15019"/>
    <tableColumn id="1390" xr3:uid="{00000000-0010-0000-0300-00006E050000}" name="Column1385" dataDxfId="15018"/>
    <tableColumn id="1391" xr3:uid="{00000000-0010-0000-0300-00006F050000}" name="Column1386" dataDxfId="15017"/>
    <tableColumn id="1392" xr3:uid="{00000000-0010-0000-0300-000070050000}" name="Column1387" dataDxfId="15016"/>
    <tableColumn id="1393" xr3:uid="{00000000-0010-0000-0300-000071050000}" name="Column1388" dataDxfId="15015"/>
    <tableColumn id="1394" xr3:uid="{00000000-0010-0000-0300-000072050000}" name="Column1389" dataDxfId="15014"/>
    <tableColumn id="1395" xr3:uid="{00000000-0010-0000-0300-000073050000}" name="Column1390" dataDxfId="15013"/>
    <tableColumn id="1396" xr3:uid="{00000000-0010-0000-0300-000074050000}" name="Column1391" dataDxfId="15012"/>
    <tableColumn id="1397" xr3:uid="{00000000-0010-0000-0300-000075050000}" name="Column1392" dataDxfId="15011"/>
    <tableColumn id="1398" xr3:uid="{00000000-0010-0000-0300-000076050000}" name="Column1393" dataDxfId="15010"/>
    <tableColumn id="1399" xr3:uid="{00000000-0010-0000-0300-000077050000}" name="Column1394" dataDxfId="15009"/>
    <tableColumn id="1400" xr3:uid="{00000000-0010-0000-0300-000078050000}" name="Column1395" dataDxfId="15008"/>
    <tableColumn id="1401" xr3:uid="{00000000-0010-0000-0300-000079050000}" name="Column1396" dataDxfId="15007"/>
    <tableColumn id="1402" xr3:uid="{00000000-0010-0000-0300-00007A050000}" name="Column1397" dataDxfId="15006"/>
    <tableColumn id="1403" xr3:uid="{00000000-0010-0000-0300-00007B050000}" name="Column1398" dataDxfId="15005"/>
    <tableColumn id="1404" xr3:uid="{00000000-0010-0000-0300-00007C050000}" name="Column1399" dataDxfId="15004"/>
    <tableColumn id="1405" xr3:uid="{00000000-0010-0000-0300-00007D050000}" name="Column1400" dataDxfId="15003"/>
    <tableColumn id="1406" xr3:uid="{00000000-0010-0000-0300-00007E050000}" name="Column1401" dataDxfId="15002"/>
    <tableColumn id="1407" xr3:uid="{00000000-0010-0000-0300-00007F050000}" name="Column1402" dataDxfId="15001"/>
    <tableColumn id="1408" xr3:uid="{00000000-0010-0000-0300-000080050000}" name="Column1403" dataDxfId="15000"/>
    <tableColumn id="1409" xr3:uid="{00000000-0010-0000-0300-000081050000}" name="Column1404" dataDxfId="14999"/>
    <tableColumn id="1410" xr3:uid="{00000000-0010-0000-0300-000082050000}" name="Column1405" dataDxfId="14998"/>
    <tableColumn id="1411" xr3:uid="{00000000-0010-0000-0300-000083050000}" name="Column1406" dataDxfId="14997"/>
    <tableColumn id="1412" xr3:uid="{00000000-0010-0000-0300-000084050000}" name="Column1407" dataDxfId="14996"/>
    <tableColumn id="1413" xr3:uid="{00000000-0010-0000-0300-000085050000}" name="Column1408" dataDxfId="14995"/>
    <tableColumn id="1414" xr3:uid="{00000000-0010-0000-0300-000086050000}" name="Column1409" dataDxfId="14994"/>
    <tableColumn id="1415" xr3:uid="{00000000-0010-0000-0300-000087050000}" name="Column1410" dataDxfId="14993"/>
    <tableColumn id="1416" xr3:uid="{00000000-0010-0000-0300-000088050000}" name="Column1411" dataDxfId="14992"/>
    <tableColumn id="1417" xr3:uid="{00000000-0010-0000-0300-000089050000}" name="Column1412" dataDxfId="14991"/>
    <tableColumn id="1418" xr3:uid="{00000000-0010-0000-0300-00008A050000}" name="Column1413" dataDxfId="14990"/>
    <tableColumn id="1419" xr3:uid="{00000000-0010-0000-0300-00008B050000}" name="Column1414" dataDxfId="14989"/>
    <tableColumn id="1420" xr3:uid="{00000000-0010-0000-0300-00008C050000}" name="Column1415" dataDxfId="14988"/>
    <tableColumn id="1421" xr3:uid="{00000000-0010-0000-0300-00008D050000}" name="Column1416" dataDxfId="14987"/>
    <tableColumn id="1422" xr3:uid="{00000000-0010-0000-0300-00008E050000}" name="Column1417" dataDxfId="14986"/>
    <tableColumn id="1423" xr3:uid="{00000000-0010-0000-0300-00008F050000}" name="Column1418" dataDxfId="14985"/>
    <tableColumn id="1424" xr3:uid="{00000000-0010-0000-0300-000090050000}" name="Column1419" dataDxfId="14984"/>
    <tableColumn id="1425" xr3:uid="{00000000-0010-0000-0300-000091050000}" name="Column1420" dataDxfId="14983"/>
    <tableColumn id="1426" xr3:uid="{00000000-0010-0000-0300-000092050000}" name="Column1421" dataDxfId="14982"/>
    <tableColumn id="1427" xr3:uid="{00000000-0010-0000-0300-000093050000}" name="Column1422" dataDxfId="14981"/>
    <tableColumn id="1428" xr3:uid="{00000000-0010-0000-0300-000094050000}" name="Column1423" dataDxfId="14980"/>
    <tableColumn id="1429" xr3:uid="{00000000-0010-0000-0300-000095050000}" name="Column1424" dataDxfId="14979"/>
    <tableColumn id="1430" xr3:uid="{00000000-0010-0000-0300-000096050000}" name="Column1425" dataDxfId="14978"/>
    <tableColumn id="1431" xr3:uid="{00000000-0010-0000-0300-000097050000}" name="Column1426" dataDxfId="14977"/>
    <tableColumn id="1432" xr3:uid="{00000000-0010-0000-0300-000098050000}" name="Column1427" dataDxfId="14976"/>
    <tableColumn id="1433" xr3:uid="{00000000-0010-0000-0300-000099050000}" name="Column1428" dataDxfId="14975"/>
    <tableColumn id="1434" xr3:uid="{00000000-0010-0000-0300-00009A050000}" name="Column1429" dataDxfId="14974"/>
    <tableColumn id="1435" xr3:uid="{00000000-0010-0000-0300-00009B050000}" name="Column1430" dataDxfId="14973"/>
    <tableColumn id="1436" xr3:uid="{00000000-0010-0000-0300-00009C050000}" name="Column1431" dataDxfId="14972"/>
    <tableColumn id="1437" xr3:uid="{00000000-0010-0000-0300-00009D050000}" name="Column1432" dataDxfId="14971"/>
    <tableColumn id="1438" xr3:uid="{00000000-0010-0000-0300-00009E050000}" name="Column1433" dataDxfId="14970"/>
    <tableColumn id="1439" xr3:uid="{00000000-0010-0000-0300-00009F050000}" name="Column1434" dataDxfId="14969"/>
    <tableColumn id="1440" xr3:uid="{00000000-0010-0000-0300-0000A0050000}" name="Column1435" dataDxfId="14968"/>
    <tableColumn id="1441" xr3:uid="{00000000-0010-0000-0300-0000A1050000}" name="Column1436" dataDxfId="14967"/>
    <tableColumn id="1442" xr3:uid="{00000000-0010-0000-0300-0000A2050000}" name="Column1437" dataDxfId="14966"/>
    <tableColumn id="1443" xr3:uid="{00000000-0010-0000-0300-0000A3050000}" name="Column1438" dataDxfId="14965"/>
    <tableColumn id="1444" xr3:uid="{00000000-0010-0000-0300-0000A4050000}" name="Column1439" dataDxfId="14964"/>
    <tableColumn id="1445" xr3:uid="{00000000-0010-0000-0300-0000A5050000}" name="Column1440" dataDxfId="14963"/>
    <tableColumn id="1446" xr3:uid="{00000000-0010-0000-0300-0000A6050000}" name="Column1441" dataDxfId="14962"/>
    <tableColumn id="1447" xr3:uid="{00000000-0010-0000-0300-0000A7050000}" name="Column1442" dataDxfId="14961"/>
    <tableColumn id="1448" xr3:uid="{00000000-0010-0000-0300-0000A8050000}" name="Column1443" dataDxfId="14960"/>
    <tableColumn id="1449" xr3:uid="{00000000-0010-0000-0300-0000A9050000}" name="Column1444" dataDxfId="14959"/>
    <tableColumn id="1450" xr3:uid="{00000000-0010-0000-0300-0000AA050000}" name="Column1445" dataDxfId="14958"/>
    <tableColumn id="1451" xr3:uid="{00000000-0010-0000-0300-0000AB050000}" name="Column1446" dataDxfId="14957"/>
    <tableColumn id="1452" xr3:uid="{00000000-0010-0000-0300-0000AC050000}" name="Column1447" dataDxfId="14956"/>
    <tableColumn id="1453" xr3:uid="{00000000-0010-0000-0300-0000AD050000}" name="Column1448" dataDxfId="14955"/>
    <tableColumn id="1454" xr3:uid="{00000000-0010-0000-0300-0000AE050000}" name="Column1449" dataDxfId="14954"/>
    <tableColumn id="1455" xr3:uid="{00000000-0010-0000-0300-0000AF050000}" name="Column1450" dataDxfId="14953"/>
    <tableColumn id="1456" xr3:uid="{00000000-0010-0000-0300-0000B0050000}" name="Column1451" dataDxfId="14952"/>
    <tableColumn id="1457" xr3:uid="{00000000-0010-0000-0300-0000B1050000}" name="Column1452" dataDxfId="14951"/>
    <tableColumn id="1458" xr3:uid="{00000000-0010-0000-0300-0000B2050000}" name="Column1453" dataDxfId="14950"/>
    <tableColumn id="1459" xr3:uid="{00000000-0010-0000-0300-0000B3050000}" name="Column1454" dataDxfId="14949"/>
    <tableColumn id="1460" xr3:uid="{00000000-0010-0000-0300-0000B4050000}" name="Column1455" dataDxfId="14948"/>
    <tableColumn id="1461" xr3:uid="{00000000-0010-0000-0300-0000B5050000}" name="Column1456" dataDxfId="14947"/>
    <tableColumn id="1462" xr3:uid="{00000000-0010-0000-0300-0000B6050000}" name="Column1457" dataDxfId="14946"/>
    <tableColumn id="1463" xr3:uid="{00000000-0010-0000-0300-0000B7050000}" name="Column1458" dataDxfId="14945"/>
    <tableColumn id="1464" xr3:uid="{00000000-0010-0000-0300-0000B8050000}" name="Column1459" dataDxfId="14944"/>
    <tableColumn id="1465" xr3:uid="{00000000-0010-0000-0300-0000B9050000}" name="Column1460" dataDxfId="14943"/>
    <tableColumn id="1466" xr3:uid="{00000000-0010-0000-0300-0000BA050000}" name="Column1461" dataDxfId="14942"/>
    <tableColumn id="1467" xr3:uid="{00000000-0010-0000-0300-0000BB050000}" name="Column1462" dataDxfId="14941"/>
    <tableColumn id="1468" xr3:uid="{00000000-0010-0000-0300-0000BC050000}" name="Column1463" dataDxfId="14940"/>
    <tableColumn id="1469" xr3:uid="{00000000-0010-0000-0300-0000BD050000}" name="Column1464" dataDxfId="14939"/>
    <tableColumn id="1470" xr3:uid="{00000000-0010-0000-0300-0000BE050000}" name="Column1465" dataDxfId="14938"/>
    <tableColumn id="1471" xr3:uid="{00000000-0010-0000-0300-0000BF050000}" name="Column1466" dataDxfId="14937"/>
    <tableColumn id="1472" xr3:uid="{00000000-0010-0000-0300-0000C0050000}" name="Column1467" dataDxfId="14936"/>
    <tableColumn id="1473" xr3:uid="{00000000-0010-0000-0300-0000C1050000}" name="Column1468" dataDxfId="14935"/>
    <tableColumn id="1474" xr3:uid="{00000000-0010-0000-0300-0000C2050000}" name="Column1469" dataDxfId="14934"/>
    <tableColumn id="1475" xr3:uid="{00000000-0010-0000-0300-0000C3050000}" name="Column1470" dataDxfId="14933"/>
    <tableColumn id="1476" xr3:uid="{00000000-0010-0000-0300-0000C4050000}" name="Column1471" dataDxfId="14932"/>
    <tableColumn id="1477" xr3:uid="{00000000-0010-0000-0300-0000C5050000}" name="Column1472" dataDxfId="14931"/>
    <tableColumn id="1478" xr3:uid="{00000000-0010-0000-0300-0000C6050000}" name="Column1473" dataDxfId="14930"/>
    <tableColumn id="1479" xr3:uid="{00000000-0010-0000-0300-0000C7050000}" name="Column1474" dataDxfId="14929"/>
    <tableColumn id="1480" xr3:uid="{00000000-0010-0000-0300-0000C8050000}" name="Column1475" dataDxfId="14928"/>
    <tableColumn id="1481" xr3:uid="{00000000-0010-0000-0300-0000C9050000}" name="Column1476" dataDxfId="14927"/>
    <tableColumn id="1482" xr3:uid="{00000000-0010-0000-0300-0000CA050000}" name="Column1477" dataDxfId="14926"/>
    <tableColumn id="1483" xr3:uid="{00000000-0010-0000-0300-0000CB050000}" name="Column1478" dataDxfId="14925"/>
    <tableColumn id="1484" xr3:uid="{00000000-0010-0000-0300-0000CC050000}" name="Column1479" dataDxfId="14924"/>
    <tableColumn id="1485" xr3:uid="{00000000-0010-0000-0300-0000CD050000}" name="Column1480" dataDxfId="14923"/>
    <tableColumn id="1486" xr3:uid="{00000000-0010-0000-0300-0000CE050000}" name="Column1481" dataDxfId="14922"/>
    <tableColumn id="1487" xr3:uid="{00000000-0010-0000-0300-0000CF050000}" name="Column1482" dataDxfId="14921"/>
    <tableColumn id="1488" xr3:uid="{00000000-0010-0000-0300-0000D0050000}" name="Column1483" dataDxfId="14920"/>
    <tableColumn id="1489" xr3:uid="{00000000-0010-0000-0300-0000D1050000}" name="Column1484" dataDxfId="14919"/>
    <tableColumn id="1490" xr3:uid="{00000000-0010-0000-0300-0000D2050000}" name="Column1485" dataDxfId="14918"/>
    <tableColumn id="1491" xr3:uid="{00000000-0010-0000-0300-0000D3050000}" name="Column1486" dataDxfId="14917"/>
    <tableColumn id="1492" xr3:uid="{00000000-0010-0000-0300-0000D4050000}" name="Column1487" dataDxfId="14916"/>
    <tableColumn id="1493" xr3:uid="{00000000-0010-0000-0300-0000D5050000}" name="Column1488" dataDxfId="14915"/>
    <tableColumn id="1494" xr3:uid="{00000000-0010-0000-0300-0000D6050000}" name="Column1489" dataDxfId="14914"/>
    <tableColumn id="1495" xr3:uid="{00000000-0010-0000-0300-0000D7050000}" name="Column1490" dataDxfId="14913"/>
    <tableColumn id="1496" xr3:uid="{00000000-0010-0000-0300-0000D8050000}" name="Column1491" dataDxfId="14912"/>
    <tableColumn id="1497" xr3:uid="{00000000-0010-0000-0300-0000D9050000}" name="Column1492" dataDxfId="14911"/>
    <tableColumn id="1498" xr3:uid="{00000000-0010-0000-0300-0000DA050000}" name="Column1493" dataDxfId="14910"/>
    <tableColumn id="1499" xr3:uid="{00000000-0010-0000-0300-0000DB050000}" name="Column1494" dataDxfId="14909"/>
    <tableColumn id="1500" xr3:uid="{00000000-0010-0000-0300-0000DC050000}" name="Column1495" dataDxfId="14908"/>
    <tableColumn id="1501" xr3:uid="{00000000-0010-0000-0300-0000DD050000}" name="Column1496" dataDxfId="14907"/>
    <tableColumn id="1502" xr3:uid="{00000000-0010-0000-0300-0000DE050000}" name="Column1497" dataDxfId="14906"/>
    <tableColumn id="1503" xr3:uid="{00000000-0010-0000-0300-0000DF050000}" name="Column1498" dataDxfId="14905"/>
    <tableColumn id="1504" xr3:uid="{00000000-0010-0000-0300-0000E0050000}" name="Column1499" dataDxfId="14904"/>
    <tableColumn id="1505" xr3:uid="{00000000-0010-0000-0300-0000E1050000}" name="Column1500" dataDxfId="14903"/>
    <tableColumn id="1506" xr3:uid="{00000000-0010-0000-0300-0000E2050000}" name="Column1501" dataDxfId="14902"/>
    <tableColumn id="1507" xr3:uid="{00000000-0010-0000-0300-0000E3050000}" name="Column1502" dataDxfId="14901"/>
    <tableColumn id="1508" xr3:uid="{00000000-0010-0000-0300-0000E4050000}" name="Column1503" dataDxfId="14900"/>
    <tableColumn id="1509" xr3:uid="{00000000-0010-0000-0300-0000E5050000}" name="Column1504" dataDxfId="14899"/>
    <tableColumn id="1510" xr3:uid="{00000000-0010-0000-0300-0000E6050000}" name="Column1505" dataDxfId="14898"/>
    <tableColumn id="1511" xr3:uid="{00000000-0010-0000-0300-0000E7050000}" name="Column1506" dataDxfId="14897"/>
    <tableColumn id="1512" xr3:uid="{00000000-0010-0000-0300-0000E8050000}" name="Column1507" dataDxfId="14896"/>
    <tableColumn id="1513" xr3:uid="{00000000-0010-0000-0300-0000E9050000}" name="Column1508" dataDxfId="14895"/>
    <tableColumn id="1514" xr3:uid="{00000000-0010-0000-0300-0000EA050000}" name="Column1509" dataDxfId="14894"/>
    <tableColumn id="1515" xr3:uid="{00000000-0010-0000-0300-0000EB050000}" name="Column1510" dataDxfId="14893"/>
    <tableColumn id="1516" xr3:uid="{00000000-0010-0000-0300-0000EC050000}" name="Column1511" dataDxfId="14892"/>
    <tableColumn id="1517" xr3:uid="{00000000-0010-0000-0300-0000ED050000}" name="Column1512" dataDxfId="14891"/>
    <tableColumn id="1518" xr3:uid="{00000000-0010-0000-0300-0000EE050000}" name="Column1513" dataDxfId="14890"/>
    <tableColumn id="1519" xr3:uid="{00000000-0010-0000-0300-0000EF050000}" name="Column1514" dataDxfId="14889"/>
    <tableColumn id="1520" xr3:uid="{00000000-0010-0000-0300-0000F0050000}" name="Column1515" dataDxfId="14888"/>
    <tableColumn id="1521" xr3:uid="{00000000-0010-0000-0300-0000F1050000}" name="Column1516" dataDxfId="14887"/>
    <tableColumn id="1522" xr3:uid="{00000000-0010-0000-0300-0000F2050000}" name="Column1517" dataDxfId="14886"/>
    <tableColumn id="1523" xr3:uid="{00000000-0010-0000-0300-0000F3050000}" name="Column1518" dataDxfId="14885"/>
    <tableColumn id="1524" xr3:uid="{00000000-0010-0000-0300-0000F4050000}" name="Column1519" dataDxfId="14884"/>
    <tableColumn id="1525" xr3:uid="{00000000-0010-0000-0300-0000F5050000}" name="Column1520" dataDxfId="14883"/>
    <tableColumn id="1526" xr3:uid="{00000000-0010-0000-0300-0000F6050000}" name="Column1521" dataDxfId="14882"/>
    <tableColumn id="1527" xr3:uid="{00000000-0010-0000-0300-0000F7050000}" name="Column1522" dataDxfId="14881"/>
    <tableColumn id="1528" xr3:uid="{00000000-0010-0000-0300-0000F8050000}" name="Column1523" dataDxfId="14880"/>
    <tableColumn id="1529" xr3:uid="{00000000-0010-0000-0300-0000F9050000}" name="Column1524" dataDxfId="14879"/>
    <tableColumn id="1530" xr3:uid="{00000000-0010-0000-0300-0000FA050000}" name="Column1525" dataDxfId="14878"/>
    <tableColumn id="1531" xr3:uid="{00000000-0010-0000-0300-0000FB050000}" name="Column1526" dataDxfId="14877"/>
    <tableColumn id="1532" xr3:uid="{00000000-0010-0000-0300-0000FC050000}" name="Column1527" dataDxfId="14876"/>
    <tableColumn id="1533" xr3:uid="{00000000-0010-0000-0300-0000FD050000}" name="Column1528" dataDxfId="14875"/>
    <tableColumn id="1534" xr3:uid="{00000000-0010-0000-0300-0000FE050000}" name="Column1529" dataDxfId="14874"/>
    <tableColumn id="1535" xr3:uid="{00000000-0010-0000-0300-0000FF050000}" name="Column1530" dataDxfId="14873"/>
    <tableColumn id="1536" xr3:uid="{00000000-0010-0000-0300-000000060000}" name="Column1531" dataDxfId="14872"/>
    <tableColumn id="1537" xr3:uid="{00000000-0010-0000-0300-000001060000}" name="Column1532" dataDxfId="14871"/>
    <tableColumn id="1538" xr3:uid="{00000000-0010-0000-0300-000002060000}" name="Column1533" dataDxfId="14870"/>
    <tableColumn id="1539" xr3:uid="{00000000-0010-0000-0300-000003060000}" name="Column1534" dataDxfId="14869"/>
    <tableColumn id="1540" xr3:uid="{00000000-0010-0000-0300-000004060000}" name="Column1535" dataDxfId="14868"/>
    <tableColumn id="1541" xr3:uid="{00000000-0010-0000-0300-000005060000}" name="Column1536" dataDxfId="14867"/>
    <tableColumn id="1542" xr3:uid="{00000000-0010-0000-0300-000006060000}" name="Column1537" dataDxfId="14866"/>
    <tableColumn id="1543" xr3:uid="{00000000-0010-0000-0300-000007060000}" name="Column1538" dataDxfId="14865"/>
    <tableColumn id="1544" xr3:uid="{00000000-0010-0000-0300-000008060000}" name="Column1539" dataDxfId="14864"/>
    <tableColumn id="1545" xr3:uid="{00000000-0010-0000-0300-000009060000}" name="Column1540" dataDxfId="14863"/>
    <tableColumn id="1546" xr3:uid="{00000000-0010-0000-0300-00000A060000}" name="Column1541" dataDxfId="14862"/>
    <tableColumn id="1547" xr3:uid="{00000000-0010-0000-0300-00000B060000}" name="Column1542" dataDxfId="14861"/>
    <tableColumn id="1548" xr3:uid="{00000000-0010-0000-0300-00000C060000}" name="Column1543" dataDxfId="14860"/>
    <tableColumn id="1549" xr3:uid="{00000000-0010-0000-0300-00000D060000}" name="Column1544" dataDxfId="14859"/>
    <tableColumn id="1550" xr3:uid="{00000000-0010-0000-0300-00000E060000}" name="Column1545" dataDxfId="14858"/>
    <tableColumn id="1551" xr3:uid="{00000000-0010-0000-0300-00000F060000}" name="Column1546" dataDxfId="14857"/>
    <tableColumn id="1552" xr3:uid="{00000000-0010-0000-0300-000010060000}" name="Column1547" dataDxfId="14856"/>
    <tableColumn id="1553" xr3:uid="{00000000-0010-0000-0300-000011060000}" name="Column1548" dataDxfId="14855"/>
    <tableColumn id="1554" xr3:uid="{00000000-0010-0000-0300-000012060000}" name="Column1549" dataDxfId="14854"/>
    <tableColumn id="1555" xr3:uid="{00000000-0010-0000-0300-000013060000}" name="Column1550" dataDxfId="14853"/>
    <tableColumn id="1556" xr3:uid="{00000000-0010-0000-0300-000014060000}" name="Column1551" dataDxfId="14852"/>
    <tableColumn id="1557" xr3:uid="{00000000-0010-0000-0300-000015060000}" name="Column1552" dataDxfId="14851"/>
    <tableColumn id="1558" xr3:uid="{00000000-0010-0000-0300-000016060000}" name="Column1553" dataDxfId="14850"/>
    <tableColumn id="1559" xr3:uid="{00000000-0010-0000-0300-000017060000}" name="Column1554" dataDxfId="14849"/>
    <tableColumn id="1560" xr3:uid="{00000000-0010-0000-0300-000018060000}" name="Column1555" dataDxfId="14848"/>
    <tableColumn id="1561" xr3:uid="{00000000-0010-0000-0300-000019060000}" name="Column1556" dataDxfId="14847"/>
    <tableColumn id="1562" xr3:uid="{00000000-0010-0000-0300-00001A060000}" name="Column1557" dataDxfId="14846"/>
    <tableColumn id="1563" xr3:uid="{00000000-0010-0000-0300-00001B060000}" name="Column1558" dataDxfId="14845"/>
    <tableColumn id="1564" xr3:uid="{00000000-0010-0000-0300-00001C060000}" name="Column1559" dataDxfId="14844"/>
    <tableColumn id="1565" xr3:uid="{00000000-0010-0000-0300-00001D060000}" name="Column1560" dataDxfId="14843"/>
    <tableColumn id="1566" xr3:uid="{00000000-0010-0000-0300-00001E060000}" name="Column1561" dataDxfId="14842"/>
    <tableColumn id="1567" xr3:uid="{00000000-0010-0000-0300-00001F060000}" name="Column1562" dataDxfId="14841"/>
    <tableColumn id="1568" xr3:uid="{00000000-0010-0000-0300-000020060000}" name="Column1563" dataDxfId="14840"/>
    <tableColumn id="1569" xr3:uid="{00000000-0010-0000-0300-000021060000}" name="Column1564" dataDxfId="14839"/>
    <tableColumn id="1570" xr3:uid="{00000000-0010-0000-0300-000022060000}" name="Column1565" dataDxfId="14838"/>
    <tableColumn id="1571" xr3:uid="{00000000-0010-0000-0300-000023060000}" name="Column1566" dataDxfId="14837"/>
    <tableColumn id="1572" xr3:uid="{00000000-0010-0000-0300-000024060000}" name="Column1567" dataDxfId="14836"/>
    <tableColumn id="1573" xr3:uid="{00000000-0010-0000-0300-000025060000}" name="Column1568" dataDxfId="14835"/>
    <tableColumn id="1574" xr3:uid="{00000000-0010-0000-0300-000026060000}" name="Column1569" dataDxfId="14834"/>
    <tableColumn id="1575" xr3:uid="{00000000-0010-0000-0300-000027060000}" name="Column1570" dataDxfId="14833"/>
    <tableColumn id="1576" xr3:uid="{00000000-0010-0000-0300-000028060000}" name="Column1571" dataDxfId="14832"/>
    <tableColumn id="1577" xr3:uid="{00000000-0010-0000-0300-000029060000}" name="Column1572" dataDxfId="14831"/>
    <tableColumn id="1578" xr3:uid="{00000000-0010-0000-0300-00002A060000}" name="Column1573" dataDxfId="14830"/>
    <tableColumn id="1579" xr3:uid="{00000000-0010-0000-0300-00002B060000}" name="Column1574" dataDxfId="14829"/>
    <tableColumn id="1580" xr3:uid="{00000000-0010-0000-0300-00002C060000}" name="Column1575" dataDxfId="14828"/>
    <tableColumn id="1581" xr3:uid="{00000000-0010-0000-0300-00002D060000}" name="Column1576" dataDxfId="14827"/>
    <tableColumn id="1582" xr3:uid="{00000000-0010-0000-0300-00002E060000}" name="Column1577" dataDxfId="14826"/>
    <tableColumn id="1583" xr3:uid="{00000000-0010-0000-0300-00002F060000}" name="Column1578" dataDxfId="14825"/>
    <tableColumn id="1584" xr3:uid="{00000000-0010-0000-0300-000030060000}" name="Column1579" dataDxfId="14824"/>
    <tableColumn id="1585" xr3:uid="{00000000-0010-0000-0300-000031060000}" name="Column1580" dataDxfId="14823"/>
    <tableColumn id="1586" xr3:uid="{00000000-0010-0000-0300-000032060000}" name="Column1581" dataDxfId="14822"/>
    <tableColumn id="1587" xr3:uid="{00000000-0010-0000-0300-000033060000}" name="Column1582" dataDxfId="14821"/>
    <tableColumn id="1588" xr3:uid="{00000000-0010-0000-0300-000034060000}" name="Column1583" dataDxfId="14820"/>
    <tableColumn id="1589" xr3:uid="{00000000-0010-0000-0300-000035060000}" name="Column1584" dataDxfId="14819"/>
    <tableColumn id="1590" xr3:uid="{00000000-0010-0000-0300-000036060000}" name="Column1585" dataDxfId="14818"/>
    <tableColumn id="1591" xr3:uid="{00000000-0010-0000-0300-000037060000}" name="Column1586" dataDxfId="14817"/>
    <tableColumn id="1592" xr3:uid="{00000000-0010-0000-0300-000038060000}" name="Column1587" dataDxfId="14816"/>
    <tableColumn id="1593" xr3:uid="{00000000-0010-0000-0300-000039060000}" name="Column1588" dataDxfId="14815"/>
    <tableColumn id="1594" xr3:uid="{00000000-0010-0000-0300-00003A060000}" name="Column1589" dataDxfId="14814"/>
    <tableColumn id="1595" xr3:uid="{00000000-0010-0000-0300-00003B060000}" name="Column1590" dataDxfId="14813"/>
    <tableColumn id="1596" xr3:uid="{00000000-0010-0000-0300-00003C060000}" name="Column1591" dataDxfId="14812"/>
    <tableColumn id="1597" xr3:uid="{00000000-0010-0000-0300-00003D060000}" name="Column1592" dataDxfId="14811"/>
    <tableColumn id="1598" xr3:uid="{00000000-0010-0000-0300-00003E060000}" name="Column1593" dataDxfId="14810"/>
    <tableColumn id="1599" xr3:uid="{00000000-0010-0000-0300-00003F060000}" name="Column1594" dataDxfId="14809"/>
    <tableColumn id="1600" xr3:uid="{00000000-0010-0000-0300-000040060000}" name="Column1595" dataDxfId="14808"/>
    <tableColumn id="1601" xr3:uid="{00000000-0010-0000-0300-000041060000}" name="Column1596" dataDxfId="14807"/>
    <tableColumn id="1602" xr3:uid="{00000000-0010-0000-0300-000042060000}" name="Column1597" dataDxfId="14806"/>
    <tableColumn id="1603" xr3:uid="{00000000-0010-0000-0300-000043060000}" name="Column1598" dataDxfId="14805"/>
    <tableColumn id="1604" xr3:uid="{00000000-0010-0000-0300-000044060000}" name="Column1599" dataDxfId="14804"/>
    <tableColumn id="1605" xr3:uid="{00000000-0010-0000-0300-000045060000}" name="Column1600" dataDxfId="14803"/>
    <tableColumn id="1606" xr3:uid="{00000000-0010-0000-0300-000046060000}" name="Column1601" dataDxfId="14802"/>
    <tableColumn id="1607" xr3:uid="{00000000-0010-0000-0300-000047060000}" name="Column1602" dataDxfId="14801"/>
    <tableColumn id="1608" xr3:uid="{00000000-0010-0000-0300-000048060000}" name="Column1603" dataDxfId="14800"/>
    <tableColumn id="1609" xr3:uid="{00000000-0010-0000-0300-000049060000}" name="Column1604" dataDxfId="14799"/>
    <tableColumn id="1610" xr3:uid="{00000000-0010-0000-0300-00004A060000}" name="Column1605" dataDxfId="14798"/>
    <tableColumn id="1611" xr3:uid="{00000000-0010-0000-0300-00004B060000}" name="Column1606" dataDxfId="14797"/>
    <tableColumn id="1612" xr3:uid="{00000000-0010-0000-0300-00004C060000}" name="Column1607" dataDxfId="14796"/>
    <tableColumn id="1613" xr3:uid="{00000000-0010-0000-0300-00004D060000}" name="Column1608" dataDxfId="14795"/>
    <tableColumn id="1614" xr3:uid="{00000000-0010-0000-0300-00004E060000}" name="Column1609" dataDxfId="14794"/>
    <tableColumn id="1615" xr3:uid="{00000000-0010-0000-0300-00004F060000}" name="Column1610" dataDxfId="14793"/>
    <tableColumn id="1616" xr3:uid="{00000000-0010-0000-0300-000050060000}" name="Column1611" dataDxfId="14792"/>
    <tableColumn id="1617" xr3:uid="{00000000-0010-0000-0300-000051060000}" name="Column1612" dataDxfId="14791"/>
    <tableColumn id="1618" xr3:uid="{00000000-0010-0000-0300-000052060000}" name="Column1613" dataDxfId="14790"/>
    <tableColumn id="1619" xr3:uid="{00000000-0010-0000-0300-000053060000}" name="Column1614" dataDxfId="14789"/>
    <tableColumn id="1620" xr3:uid="{00000000-0010-0000-0300-000054060000}" name="Column1615" dataDxfId="14788"/>
    <tableColumn id="1621" xr3:uid="{00000000-0010-0000-0300-000055060000}" name="Column1616" dataDxfId="14787"/>
    <tableColumn id="1622" xr3:uid="{00000000-0010-0000-0300-000056060000}" name="Column1617" dataDxfId="14786"/>
    <tableColumn id="1623" xr3:uid="{00000000-0010-0000-0300-000057060000}" name="Column1618" dataDxfId="14785"/>
    <tableColumn id="1624" xr3:uid="{00000000-0010-0000-0300-000058060000}" name="Column1619" dataDxfId="14784"/>
    <tableColumn id="1625" xr3:uid="{00000000-0010-0000-0300-000059060000}" name="Column1620" dataDxfId="14783"/>
    <tableColumn id="1626" xr3:uid="{00000000-0010-0000-0300-00005A060000}" name="Column1621" dataDxfId="14782"/>
    <tableColumn id="1627" xr3:uid="{00000000-0010-0000-0300-00005B060000}" name="Column1622" dataDxfId="14781"/>
    <tableColumn id="1628" xr3:uid="{00000000-0010-0000-0300-00005C060000}" name="Column1623" dataDxfId="14780"/>
    <tableColumn id="1629" xr3:uid="{00000000-0010-0000-0300-00005D060000}" name="Column1624" dataDxfId="14779"/>
    <tableColumn id="1630" xr3:uid="{00000000-0010-0000-0300-00005E060000}" name="Column1625" dataDxfId="14778"/>
    <tableColumn id="1631" xr3:uid="{00000000-0010-0000-0300-00005F060000}" name="Column1626" dataDxfId="14777"/>
    <tableColumn id="1632" xr3:uid="{00000000-0010-0000-0300-000060060000}" name="Column1627" dataDxfId="14776"/>
    <tableColumn id="1633" xr3:uid="{00000000-0010-0000-0300-000061060000}" name="Column1628" dataDxfId="14775"/>
    <tableColumn id="1634" xr3:uid="{00000000-0010-0000-0300-000062060000}" name="Column1629" dataDxfId="14774"/>
    <tableColumn id="1635" xr3:uid="{00000000-0010-0000-0300-000063060000}" name="Column1630" dataDxfId="14773"/>
    <tableColumn id="1636" xr3:uid="{00000000-0010-0000-0300-000064060000}" name="Column1631" dataDxfId="14772"/>
    <tableColumn id="1637" xr3:uid="{00000000-0010-0000-0300-000065060000}" name="Column1632" dataDxfId="14771"/>
    <tableColumn id="1638" xr3:uid="{00000000-0010-0000-0300-000066060000}" name="Column1633" dataDxfId="14770"/>
    <tableColumn id="1639" xr3:uid="{00000000-0010-0000-0300-000067060000}" name="Column1634" dataDxfId="14769"/>
    <tableColumn id="1640" xr3:uid="{00000000-0010-0000-0300-000068060000}" name="Column1635" dataDxfId="14768"/>
    <tableColumn id="1641" xr3:uid="{00000000-0010-0000-0300-000069060000}" name="Column1636" dataDxfId="14767"/>
    <tableColumn id="1642" xr3:uid="{00000000-0010-0000-0300-00006A060000}" name="Column1637" dataDxfId="14766"/>
    <tableColumn id="1643" xr3:uid="{00000000-0010-0000-0300-00006B060000}" name="Column1638" dataDxfId="14765"/>
    <tableColumn id="1644" xr3:uid="{00000000-0010-0000-0300-00006C060000}" name="Column1639" dataDxfId="14764"/>
    <tableColumn id="1645" xr3:uid="{00000000-0010-0000-0300-00006D060000}" name="Column1640" dataDxfId="14763"/>
    <tableColumn id="1646" xr3:uid="{00000000-0010-0000-0300-00006E060000}" name="Column1641" dataDxfId="14762"/>
    <tableColumn id="1647" xr3:uid="{00000000-0010-0000-0300-00006F060000}" name="Column1642" dataDxfId="14761"/>
    <tableColumn id="1648" xr3:uid="{00000000-0010-0000-0300-000070060000}" name="Column1643" dataDxfId="14760"/>
    <tableColumn id="1649" xr3:uid="{00000000-0010-0000-0300-000071060000}" name="Column1644" dataDxfId="14759"/>
    <tableColumn id="1650" xr3:uid="{00000000-0010-0000-0300-000072060000}" name="Column1645" dataDxfId="14758"/>
    <tableColumn id="1651" xr3:uid="{00000000-0010-0000-0300-000073060000}" name="Column1646" dataDxfId="14757"/>
    <tableColumn id="1652" xr3:uid="{00000000-0010-0000-0300-000074060000}" name="Column1647" dataDxfId="14756"/>
    <tableColumn id="1653" xr3:uid="{00000000-0010-0000-0300-000075060000}" name="Column1648" dataDxfId="14755"/>
    <tableColumn id="1654" xr3:uid="{00000000-0010-0000-0300-000076060000}" name="Column1649" dataDxfId="14754"/>
    <tableColumn id="1655" xr3:uid="{00000000-0010-0000-0300-000077060000}" name="Column1650" dataDxfId="14753"/>
    <tableColumn id="1656" xr3:uid="{00000000-0010-0000-0300-000078060000}" name="Column1651" dataDxfId="14752"/>
    <tableColumn id="1657" xr3:uid="{00000000-0010-0000-0300-000079060000}" name="Column1652" dataDxfId="14751"/>
    <tableColumn id="1658" xr3:uid="{00000000-0010-0000-0300-00007A060000}" name="Column1653" dataDxfId="14750"/>
    <tableColumn id="1659" xr3:uid="{00000000-0010-0000-0300-00007B060000}" name="Column1654" dataDxfId="14749"/>
    <tableColumn id="1660" xr3:uid="{00000000-0010-0000-0300-00007C060000}" name="Column1655" dataDxfId="14748"/>
    <tableColumn id="1661" xr3:uid="{00000000-0010-0000-0300-00007D060000}" name="Column1656" dataDxfId="14747"/>
    <tableColumn id="1662" xr3:uid="{00000000-0010-0000-0300-00007E060000}" name="Column1657" dataDxfId="14746"/>
    <tableColumn id="1663" xr3:uid="{00000000-0010-0000-0300-00007F060000}" name="Column1658" dataDxfId="14745"/>
    <tableColumn id="1664" xr3:uid="{00000000-0010-0000-0300-000080060000}" name="Column1659" dataDxfId="14744"/>
    <tableColumn id="1665" xr3:uid="{00000000-0010-0000-0300-000081060000}" name="Column1660" dataDxfId="14743"/>
    <tableColumn id="1666" xr3:uid="{00000000-0010-0000-0300-000082060000}" name="Column1661" dataDxfId="14742"/>
    <tableColumn id="1667" xr3:uid="{00000000-0010-0000-0300-000083060000}" name="Column1662" dataDxfId="14741"/>
    <tableColumn id="1668" xr3:uid="{00000000-0010-0000-0300-000084060000}" name="Column1663" dataDxfId="14740"/>
    <tableColumn id="1669" xr3:uid="{00000000-0010-0000-0300-000085060000}" name="Column1664" dataDxfId="14739"/>
    <tableColumn id="1670" xr3:uid="{00000000-0010-0000-0300-000086060000}" name="Column1665" dataDxfId="14738"/>
    <tableColumn id="1671" xr3:uid="{00000000-0010-0000-0300-000087060000}" name="Column1666" dataDxfId="14737"/>
    <tableColumn id="1672" xr3:uid="{00000000-0010-0000-0300-000088060000}" name="Column1667" dataDxfId="14736"/>
    <tableColumn id="1673" xr3:uid="{00000000-0010-0000-0300-000089060000}" name="Column1668" dataDxfId="14735"/>
    <tableColumn id="1674" xr3:uid="{00000000-0010-0000-0300-00008A060000}" name="Column1669" dataDxfId="14734"/>
    <tableColumn id="1675" xr3:uid="{00000000-0010-0000-0300-00008B060000}" name="Column1670" dataDxfId="14733"/>
    <tableColumn id="1676" xr3:uid="{00000000-0010-0000-0300-00008C060000}" name="Column1671" dataDxfId="14732"/>
    <tableColumn id="1677" xr3:uid="{00000000-0010-0000-0300-00008D060000}" name="Column1672" dataDxfId="14731"/>
    <tableColumn id="1678" xr3:uid="{00000000-0010-0000-0300-00008E060000}" name="Column1673" dataDxfId="14730"/>
    <tableColumn id="1679" xr3:uid="{00000000-0010-0000-0300-00008F060000}" name="Column1674" dataDxfId="14729"/>
    <tableColumn id="1680" xr3:uid="{00000000-0010-0000-0300-000090060000}" name="Column1675" dataDxfId="14728"/>
    <tableColumn id="1681" xr3:uid="{00000000-0010-0000-0300-000091060000}" name="Column1676" dataDxfId="14727"/>
    <tableColumn id="1682" xr3:uid="{00000000-0010-0000-0300-000092060000}" name="Column1677" dataDxfId="14726"/>
    <tableColumn id="1683" xr3:uid="{00000000-0010-0000-0300-000093060000}" name="Column1678" dataDxfId="14725"/>
    <tableColumn id="1684" xr3:uid="{00000000-0010-0000-0300-000094060000}" name="Column1679" dataDxfId="14724"/>
    <tableColumn id="1685" xr3:uid="{00000000-0010-0000-0300-000095060000}" name="Column1680" dataDxfId="14723"/>
    <tableColumn id="1686" xr3:uid="{00000000-0010-0000-0300-000096060000}" name="Column1681" dataDxfId="14722"/>
    <tableColumn id="1687" xr3:uid="{00000000-0010-0000-0300-000097060000}" name="Column1682" dataDxfId="14721"/>
    <tableColumn id="1688" xr3:uid="{00000000-0010-0000-0300-000098060000}" name="Column1683" dataDxfId="14720"/>
    <tableColumn id="1689" xr3:uid="{00000000-0010-0000-0300-000099060000}" name="Column1684" dataDxfId="14719"/>
    <tableColumn id="1690" xr3:uid="{00000000-0010-0000-0300-00009A060000}" name="Column1685" dataDxfId="14718"/>
    <tableColumn id="1691" xr3:uid="{00000000-0010-0000-0300-00009B060000}" name="Column1686" dataDxfId="14717"/>
    <tableColumn id="1692" xr3:uid="{00000000-0010-0000-0300-00009C060000}" name="Column1687" dataDxfId="14716"/>
    <tableColumn id="1693" xr3:uid="{00000000-0010-0000-0300-00009D060000}" name="Column1688" dataDxfId="14715"/>
    <tableColumn id="1694" xr3:uid="{00000000-0010-0000-0300-00009E060000}" name="Column1689" dataDxfId="14714"/>
    <tableColumn id="1695" xr3:uid="{00000000-0010-0000-0300-00009F060000}" name="Column1690" dataDxfId="14713"/>
    <tableColumn id="1696" xr3:uid="{00000000-0010-0000-0300-0000A0060000}" name="Column1691" dataDxfId="14712"/>
    <tableColumn id="1697" xr3:uid="{00000000-0010-0000-0300-0000A1060000}" name="Column1692" dataDxfId="14711"/>
    <tableColumn id="1698" xr3:uid="{00000000-0010-0000-0300-0000A2060000}" name="Column1693" dataDxfId="14710"/>
    <tableColumn id="1699" xr3:uid="{00000000-0010-0000-0300-0000A3060000}" name="Column1694" dataDxfId="14709"/>
    <tableColumn id="1700" xr3:uid="{00000000-0010-0000-0300-0000A4060000}" name="Column1695" dataDxfId="14708"/>
    <tableColumn id="1701" xr3:uid="{00000000-0010-0000-0300-0000A5060000}" name="Column1696" dataDxfId="14707"/>
    <tableColumn id="1702" xr3:uid="{00000000-0010-0000-0300-0000A6060000}" name="Column1697" dataDxfId="14706"/>
    <tableColumn id="1703" xr3:uid="{00000000-0010-0000-0300-0000A7060000}" name="Column1698" dataDxfId="14705"/>
    <tableColumn id="1704" xr3:uid="{00000000-0010-0000-0300-0000A8060000}" name="Column1699" dataDxfId="14704"/>
    <tableColumn id="1705" xr3:uid="{00000000-0010-0000-0300-0000A9060000}" name="Column1700" dataDxfId="14703"/>
    <tableColumn id="1706" xr3:uid="{00000000-0010-0000-0300-0000AA060000}" name="Column1701" dataDxfId="14702"/>
    <tableColumn id="1707" xr3:uid="{00000000-0010-0000-0300-0000AB060000}" name="Column1702" dataDxfId="14701"/>
    <tableColumn id="1708" xr3:uid="{00000000-0010-0000-0300-0000AC060000}" name="Column1703" dataDxfId="14700"/>
    <tableColumn id="1709" xr3:uid="{00000000-0010-0000-0300-0000AD060000}" name="Column1704" dataDxfId="14699"/>
    <tableColumn id="1710" xr3:uid="{00000000-0010-0000-0300-0000AE060000}" name="Column1705" dataDxfId="14698"/>
    <tableColumn id="1711" xr3:uid="{00000000-0010-0000-0300-0000AF060000}" name="Column1706" dataDxfId="14697"/>
    <tableColumn id="1712" xr3:uid="{00000000-0010-0000-0300-0000B0060000}" name="Column1707" dataDxfId="14696"/>
    <tableColumn id="1713" xr3:uid="{00000000-0010-0000-0300-0000B1060000}" name="Column1708" dataDxfId="14695"/>
    <tableColumn id="1714" xr3:uid="{00000000-0010-0000-0300-0000B2060000}" name="Column1709" dataDxfId="14694"/>
    <tableColumn id="1715" xr3:uid="{00000000-0010-0000-0300-0000B3060000}" name="Column1710" dataDxfId="14693"/>
    <tableColumn id="1716" xr3:uid="{00000000-0010-0000-0300-0000B4060000}" name="Column1711" dataDxfId="14692"/>
    <tableColumn id="1717" xr3:uid="{00000000-0010-0000-0300-0000B5060000}" name="Column1712" dataDxfId="14691"/>
    <tableColumn id="1718" xr3:uid="{00000000-0010-0000-0300-0000B6060000}" name="Column1713" dataDxfId="14690"/>
    <tableColumn id="1719" xr3:uid="{00000000-0010-0000-0300-0000B7060000}" name="Column1714" dataDxfId="14689"/>
    <tableColumn id="1720" xr3:uid="{00000000-0010-0000-0300-0000B8060000}" name="Column1715" dataDxfId="14688"/>
    <tableColumn id="1721" xr3:uid="{00000000-0010-0000-0300-0000B9060000}" name="Column1716" dataDxfId="14687"/>
    <tableColumn id="1722" xr3:uid="{00000000-0010-0000-0300-0000BA060000}" name="Column1717" dataDxfId="14686"/>
    <tableColumn id="1723" xr3:uid="{00000000-0010-0000-0300-0000BB060000}" name="Column1718" dataDxfId="14685"/>
    <tableColumn id="1724" xr3:uid="{00000000-0010-0000-0300-0000BC060000}" name="Column1719" dataDxfId="14684"/>
    <tableColumn id="1725" xr3:uid="{00000000-0010-0000-0300-0000BD060000}" name="Column1720" dataDxfId="14683"/>
    <tableColumn id="1726" xr3:uid="{00000000-0010-0000-0300-0000BE060000}" name="Column1721" dataDxfId="14682"/>
    <tableColumn id="1727" xr3:uid="{00000000-0010-0000-0300-0000BF060000}" name="Column1722" dataDxfId="14681"/>
    <tableColumn id="1728" xr3:uid="{00000000-0010-0000-0300-0000C0060000}" name="Column1723" dataDxfId="14680"/>
    <tableColumn id="1729" xr3:uid="{00000000-0010-0000-0300-0000C1060000}" name="Column1724" dataDxfId="14679"/>
    <tableColumn id="1730" xr3:uid="{00000000-0010-0000-0300-0000C2060000}" name="Column1725" dataDxfId="14678"/>
    <tableColumn id="1731" xr3:uid="{00000000-0010-0000-0300-0000C3060000}" name="Column1726" dataDxfId="14677"/>
    <tableColumn id="1732" xr3:uid="{00000000-0010-0000-0300-0000C4060000}" name="Column1727" dataDxfId="14676"/>
    <tableColumn id="1733" xr3:uid="{00000000-0010-0000-0300-0000C5060000}" name="Column1728" dataDxfId="14675"/>
    <tableColumn id="1734" xr3:uid="{00000000-0010-0000-0300-0000C6060000}" name="Column1729" dataDxfId="14674"/>
    <tableColumn id="1735" xr3:uid="{00000000-0010-0000-0300-0000C7060000}" name="Column1730" dataDxfId="14673"/>
    <tableColumn id="1736" xr3:uid="{00000000-0010-0000-0300-0000C8060000}" name="Column1731" dataDxfId="14672"/>
    <tableColumn id="1737" xr3:uid="{00000000-0010-0000-0300-0000C9060000}" name="Column1732" dataDxfId="14671"/>
    <tableColumn id="1738" xr3:uid="{00000000-0010-0000-0300-0000CA060000}" name="Column1733" dataDxfId="14670"/>
    <tableColumn id="1739" xr3:uid="{00000000-0010-0000-0300-0000CB060000}" name="Column1734" dataDxfId="14669"/>
    <tableColumn id="1740" xr3:uid="{00000000-0010-0000-0300-0000CC060000}" name="Column1735" dataDxfId="14668"/>
    <tableColumn id="1741" xr3:uid="{00000000-0010-0000-0300-0000CD060000}" name="Column1736" dataDxfId="14667"/>
    <tableColumn id="1742" xr3:uid="{00000000-0010-0000-0300-0000CE060000}" name="Column1737" dataDxfId="14666"/>
    <tableColumn id="1743" xr3:uid="{00000000-0010-0000-0300-0000CF060000}" name="Column1738" dataDxfId="14665"/>
    <tableColumn id="1744" xr3:uid="{00000000-0010-0000-0300-0000D0060000}" name="Column1739" dataDxfId="14664"/>
    <tableColumn id="1745" xr3:uid="{00000000-0010-0000-0300-0000D1060000}" name="Column1740" dataDxfId="14663"/>
    <tableColumn id="1746" xr3:uid="{00000000-0010-0000-0300-0000D2060000}" name="Column1741" dataDxfId="14662"/>
    <tableColumn id="1747" xr3:uid="{00000000-0010-0000-0300-0000D3060000}" name="Column1742" dataDxfId="14661"/>
    <tableColumn id="1748" xr3:uid="{00000000-0010-0000-0300-0000D4060000}" name="Column1743" dataDxfId="14660"/>
    <tableColumn id="1749" xr3:uid="{00000000-0010-0000-0300-0000D5060000}" name="Column1744" dataDxfId="14659"/>
    <tableColumn id="1750" xr3:uid="{00000000-0010-0000-0300-0000D6060000}" name="Column1745" dataDxfId="14658"/>
    <tableColumn id="1751" xr3:uid="{00000000-0010-0000-0300-0000D7060000}" name="Column1746" dataDxfId="14657"/>
    <tableColumn id="1752" xr3:uid="{00000000-0010-0000-0300-0000D8060000}" name="Column1747" dataDxfId="14656"/>
    <tableColumn id="1753" xr3:uid="{00000000-0010-0000-0300-0000D9060000}" name="Column1748" dataDxfId="14655"/>
    <tableColumn id="1754" xr3:uid="{00000000-0010-0000-0300-0000DA060000}" name="Column1749" dataDxfId="14654"/>
    <tableColumn id="1755" xr3:uid="{00000000-0010-0000-0300-0000DB060000}" name="Column1750" dataDxfId="14653"/>
    <tableColumn id="1756" xr3:uid="{00000000-0010-0000-0300-0000DC060000}" name="Column1751" dataDxfId="14652"/>
    <tableColumn id="1757" xr3:uid="{00000000-0010-0000-0300-0000DD060000}" name="Column1752" dataDxfId="14651"/>
    <tableColumn id="1758" xr3:uid="{00000000-0010-0000-0300-0000DE060000}" name="Column1753" dataDxfId="14650"/>
    <tableColumn id="1759" xr3:uid="{00000000-0010-0000-0300-0000DF060000}" name="Column1754" dataDxfId="14649"/>
    <tableColumn id="1760" xr3:uid="{00000000-0010-0000-0300-0000E0060000}" name="Column1755" dataDxfId="14648"/>
    <tableColumn id="1761" xr3:uid="{00000000-0010-0000-0300-0000E1060000}" name="Column1756" dataDxfId="14647"/>
    <tableColumn id="1762" xr3:uid="{00000000-0010-0000-0300-0000E2060000}" name="Column1757" dataDxfId="14646"/>
    <tableColumn id="1763" xr3:uid="{00000000-0010-0000-0300-0000E3060000}" name="Column1758" dataDxfId="14645"/>
    <tableColumn id="1764" xr3:uid="{00000000-0010-0000-0300-0000E4060000}" name="Column1759" dataDxfId="14644"/>
    <tableColumn id="1765" xr3:uid="{00000000-0010-0000-0300-0000E5060000}" name="Column1760" dataDxfId="14643"/>
    <tableColumn id="1766" xr3:uid="{00000000-0010-0000-0300-0000E6060000}" name="Column1761" dataDxfId="14642"/>
    <tableColumn id="1767" xr3:uid="{00000000-0010-0000-0300-0000E7060000}" name="Column1762" dataDxfId="14641"/>
    <tableColumn id="1768" xr3:uid="{00000000-0010-0000-0300-0000E8060000}" name="Column1763" dataDxfId="14640"/>
    <tableColumn id="1769" xr3:uid="{00000000-0010-0000-0300-0000E9060000}" name="Column1764" dataDxfId="14639"/>
    <tableColumn id="1770" xr3:uid="{00000000-0010-0000-0300-0000EA060000}" name="Column1765" dataDxfId="14638"/>
    <tableColumn id="1771" xr3:uid="{00000000-0010-0000-0300-0000EB060000}" name="Column1766" dataDxfId="14637"/>
    <tableColumn id="1772" xr3:uid="{00000000-0010-0000-0300-0000EC060000}" name="Column1767" dataDxfId="14636"/>
    <tableColumn id="1773" xr3:uid="{00000000-0010-0000-0300-0000ED060000}" name="Column1768" dataDxfId="14635"/>
    <tableColumn id="1774" xr3:uid="{00000000-0010-0000-0300-0000EE060000}" name="Column1769" dataDxfId="14634"/>
    <tableColumn id="1775" xr3:uid="{00000000-0010-0000-0300-0000EF060000}" name="Column1770" dataDxfId="14633"/>
    <tableColumn id="1776" xr3:uid="{00000000-0010-0000-0300-0000F0060000}" name="Column1771" dataDxfId="14632"/>
    <tableColumn id="1777" xr3:uid="{00000000-0010-0000-0300-0000F1060000}" name="Column1772" dataDxfId="14631"/>
    <tableColumn id="1778" xr3:uid="{00000000-0010-0000-0300-0000F2060000}" name="Column1773" dataDxfId="14630"/>
    <tableColumn id="1779" xr3:uid="{00000000-0010-0000-0300-0000F3060000}" name="Column1774" dataDxfId="14629"/>
    <tableColumn id="1780" xr3:uid="{00000000-0010-0000-0300-0000F4060000}" name="Column1775" dataDxfId="14628"/>
    <tableColumn id="1781" xr3:uid="{00000000-0010-0000-0300-0000F5060000}" name="Column1776" dataDxfId="14627"/>
    <tableColumn id="1782" xr3:uid="{00000000-0010-0000-0300-0000F6060000}" name="Column1777" dataDxfId="14626"/>
    <tableColumn id="1783" xr3:uid="{00000000-0010-0000-0300-0000F7060000}" name="Column1778" dataDxfId="14625"/>
    <tableColumn id="1784" xr3:uid="{00000000-0010-0000-0300-0000F8060000}" name="Column1779" dataDxfId="14624"/>
    <tableColumn id="1785" xr3:uid="{00000000-0010-0000-0300-0000F9060000}" name="Column1780" dataDxfId="14623"/>
    <tableColumn id="1786" xr3:uid="{00000000-0010-0000-0300-0000FA060000}" name="Column1781" dataDxfId="14622"/>
    <tableColumn id="1787" xr3:uid="{00000000-0010-0000-0300-0000FB060000}" name="Column1782" dataDxfId="14621"/>
    <tableColumn id="1788" xr3:uid="{00000000-0010-0000-0300-0000FC060000}" name="Column1783" dataDxfId="14620"/>
    <tableColumn id="1789" xr3:uid="{00000000-0010-0000-0300-0000FD060000}" name="Column1784" dataDxfId="14619"/>
    <tableColumn id="1790" xr3:uid="{00000000-0010-0000-0300-0000FE060000}" name="Column1785" dataDxfId="14618"/>
    <tableColumn id="1791" xr3:uid="{00000000-0010-0000-0300-0000FF060000}" name="Column1786" dataDxfId="14617"/>
    <tableColumn id="1792" xr3:uid="{00000000-0010-0000-0300-000000070000}" name="Column1787" dataDxfId="14616"/>
    <tableColumn id="1793" xr3:uid="{00000000-0010-0000-0300-000001070000}" name="Column1788" dataDxfId="14615"/>
    <tableColumn id="1794" xr3:uid="{00000000-0010-0000-0300-000002070000}" name="Column1789" dataDxfId="14614"/>
    <tableColumn id="1795" xr3:uid="{00000000-0010-0000-0300-000003070000}" name="Column1790" dataDxfId="14613"/>
    <tableColumn id="1796" xr3:uid="{00000000-0010-0000-0300-000004070000}" name="Column1791" dataDxfId="14612"/>
    <tableColumn id="1797" xr3:uid="{00000000-0010-0000-0300-000005070000}" name="Column1792" dataDxfId="14611"/>
    <tableColumn id="1798" xr3:uid="{00000000-0010-0000-0300-000006070000}" name="Column1793" dataDxfId="14610"/>
    <tableColumn id="1799" xr3:uid="{00000000-0010-0000-0300-000007070000}" name="Column1794" dataDxfId="14609"/>
    <tableColumn id="1800" xr3:uid="{00000000-0010-0000-0300-000008070000}" name="Column1795" dataDxfId="14608"/>
    <tableColumn id="1801" xr3:uid="{00000000-0010-0000-0300-000009070000}" name="Column1796" dataDxfId="14607"/>
    <tableColumn id="1802" xr3:uid="{00000000-0010-0000-0300-00000A070000}" name="Column1797" dataDxfId="14606"/>
    <tableColumn id="1803" xr3:uid="{00000000-0010-0000-0300-00000B070000}" name="Column1798" dataDxfId="14605"/>
    <tableColumn id="1804" xr3:uid="{00000000-0010-0000-0300-00000C070000}" name="Column1799" dataDxfId="14604"/>
    <tableColumn id="1805" xr3:uid="{00000000-0010-0000-0300-00000D070000}" name="Column1800" dataDxfId="14603"/>
    <tableColumn id="1806" xr3:uid="{00000000-0010-0000-0300-00000E070000}" name="Column1801" dataDxfId="14602"/>
    <tableColumn id="1807" xr3:uid="{00000000-0010-0000-0300-00000F070000}" name="Column1802" dataDxfId="14601"/>
    <tableColumn id="1808" xr3:uid="{00000000-0010-0000-0300-000010070000}" name="Column1803" dataDxfId="14600"/>
    <tableColumn id="1809" xr3:uid="{00000000-0010-0000-0300-000011070000}" name="Column1804" dataDxfId="14599"/>
    <tableColumn id="1810" xr3:uid="{00000000-0010-0000-0300-000012070000}" name="Column1805" dataDxfId="14598"/>
    <tableColumn id="1811" xr3:uid="{00000000-0010-0000-0300-000013070000}" name="Column1806" dataDxfId="14597"/>
    <tableColumn id="1812" xr3:uid="{00000000-0010-0000-0300-000014070000}" name="Column1807" dataDxfId="14596"/>
    <tableColumn id="1813" xr3:uid="{00000000-0010-0000-0300-000015070000}" name="Column1808" dataDxfId="14595"/>
    <tableColumn id="1814" xr3:uid="{00000000-0010-0000-0300-000016070000}" name="Column1809" dataDxfId="14594"/>
    <tableColumn id="1815" xr3:uid="{00000000-0010-0000-0300-000017070000}" name="Column1810" dataDxfId="14593"/>
    <tableColumn id="1816" xr3:uid="{00000000-0010-0000-0300-000018070000}" name="Column1811" dataDxfId="14592"/>
    <tableColumn id="1817" xr3:uid="{00000000-0010-0000-0300-000019070000}" name="Column1812" dataDxfId="14591"/>
    <tableColumn id="1818" xr3:uid="{00000000-0010-0000-0300-00001A070000}" name="Column1813" dataDxfId="14590"/>
    <tableColumn id="1819" xr3:uid="{00000000-0010-0000-0300-00001B070000}" name="Column1814" dataDxfId="14589"/>
    <tableColumn id="1820" xr3:uid="{00000000-0010-0000-0300-00001C070000}" name="Column1815" dataDxfId="14588"/>
    <tableColumn id="1821" xr3:uid="{00000000-0010-0000-0300-00001D070000}" name="Column1816" dataDxfId="14587"/>
    <tableColumn id="1822" xr3:uid="{00000000-0010-0000-0300-00001E070000}" name="Column1817" dataDxfId="14586"/>
    <tableColumn id="1823" xr3:uid="{00000000-0010-0000-0300-00001F070000}" name="Column1818" dataDxfId="14585"/>
    <tableColumn id="1824" xr3:uid="{00000000-0010-0000-0300-000020070000}" name="Column1819" dataDxfId="14584"/>
    <tableColumn id="1825" xr3:uid="{00000000-0010-0000-0300-000021070000}" name="Column1820" dataDxfId="14583"/>
    <tableColumn id="1826" xr3:uid="{00000000-0010-0000-0300-000022070000}" name="Column1821" dataDxfId="14582"/>
    <tableColumn id="1827" xr3:uid="{00000000-0010-0000-0300-000023070000}" name="Column1822" dataDxfId="14581"/>
    <tableColumn id="1828" xr3:uid="{00000000-0010-0000-0300-000024070000}" name="Column1823" dataDxfId="14580"/>
    <tableColumn id="1829" xr3:uid="{00000000-0010-0000-0300-000025070000}" name="Column1824" dataDxfId="14579"/>
    <tableColumn id="1830" xr3:uid="{00000000-0010-0000-0300-000026070000}" name="Column1825" dataDxfId="14578"/>
    <tableColumn id="1831" xr3:uid="{00000000-0010-0000-0300-000027070000}" name="Column1826" dataDxfId="14577"/>
    <tableColumn id="1832" xr3:uid="{00000000-0010-0000-0300-000028070000}" name="Column1827" dataDxfId="14576"/>
    <tableColumn id="1833" xr3:uid="{00000000-0010-0000-0300-000029070000}" name="Column1828" dataDxfId="14575"/>
    <tableColumn id="1834" xr3:uid="{00000000-0010-0000-0300-00002A070000}" name="Column1829" dataDxfId="14574"/>
    <tableColumn id="1835" xr3:uid="{00000000-0010-0000-0300-00002B070000}" name="Column1830" dataDxfId="14573"/>
    <tableColumn id="1836" xr3:uid="{00000000-0010-0000-0300-00002C070000}" name="Column1831" dataDxfId="14572"/>
    <tableColumn id="1837" xr3:uid="{00000000-0010-0000-0300-00002D070000}" name="Column1832" dataDxfId="14571"/>
    <tableColumn id="1838" xr3:uid="{00000000-0010-0000-0300-00002E070000}" name="Column1833" dataDxfId="14570"/>
    <tableColumn id="1839" xr3:uid="{00000000-0010-0000-0300-00002F070000}" name="Column1834" dataDxfId="14569"/>
    <tableColumn id="1840" xr3:uid="{00000000-0010-0000-0300-000030070000}" name="Column1835" dataDxfId="14568"/>
    <tableColumn id="1841" xr3:uid="{00000000-0010-0000-0300-000031070000}" name="Column1836" dataDxfId="14567"/>
    <tableColumn id="1842" xr3:uid="{00000000-0010-0000-0300-000032070000}" name="Column1837" dataDxfId="14566"/>
    <tableColumn id="1843" xr3:uid="{00000000-0010-0000-0300-000033070000}" name="Column1838" dataDxfId="14565"/>
    <tableColumn id="1844" xr3:uid="{00000000-0010-0000-0300-000034070000}" name="Column1839" dataDxfId="14564"/>
    <tableColumn id="1845" xr3:uid="{00000000-0010-0000-0300-000035070000}" name="Column1840" dataDxfId="14563"/>
    <tableColumn id="1846" xr3:uid="{00000000-0010-0000-0300-000036070000}" name="Column1841" dataDxfId="14562"/>
    <tableColumn id="1847" xr3:uid="{00000000-0010-0000-0300-000037070000}" name="Column1842" dataDxfId="14561"/>
    <tableColumn id="1848" xr3:uid="{00000000-0010-0000-0300-000038070000}" name="Column1843" dataDxfId="14560"/>
    <tableColumn id="1849" xr3:uid="{00000000-0010-0000-0300-000039070000}" name="Column1844" dataDxfId="14559"/>
    <tableColumn id="1850" xr3:uid="{00000000-0010-0000-0300-00003A070000}" name="Column1845" dataDxfId="14558"/>
    <tableColumn id="1851" xr3:uid="{00000000-0010-0000-0300-00003B070000}" name="Column1846" dataDxfId="14557"/>
    <tableColumn id="1852" xr3:uid="{00000000-0010-0000-0300-00003C070000}" name="Column1847" dataDxfId="14556"/>
    <tableColumn id="1853" xr3:uid="{00000000-0010-0000-0300-00003D070000}" name="Column1848" dataDxfId="14555"/>
    <tableColumn id="1854" xr3:uid="{00000000-0010-0000-0300-00003E070000}" name="Column1849" dataDxfId="14554"/>
    <tableColumn id="1855" xr3:uid="{00000000-0010-0000-0300-00003F070000}" name="Column1850" dataDxfId="14553"/>
    <tableColumn id="1856" xr3:uid="{00000000-0010-0000-0300-000040070000}" name="Column1851" dataDxfId="14552"/>
    <tableColumn id="1857" xr3:uid="{00000000-0010-0000-0300-000041070000}" name="Column1852" dataDxfId="14551"/>
    <tableColumn id="1858" xr3:uid="{00000000-0010-0000-0300-000042070000}" name="Column1853" dataDxfId="14550"/>
    <tableColumn id="1859" xr3:uid="{00000000-0010-0000-0300-000043070000}" name="Column1854" dataDxfId="14549"/>
    <tableColumn id="1860" xr3:uid="{00000000-0010-0000-0300-000044070000}" name="Column1855" dataDxfId="14548"/>
    <tableColumn id="1861" xr3:uid="{00000000-0010-0000-0300-000045070000}" name="Column1856" dataDxfId="14547"/>
    <tableColumn id="1862" xr3:uid="{00000000-0010-0000-0300-000046070000}" name="Column1857" dataDxfId="14546"/>
    <tableColumn id="1863" xr3:uid="{00000000-0010-0000-0300-000047070000}" name="Column1858" dataDxfId="14545"/>
    <tableColumn id="1864" xr3:uid="{00000000-0010-0000-0300-000048070000}" name="Column1859" dataDxfId="14544"/>
    <tableColumn id="1865" xr3:uid="{00000000-0010-0000-0300-000049070000}" name="Column1860" dataDxfId="14543"/>
    <tableColumn id="1866" xr3:uid="{00000000-0010-0000-0300-00004A070000}" name="Column1861" dataDxfId="14542"/>
    <tableColumn id="1867" xr3:uid="{00000000-0010-0000-0300-00004B070000}" name="Column1862" dataDxfId="14541"/>
    <tableColumn id="1868" xr3:uid="{00000000-0010-0000-0300-00004C070000}" name="Column1863" dataDxfId="14540"/>
    <tableColumn id="1869" xr3:uid="{00000000-0010-0000-0300-00004D070000}" name="Column1864" dataDxfId="14539"/>
    <tableColumn id="1870" xr3:uid="{00000000-0010-0000-0300-00004E070000}" name="Column1865" dataDxfId="14538"/>
    <tableColumn id="1871" xr3:uid="{00000000-0010-0000-0300-00004F070000}" name="Column1866" dataDxfId="14537"/>
    <tableColumn id="1872" xr3:uid="{00000000-0010-0000-0300-000050070000}" name="Column1867" dataDxfId="14536"/>
    <tableColumn id="1873" xr3:uid="{00000000-0010-0000-0300-000051070000}" name="Column1868" dataDxfId="14535"/>
    <tableColumn id="1874" xr3:uid="{00000000-0010-0000-0300-000052070000}" name="Column1869" dataDxfId="14534"/>
    <tableColumn id="1875" xr3:uid="{00000000-0010-0000-0300-000053070000}" name="Column1870" dataDxfId="14533"/>
    <tableColumn id="1876" xr3:uid="{00000000-0010-0000-0300-000054070000}" name="Column1871" dataDxfId="14532"/>
    <tableColumn id="1877" xr3:uid="{00000000-0010-0000-0300-000055070000}" name="Column1872" dataDxfId="14531"/>
    <tableColumn id="1878" xr3:uid="{00000000-0010-0000-0300-000056070000}" name="Column1873" dataDxfId="14530"/>
    <tableColumn id="1879" xr3:uid="{00000000-0010-0000-0300-000057070000}" name="Column1874" dataDxfId="14529"/>
    <tableColumn id="1880" xr3:uid="{00000000-0010-0000-0300-000058070000}" name="Column1875" dataDxfId="14528"/>
    <tableColumn id="1881" xr3:uid="{00000000-0010-0000-0300-000059070000}" name="Column1876" dataDxfId="14527"/>
    <tableColumn id="1882" xr3:uid="{00000000-0010-0000-0300-00005A070000}" name="Column1877" dataDxfId="14526"/>
    <tableColumn id="1883" xr3:uid="{00000000-0010-0000-0300-00005B070000}" name="Column1878" dataDxfId="14525"/>
    <tableColumn id="1884" xr3:uid="{00000000-0010-0000-0300-00005C070000}" name="Column1879" dataDxfId="14524"/>
    <tableColumn id="1885" xr3:uid="{00000000-0010-0000-0300-00005D070000}" name="Column1880" dataDxfId="14523"/>
    <tableColumn id="1886" xr3:uid="{00000000-0010-0000-0300-00005E070000}" name="Column1881" dataDxfId="14522"/>
    <tableColumn id="1887" xr3:uid="{00000000-0010-0000-0300-00005F070000}" name="Column1882" dataDxfId="14521"/>
    <tableColumn id="1888" xr3:uid="{00000000-0010-0000-0300-000060070000}" name="Column1883" dataDxfId="14520"/>
    <tableColumn id="1889" xr3:uid="{00000000-0010-0000-0300-000061070000}" name="Column1884" dataDxfId="14519"/>
    <tableColumn id="1890" xr3:uid="{00000000-0010-0000-0300-000062070000}" name="Column1885" dataDxfId="14518"/>
    <tableColumn id="1891" xr3:uid="{00000000-0010-0000-0300-000063070000}" name="Column1886" dataDxfId="14517"/>
    <tableColumn id="1892" xr3:uid="{00000000-0010-0000-0300-000064070000}" name="Column1887" dataDxfId="14516"/>
    <tableColumn id="1893" xr3:uid="{00000000-0010-0000-0300-000065070000}" name="Column1888" dataDxfId="14515"/>
    <tableColumn id="1894" xr3:uid="{00000000-0010-0000-0300-000066070000}" name="Column1889" dataDxfId="14514"/>
    <tableColumn id="1895" xr3:uid="{00000000-0010-0000-0300-000067070000}" name="Column1890" dataDxfId="14513"/>
    <tableColumn id="1896" xr3:uid="{00000000-0010-0000-0300-000068070000}" name="Column1891" dataDxfId="14512"/>
    <tableColumn id="1897" xr3:uid="{00000000-0010-0000-0300-000069070000}" name="Column1892" dataDxfId="14511"/>
    <tableColumn id="1898" xr3:uid="{00000000-0010-0000-0300-00006A070000}" name="Column1893" dataDxfId="14510"/>
    <tableColumn id="1899" xr3:uid="{00000000-0010-0000-0300-00006B070000}" name="Column1894" dataDxfId="14509"/>
    <tableColumn id="1900" xr3:uid="{00000000-0010-0000-0300-00006C070000}" name="Column1895" dataDxfId="14508"/>
    <tableColumn id="1901" xr3:uid="{00000000-0010-0000-0300-00006D070000}" name="Column1896" dataDxfId="14507"/>
    <tableColumn id="1902" xr3:uid="{00000000-0010-0000-0300-00006E070000}" name="Column1897" dataDxfId="14506"/>
    <tableColumn id="1903" xr3:uid="{00000000-0010-0000-0300-00006F070000}" name="Column1898" dataDxfId="14505"/>
    <tableColumn id="1904" xr3:uid="{00000000-0010-0000-0300-000070070000}" name="Column1899" dataDxfId="14504"/>
    <tableColumn id="1905" xr3:uid="{00000000-0010-0000-0300-000071070000}" name="Column1900" dataDxfId="14503"/>
    <tableColumn id="1906" xr3:uid="{00000000-0010-0000-0300-000072070000}" name="Column1901" dataDxfId="14502"/>
    <tableColumn id="1907" xr3:uid="{00000000-0010-0000-0300-000073070000}" name="Column1902" dataDxfId="14501"/>
    <tableColumn id="1908" xr3:uid="{00000000-0010-0000-0300-000074070000}" name="Column1903" dataDxfId="14500"/>
    <tableColumn id="1909" xr3:uid="{00000000-0010-0000-0300-000075070000}" name="Column1904" dataDxfId="14499"/>
    <tableColumn id="1910" xr3:uid="{00000000-0010-0000-0300-000076070000}" name="Column1905" dataDxfId="14498"/>
    <tableColumn id="1911" xr3:uid="{00000000-0010-0000-0300-000077070000}" name="Column1906" dataDxfId="14497"/>
    <tableColumn id="1912" xr3:uid="{00000000-0010-0000-0300-000078070000}" name="Column1907" dataDxfId="14496"/>
    <tableColumn id="1913" xr3:uid="{00000000-0010-0000-0300-000079070000}" name="Column1908" dataDxfId="14495"/>
    <tableColumn id="1914" xr3:uid="{00000000-0010-0000-0300-00007A070000}" name="Column1909" dataDxfId="14494"/>
    <tableColumn id="1915" xr3:uid="{00000000-0010-0000-0300-00007B070000}" name="Column1910" dataDxfId="14493"/>
    <tableColumn id="1916" xr3:uid="{00000000-0010-0000-0300-00007C070000}" name="Column1911" dataDxfId="14492"/>
    <tableColumn id="1917" xr3:uid="{00000000-0010-0000-0300-00007D070000}" name="Column1912" dataDxfId="14491"/>
    <tableColumn id="1918" xr3:uid="{00000000-0010-0000-0300-00007E070000}" name="Column1913" dataDxfId="14490"/>
    <tableColumn id="1919" xr3:uid="{00000000-0010-0000-0300-00007F070000}" name="Column1914" dataDxfId="14489"/>
    <tableColumn id="1920" xr3:uid="{00000000-0010-0000-0300-000080070000}" name="Column1915" dataDxfId="14488"/>
    <tableColumn id="1921" xr3:uid="{00000000-0010-0000-0300-000081070000}" name="Column1916" dataDxfId="14487"/>
    <tableColumn id="1922" xr3:uid="{00000000-0010-0000-0300-000082070000}" name="Column1917" dataDxfId="14486"/>
    <tableColumn id="1923" xr3:uid="{00000000-0010-0000-0300-000083070000}" name="Column1918" dataDxfId="14485"/>
    <tableColumn id="1924" xr3:uid="{00000000-0010-0000-0300-000084070000}" name="Column1919" dataDxfId="14484"/>
    <tableColumn id="1925" xr3:uid="{00000000-0010-0000-0300-000085070000}" name="Column1920" dataDxfId="14483"/>
    <tableColumn id="1926" xr3:uid="{00000000-0010-0000-0300-000086070000}" name="Column1921" dataDxfId="14482"/>
    <tableColumn id="1927" xr3:uid="{00000000-0010-0000-0300-000087070000}" name="Column1922" dataDxfId="14481"/>
    <tableColumn id="1928" xr3:uid="{00000000-0010-0000-0300-000088070000}" name="Column1923" dataDxfId="14480"/>
    <tableColumn id="1929" xr3:uid="{00000000-0010-0000-0300-000089070000}" name="Column1924" dataDxfId="14479"/>
    <tableColumn id="1930" xr3:uid="{00000000-0010-0000-0300-00008A070000}" name="Column1925" dataDxfId="14478"/>
    <tableColumn id="1931" xr3:uid="{00000000-0010-0000-0300-00008B070000}" name="Column1926" dataDxfId="14477"/>
    <tableColumn id="1932" xr3:uid="{00000000-0010-0000-0300-00008C070000}" name="Column1927" dataDxfId="14476"/>
    <tableColumn id="1933" xr3:uid="{00000000-0010-0000-0300-00008D070000}" name="Column1928" dataDxfId="14475"/>
    <tableColumn id="1934" xr3:uid="{00000000-0010-0000-0300-00008E070000}" name="Column1929" dataDxfId="14474"/>
    <tableColumn id="1935" xr3:uid="{00000000-0010-0000-0300-00008F070000}" name="Column1930" dataDxfId="14473"/>
    <tableColumn id="1936" xr3:uid="{00000000-0010-0000-0300-000090070000}" name="Column1931" dataDxfId="14472"/>
    <tableColumn id="1937" xr3:uid="{00000000-0010-0000-0300-000091070000}" name="Column1932" dataDxfId="14471"/>
    <tableColumn id="1938" xr3:uid="{00000000-0010-0000-0300-000092070000}" name="Column1933" dataDxfId="14470"/>
    <tableColumn id="1939" xr3:uid="{00000000-0010-0000-0300-000093070000}" name="Column1934" dataDxfId="14469"/>
    <tableColumn id="1940" xr3:uid="{00000000-0010-0000-0300-000094070000}" name="Column1935" dataDxfId="14468"/>
    <tableColumn id="1941" xr3:uid="{00000000-0010-0000-0300-000095070000}" name="Column1936" dataDxfId="14467"/>
    <tableColumn id="1942" xr3:uid="{00000000-0010-0000-0300-000096070000}" name="Column1937" dataDxfId="14466"/>
    <tableColumn id="1943" xr3:uid="{00000000-0010-0000-0300-000097070000}" name="Column1938" dataDxfId="14465"/>
    <tableColumn id="1944" xr3:uid="{00000000-0010-0000-0300-000098070000}" name="Column1939" dataDxfId="14464"/>
    <tableColumn id="1945" xr3:uid="{00000000-0010-0000-0300-000099070000}" name="Column1940" dataDxfId="14463"/>
    <tableColumn id="1946" xr3:uid="{00000000-0010-0000-0300-00009A070000}" name="Column1941" dataDxfId="14462"/>
    <tableColumn id="1947" xr3:uid="{00000000-0010-0000-0300-00009B070000}" name="Column1942" dataDxfId="14461"/>
    <tableColumn id="1948" xr3:uid="{00000000-0010-0000-0300-00009C070000}" name="Column1943" dataDxfId="14460"/>
    <tableColumn id="1949" xr3:uid="{00000000-0010-0000-0300-00009D070000}" name="Column1944" dataDxfId="14459"/>
    <tableColumn id="1950" xr3:uid="{00000000-0010-0000-0300-00009E070000}" name="Column1945" dataDxfId="14458"/>
    <tableColumn id="1951" xr3:uid="{00000000-0010-0000-0300-00009F070000}" name="Column1946" dataDxfId="14457"/>
    <tableColumn id="1952" xr3:uid="{00000000-0010-0000-0300-0000A0070000}" name="Column1947" dataDxfId="14456"/>
    <tableColumn id="1953" xr3:uid="{00000000-0010-0000-0300-0000A1070000}" name="Column1948" dataDxfId="14455"/>
    <tableColumn id="1954" xr3:uid="{00000000-0010-0000-0300-0000A2070000}" name="Column1949" dataDxfId="14454"/>
    <tableColumn id="1955" xr3:uid="{00000000-0010-0000-0300-0000A3070000}" name="Column1950" dataDxfId="14453"/>
    <tableColumn id="1956" xr3:uid="{00000000-0010-0000-0300-0000A4070000}" name="Column1951" dataDxfId="14452"/>
    <tableColumn id="1957" xr3:uid="{00000000-0010-0000-0300-0000A5070000}" name="Column1952" dataDxfId="14451"/>
    <tableColumn id="1958" xr3:uid="{00000000-0010-0000-0300-0000A6070000}" name="Column1953" dataDxfId="14450"/>
    <tableColumn id="1959" xr3:uid="{00000000-0010-0000-0300-0000A7070000}" name="Column1954" dataDxfId="14449"/>
    <tableColumn id="1960" xr3:uid="{00000000-0010-0000-0300-0000A8070000}" name="Column1955" dataDxfId="14448"/>
    <tableColumn id="1961" xr3:uid="{00000000-0010-0000-0300-0000A9070000}" name="Column1956" dataDxfId="14447"/>
    <tableColumn id="1962" xr3:uid="{00000000-0010-0000-0300-0000AA070000}" name="Column1957" dataDxfId="14446"/>
    <tableColumn id="1963" xr3:uid="{00000000-0010-0000-0300-0000AB070000}" name="Column1958" dataDxfId="14445"/>
    <tableColumn id="1964" xr3:uid="{00000000-0010-0000-0300-0000AC070000}" name="Column1959" dataDxfId="14444"/>
    <tableColumn id="1965" xr3:uid="{00000000-0010-0000-0300-0000AD070000}" name="Column1960" dataDxfId="14443"/>
    <tableColumn id="1966" xr3:uid="{00000000-0010-0000-0300-0000AE070000}" name="Column1961" dataDxfId="14442"/>
    <tableColumn id="1967" xr3:uid="{00000000-0010-0000-0300-0000AF070000}" name="Column1962" dataDxfId="14441"/>
    <tableColumn id="1968" xr3:uid="{00000000-0010-0000-0300-0000B0070000}" name="Column1963" dataDxfId="14440"/>
    <tableColumn id="1969" xr3:uid="{00000000-0010-0000-0300-0000B1070000}" name="Column1964" dataDxfId="14439"/>
    <tableColumn id="1970" xr3:uid="{00000000-0010-0000-0300-0000B2070000}" name="Column1965" dataDxfId="14438"/>
    <tableColumn id="1971" xr3:uid="{00000000-0010-0000-0300-0000B3070000}" name="Column1966" dataDxfId="14437"/>
    <tableColumn id="1972" xr3:uid="{00000000-0010-0000-0300-0000B4070000}" name="Column1967" dataDxfId="14436"/>
    <tableColumn id="1973" xr3:uid="{00000000-0010-0000-0300-0000B5070000}" name="Column1968" dataDxfId="14435"/>
    <tableColumn id="1974" xr3:uid="{00000000-0010-0000-0300-0000B6070000}" name="Column1969" dataDxfId="14434"/>
    <tableColumn id="1975" xr3:uid="{00000000-0010-0000-0300-0000B7070000}" name="Column1970" dataDxfId="14433"/>
    <tableColumn id="1976" xr3:uid="{00000000-0010-0000-0300-0000B8070000}" name="Column1971" dataDxfId="14432"/>
    <tableColumn id="1977" xr3:uid="{00000000-0010-0000-0300-0000B9070000}" name="Column1972" dataDxfId="14431"/>
    <tableColumn id="1978" xr3:uid="{00000000-0010-0000-0300-0000BA070000}" name="Column1973" dataDxfId="14430"/>
    <tableColumn id="1979" xr3:uid="{00000000-0010-0000-0300-0000BB070000}" name="Column1974" dataDxfId="14429"/>
    <tableColumn id="1980" xr3:uid="{00000000-0010-0000-0300-0000BC070000}" name="Column1975" dataDxfId="14428"/>
    <tableColumn id="1981" xr3:uid="{00000000-0010-0000-0300-0000BD070000}" name="Column1976" dataDxfId="14427"/>
    <tableColumn id="1982" xr3:uid="{00000000-0010-0000-0300-0000BE070000}" name="Column1977" dataDxfId="14426"/>
    <tableColumn id="1983" xr3:uid="{00000000-0010-0000-0300-0000BF070000}" name="Column1978" dataDxfId="14425"/>
    <tableColumn id="1984" xr3:uid="{00000000-0010-0000-0300-0000C0070000}" name="Column1979" dataDxfId="14424"/>
    <tableColumn id="1985" xr3:uid="{00000000-0010-0000-0300-0000C1070000}" name="Column1980" dataDxfId="14423"/>
    <tableColumn id="1986" xr3:uid="{00000000-0010-0000-0300-0000C2070000}" name="Column1981" dataDxfId="14422"/>
    <tableColumn id="1987" xr3:uid="{00000000-0010-0000-0300-0000C3070000}" name="Column1982" dataDxfId="14421"/>
    <tableColumn id="1988" xr3:uid="{00000000-0010-0000-0300-0000C4070000}" name="Column1983" dataDxfId="14420"/>
    <tableColumn id="1989" xr3:uid="{00000000-0010-0000-0300-0000C5070000}" name="Column1984" dataDxfId="14419"/>
    <tableColumn id="1990" xr3:uid="{00000000-0010-0000-0300-0000C6070000}" name="Column1985" dataDxfId="14418"/>
    <tableColumn id="1991" xr3:uid="{00000000-0010-0000-0300-0000C7070000}" name="Column1986" dataDxfId="14417"/>
    <tableColumn id="1992" xr3:uid="{00000000-0010-0000-0300-0000C8070000}" name="Column1987" dataDxfId="14416"/>
    <tableColumn id="1993" xr3:uid="{00000000-0010-0000-0300-0000C9070000}" name="Column1988" dataDxfId="14415"/>
    <tableColumn id="1994" xr3:uid="{00000000-0010-0000-0300-0000CA070000}" name="Column1989" dataDxfId="14414"/>
    <tableColumn id="1995" xr3:uid="{00000000-0010-0000-0300-0000CB070000}" name="Column1990" dataDxfId="14413"/>
    <tableColumn id="1996" xr3:uid="{00000000-0010-0000-0300-0000CC070000}" name="Column1991" dataDxfId="14412"/>
    <tableColumn id="1997" xr3:uid="{00000000-0010-0000-0300-0000CD070000}" name="Column1992" dataDxfId="14411"/>
    <tableColumn id="1998" xr3:uid="{00000000-0010-0000-0300-0000CE070000}" name="Column1993" dataDxfId="14410"/>
    <tableColumn id="1999" xr3:uid="{00000000-0010-0000-0300-0000CF070000}" name="Column1994" dataDxfId="14409"/>
    <tableColumn id="2000" xr3:uid="{00000000-0010-0000-0300-0000D0070000}" name="Column1995" dataDxfId="14408"/>
    <tableColumn id="2001" xr3:uid="{00000000-0010-0000-0300-0000D1070000}" name="Column1996" dataDxfId="14407"/>
    <tableColumn id="2002" xr3:uid="{00000000-0010-0000-0300-0000D2070000}" name="Column1997" dataDxfId="14406"/>
    <tableColumn id="2003" xr3:uid="{00000000-0010-0000-0300-0000D3070000}" name="Column1998" dataDxfId="14405"/>
    <tableColumn id="2004" xr3:uid="{00000000-0010-0000-0300-0000D4070000}" name="Column1999" dataDxfId="14404"/>
    <tableColumn id="2005" xr3:uid="{00000000-0010-0000-0300-0000D5070000}" name="Column2000" dataDxfId="14403"/>
    <tableColumn id="2006" xr3:uid="{00000000-0010-0000-0300-0000D6070000}" name="Column2001" dataDxfId="14402"/>
    <tableColumn id="2007" xr3:uid="{00000000-0010-0000-0300-0000D7070000}" name="Column2002" dataDxfId="14401"/>
    <tableColumn id="2008" xr3:uid="{00000000-0010-0000-0300-0000D8070000}" name="Column2003" dataDxfId="14400"/>
    <tableColumn id="2009" xr3:uid="{00000000-0010-0000-0300-0000D9070000}" name="Column2004" dataDxfId="14399"/>
    <tableColumn id="2010" xr3:uid="{00000000-0010-0000-0300-0000DA070000}" name="Column2005" dataDxfId="14398"/>
    <tableColumn id="2011" xr3:uid="{00000000-0010-0000-0300-0000DB070000}" name="Column2006" dataDxfId="14397"/>
    <tableColumn id="2012" xr3:uid="{00000000-0010-0000-0300-0000DC070000}" name="Column2007" dataDxfId="14396"/>
    <tableColumn id="2013" xr3:uid="{00000000-0010-0000-0300-0000DD070000}" name="Column2008" dataDxfId="14395"/>
    <tableColumn id="2014" xr3:uid="{00000000-0010-0000-0300-0000DE070000}" name="Column2009" dataDxfId="14394"/>
    <tableColumn id="2015" xr3:uid="{00000000-0010-0000-0300-0000DF070000}" name="Column2010" dataDxfId="14393"/>
    <tableColumn id="2016" xr3:uid="{00000000-0010-0000-0300-0000E0070000}" name="Column2011" dataDxfId="14392"/>
    <tableColumn id="2017" xr3:uid="{00000000-0010-0000-0300-0000E1070000}" name="Column2012" dataDxfId="14391"/>
    <tableColumn id="2018" xr3:uid="{00000000-0010-0000-0300-0000E2070000}" name="Column2013" dataDxfId="14390"/>
    <tableColumn id="2019" xr3:uid="{00000000-0010-0000-0300-0000E3070000}" name="Column2014" dataDxfId="14389"/>
    <tableColumn id="2020" xr3:uid="{00000000-0010-0000-0300-0000E4070000}" name="Column2015" dataDxfId="14388"/>
    <tableColumn id="2021" xr3:uid="{00000000-0010-0000-0300-0000E5070000}" name="Column2016" dataDxfId="14387"/>
    <tableColumn id="2022" xr3:uid="{00000000-0010-0000-0300-0000E6070000}" name="Column2017" dataDxfId="14386"/>
    <tableColumn id="2023" xr3:uid="{00000000-0010-0000-0300-0000E7070000}" name="Column2018" dataDxfId="14385"/>
    <tableColumn id="2024" xr3:uid="{00000000-0010-0000-0300-0000E8070000}" name="Column2019" dataDxfId="14384"/>
    <tableColumn id="2025" xr3:uid="{00000000-0010-0000-0300-0000E9070000}" name="Column2020" dataDxfId="14383"/>
    <tableColumn id="2026" xr3:uid="{00000000-0010-0000-0300-0000EA070000}" name="Column2021" dataDxfId="14382"/>
    <tableColumn id="2027" xr3:uid="{00000000-0010-0000-0300-0000EB070000}" name="Column2022" dataDxfId="14381"/>
    <tableColumn id="2028" xr3:uid="{00000000-0010-0000-0300-0000EC070000}" name="Column2023" dataDxfId="14380"/>
    <tableColumn id="2029" xr3:uid="{00000000-0010-0000-0300-0000ED070000}" name="Column2024" dataDxfId="14379"/>
    <tableColumn id="2030" xr3:uid="{00000000-0010-0000-0300-0000EE070000}" name="Column2025" dataDxfId="14378"/>
    <tableColumn id="2031" xr3:uid="{00000000-0010-0000-0300-0000EF070000}" name="Column2026" dataDxfId="14377"/>
    <tableColumn id="2032" xr3:uid="{00000000-0010-0000-0300-0000F0070000}" name="Column2027" dataDxfId="14376"/>
    <tableColumn id="2033" xr3:uid="{00000000-0010-0000-0300-0000F1070000}" name="Column2028" dataDxfId="14375"/>
    <tableColumn id="2034" xr3:uid="{00000000-0010-0000-0300-0000F2070000}" name="Column2029" dataDxfId="14374"/>
    <tableColumn id="2035" xr3:uid="{00000000-0010-0000-0300-0000F3070000}" name="Column2030" dataDxfId="14373"/>
    <tableColumn id="2036" xr3:uid="{00000000-0010-0000-0300-0000F4070000}" name="Column2031" dataDxfId="14372"/>
    <tableColumn id="2037" xr3:uid="{00000000-0010-0000-0300-0000F5070000}" name="Column2032" dataDxfId="14371"/>
    <tableColumn id="2038" xr3:uid="{00000000-0010-0000-0300-0000F6070000}" name="Column2033" dataDxfId="14370"/>
    <tableColumn id="2039" xr3:uid="{00000000-0010-0000-0300-0000F7070000}" name="Column2034" dataDxfId="14369"/>
    <tableColumn id="2040" xr3:uid="{00000000-0010-0000-0300-0000F8070000}" name="Column2035" dataDxfId="14368"/>
    <tableColumn id="2041" xr3:uid="{00000000-0010-0000-0300-0000F9070000}" name="Column2036" dataDxfId="14367"/>
    <tableColumn id="2042" xr3:uid="{00000000-0010-0000-0300-0000FA070000}" name="Column2037" dataDxfId="14366"/>
    <tableColumn id="2043" xr3:uid="{00000000-0010-0000-0300-0000FB070000}" name="Column2038" dataDxfId="14365"/>
    <tableColumn id="2044" xr3:uid="{00000000-0010-0000-0300-0000FC070000}" name="Column2039" dataDxfId="14364"/>
    <tableColumn id="2045" xr3:uid="{00000000-0010-0000-0300-0000FD070000}" name="Column2040" dataDxfId="14363"/>
    <tableColumn id="2046" xr3:uid="{00000000-0010-0000-0300-0000FE070000}" name="Column2041" dataDxfId="14362"/>
    <tableColumn id="2047" xr3:uid="{00000000-0010-0000-0300-0000FF070000}" name="Column2042" dataDxfId="14361"/>
    <tableColumn id="2048" xr3:uid="{00000000-0010-0000-0300-000000080000}" name="Column2043" dataDxfId="14360"/>
    <tableColumn id="2049" xr3:uid="{00000000-0010-0000-0300-000001080000}" name="Column2044" dataDxfId="14359"/>
    <tableColumn id="2050" xr3:uid="{00000000-0010-0000-0300-000002080000}" name="Column2045" dataDxfId="14358"/>
    <tableColumn id="2051" xr3:uid="{00000000-0010-0000-0300-000003080000}" name="Column2046" dataDxfId="14357"/>
    <tableColumn id="2052" xr3:uid="{00000000-0010-0000-0300-000004080000}" name="Column2047" dataDxfId="14356"/>
    <tableColumn id="2053" xr3:uid="{00000000-0010-0000-0300-000005080000}" name="Column2048" dataDxfId="14355"/>
    <tableColumn id="2054" xr3:uid="{00000000-0010-0000-0300-000006080000}" name="Column2049" dataDxfId="14354"/>
    <tableColumn id="2055" xr3:uid="{00000000-0010-0000-0300-000007080000}" name="Column2050" dataDxfId="14353"/>
    <tableColumn id="2056" xr3:uid="{00000000-0010-0000-0300-000008080000}" name="Column2051" dataDxfId="14352"/>
    <tableColumn id="2057" xr3:uid="{00000000-0010-0000-0300-000009080000}" name="Column2052" dataDxfId="14351"/>
    <tableColumn id="2058" xr3:uid="{00000000-0010-0000-0300-00000A080000}" name="Column2053" dataDxfId="14350"/>
    <tableColumn id="2059" xr3:uid="{00000000-0010-0000-0300-00000B080000}" name="Column2054" dataDxfId="14349"/>
    <tableColumn id="2060" xr3:uid="{00000000-0010-0000-0300-00000C080000}" name="Column2055" dataDxfId="14348"/>
    <tableColumn id="2061" xr3:uid="{00000000-0010-0000-0300-00000D080000}" name="Column2056" dataDxfId="14347"/>
    <tableColumn id="2062" xr3:uid="{00000000-0010-0000-0300-00000E080000}" name="Column2057" dataDxfId="14346"/>
    <tableColumn id="2063" xr3:uid="{00000000-0010-0000-0300-00000F080000}" name="Column2058" dataDxfId="14345"/>
    <tableColumn id="2064" xr3:uid="{00000000-0010-0000-0300-000010080000}" name="Column2059" dataDxfId="14344"/>
    <tableColumn id="2065" xr3:uid="{00000000-0010-0000-0300-000011080000}" name="Column2060" dataDxfId="14343"/>
    <tableColumn id="2066" xr3:uid="{00000000-0010-0000-0300-000012080000}" name="Column2061" dataDxfId="14342"/>
    <tableColumn id="2067" xr3:uid="{00000000-0010-0000-0300-000013080000}" name="Column2062" dataDxfId="14341"/>
    <tableColumn id="2068" xr3:uid="{00000000-0010-0000-0300-000014080000}" name="Column2063" dataDxfId="14340"/>
    <tableColumn id="2069" xr3:uid="{00000000-0010-0000-0300-000015080000}" name="Column2064" dataDxfId="14339"/>
    <tableColumn id="2070" xr3:uid="{00000000-0010-0000-0300-000016080000}" name="Column2065" dataDxfId="14338"/>
    <tableColumn id="2071" xr3:uid="{00000000-0010-0000-0300-000017080000}" name="Column2066" dataDxfId="14337"/>
    <tableColumn id="2072" xr3:uid="{00000000-0010-0000-0300-000018080000}" name="Column2067" dataDxfId="14336"/>
    <tableColumn id="2073" xr3:uid="{00000000-0010-0000-0300-000019080000}" name="Column2068" dataDxfId="14335"/>
    <tableColumn id="2074" xr3:uid="{00000000-0010-0000-0300-00001A080000}" name="Column2069" dataDxfId="14334"/>
    <tableColumn id="2075" xr3:uid="{00000000-0010-0000-0300-00001B080000}" name="Column2070" dataDxfId="14333"/>
    <tableColumn id="2076" xr3:uid="{00000000-0010-0000-0300-00001C080000}" name="Column2071" dataDxfId="14332"/>
    <tableColumn id="2077" xr3:uid="{00000000-0010-0000-0300-00001D080000}" name="Column2072" dataDxfId="14331"/>
    <tableColumn id="2078" xr3:uid="{00000000-0010-0000-0300-00001E080000}" name="Column2073" dataDxfId="14330"/>
    <tableColumn id="2079" xr3:uid="{00000000-0010-0000-0300-00001F080000}" name="Column2074" dataDxfId="14329"/>
    <tableColumn id="2080" xr3:uid="{00000000-0010-0000-0300-000020080000}" name="Column2075" dataDxfId="14328"/>
    <tableColumn id="2081" xr3:uid="{00000000-0010-0000-0300-000021080000}" name="Column2076" dataDxfId="14327"/>
    <tableColumn id="2082" xr3:uid="{00000000-0010-0000-0300-000022080000}" name="Column2077" dataDxfId="14326"/>
    <tableColumn id="2083" xr3:uid="{00000000-0010-0000-0300-000023080000}" name="Column2078" dataDxfId="14325"/>
    <tableColumn id="2084" xr3:uid="{00000000-0010-0000-0300-000024080000}" name="Column2079" dataDxfId="14324"/>
    <tableColumn id="2085" xr3:uid="{00000000-0010-0000-0300-000025080000}" name="Column2080" dataDxfId="14323"/>
    <tableColumn id="2086" xr3:uid="{00000000-0010-0000-0300-000026080000}" name="Column2081" dataDxfId="14322"/>
    <tableColumn id="2087" xr3:uid="{00000000-0010-0000-0300-000027080000}" name="Column2082" dataDxfId="14321"/>
    <tableColumn id="2088" xr3:uid="{00000000-0010-0000-0300-000028080000}" name="Column2083" dataDxfId="14320"/>
    <tableColumn id="2089" xr3:uid="{00000000-0010-0000-0300-000029080000}" name="Column2084" dataDxfId="14319"/>
    <tableColumn id="2090" xr3:uid="{00000000-0010-0000-0300-00002A080000}" name="Column2085" dataDxfId="14318"/>
    <tableColumn id="2091" xr3:uid="{00000000-0010-0000-0300-00002B080000}" name="Column2086" dataDxfId="14317"/>
    <tableColumn id="2092" xr3:uid="{00000000-0010-0000-0300-00002C080000}" name="Column2087" dataDxfId="14316"/>
    <tableColumn id="2093" xr3:uid="{00000000-0010-0000-0300-00002D080000}" name="Column2088" dataDxfId="14315"/>
    <tableColumn id="2094" xr3:uid="{00000000-0010-0000-0300-00002E080000}" name="Column2089" dataDxfId="14314"/>
    <tableColumn id="2095" xr3:uid="{00000000-0010-0000-0300-00002F080000}" name="Column2090" dataDxfId="14313"/>
    <tableColumn id="2096" xr3:uid="{00000000-0010-0000-0300-000030080000}" name="Column2091" dataDxfId="14312"/>
    <tableColumn id="2097" xr3:uid="{00000000-0010-0000-0300-000031080000}" name="Column2092" dataDxfId="14311"/>
    <tableColumn id="2098" xr3:uid="{00000000-0010-0000-0300-000032080000}" name="Column2093" dataDxfId="14310"/>
    <tableColumn id="2099" xr3:uid="{00000000-0010-0000-0300-000033080000}" name="Column2094" dataDxfId="14309"/>
    <tableColumn id="2100" xr3:uid="{00000000-0010-0000-0300-000034080000}" name="Column2095" dataDxfId="14308"/>
    <tableColumn id="2101" xr3:uid="{00000000-0010-0000-0300-000035080000}" name="Column2096" dataDxfId="14307"/>
    <tableColumn id="2102" xr3:uid="{00000000-0010-0000-0300-000036080000}" name="Column2097" dataDxfId="14306"/>
    <tableColumn id="2103" xr3:uid="{00000000-0010-0000-0300-000037080000}" name="Column2098" dataDxfId="14305"/>
    <tableColumn id="2104" xr3:uid="{00000000-0010-0000-0300-000038080000}" name="Column2099" dataDxfId="14304"/>
    <tableColumn id="2105" xr3:uid="{00000000-0010-0000-0300-000039080000}" name="Column2100" dataDxfId="14303"/>
    <tableColumn id="2106" xr3:uid="{00000000-0010-0000-0300-00003A080000}" name="Column2101" dataDxfId="14302"/>
    <tableColumn id="2107" xr3:uid="{00000000-0010-0000-0300-00003B080000}" name="Column2102" dataDxfId="14301"/>
    <tableColumn id="2108" xr3:uid="{00000000-0010-0000-0300-00003C080000}" name="Column2103" dataDxfId="14300"/>
    <tableColumn id="2109" xr3:uid="{00000000-0010-0000-0300-00003D080000}" name="Column2104" dataDxfId="14299"/>
    <tableColumn id="2110" xr3:uid="{00000000-0010-0000-0300-00003E080000}" name="Column2105" dataDxfId="14298"/>
    <tableColumn id="2111" xr3:uid="{00000000-0010-0000-0300-00003F080000}" name="Column2106" dataDxfId="14297"/>
    <tableColumn id="2112" xr3:uid="{00000000-0010-0000-0300-000040080000}" name="Column2107" dataDxfId="14296"/>
    <tableColumn id="2113" xr3:uid="{00000000-0010-0000-0300-000041080000}" name="Column2108" dataDxfId="14295"/>
    <tableColumn id="2114" xr3:uid="{00000000-0010-0000-0300-000042080000}" name="Column2109" dataDxfId="14294"/>
    <tableColumn id="2115" xr3:uid="{00000000-0010-0000-0300-000043080000}" name="Column2110" dataDxfId="14293"/>
    <tableColumn id="2116" xr3:uid="{00000000-0010-0000-0300-000044080000}" name="Column2111" dataDxfId="14292"/>
    <tableColumn id="2117" xr3:uid="{00000000-0010-0000-0300-000045080000}" name="Column2112" dataDxfId="14291"/>
    <tableColumn id="2118" xr3:uid="{00000000-0010-0000-0300-000046080000}" name="Column2113" dataDxfId="14290"/>
    <tableColumn id="2119" xr3:uid="{00000000-0010-0000-0300-000047080000}" name="Column2114" dataDxfId="14289"/>
    <tableColumn id="2120" xr3:uid="{00000000-0010-0000-0300-000048080000}" name="Column2115" dataDxfId="14288"/>
    <tableColumn id="2121" xr3:uid="{00000000-0010-0000-0300-000049080000}" name="Column2116" dataDxfId="14287"/>
    <tableColumn id="2122" xr3:uid="{00000000-0010-0000-0300-00004A080000}" name="Column2117" dataDxfId="14286"/>
    <tableColumn id="2123" xr3:uid="{00000000-0010-0000-0300-00004B080000}" name="Column2118" dataDxfId="14285"/>
    <tableColumn id="2124" xr3:uid="{00000000-0010-0000-0300-00004C080000}" name="Column2119" dataDxfId="14284"/>
    <tableColumn id="2125" xr3:uid="{00000000-0010-0000-0300-00004D080000}" name="Column2120" dataDxfId="14283"/>
    <tableColumn id="2126" xr3:uid="{00000000-0010-0000-0300-00004E080000}" name="Column2121" dataDxfId="14282"/>
    <tableColumn id="2127" xr3:uid="{00000000-0010-0000-0300-00004F080000}" name="Column2122" dataDxfId="14281"/>
    <tableColumn id="2128" xr3:uid="{00000000-0010-0000-0300-000050080000}" name="Column2123" dataDxfId="14280"/>
    <tableColumn id="2129" xr3:uid="{00000000-0010-0000-0300-000051080000}" name="Column2124" dataDxfId="14279"/>
    <tableColumn id="2130" xr3:uid="{00000000-0010-0000-0300-000052080000}" name="Column2125" dataDxfId="14278"/>
    <tableColumn id="2131" xr3:uid="{00000000-0010-0000-0300-000053080000}" name="Column2126" dataDxfId="14277"/>
    <tableColumn id="2132" xr3:uid="{00000000-0010-0000-0300-000054080000}" name="Column2127" dataDxfId="14276"/>
    <tableColumn id="2133" xr3:uid="{00000000-0010-0000-0300-000055080000}" name="Column2128" dataDxfId="14275"/>
    <tableColumn id="2134" xr3:uid="{00000000-0010-0000-0300-000056080000}" name="Column2129" dataDxfId="14274"/>
    <tableColumn id="2135" xr3:uid="{00000000-0010-0000-0300-000057080000}" name="Column2130" dataDxfId="14273"/>
    <tableColumn id="2136" xr3:uid="{00000000-0010-0000-0300-000058080000}" name="Column2131" dataDxfId="14272"/>
    <tableColumn id="2137" xr3:uid="{00000000-0010-0000-0300-000059080000}" name="Column2132" dataDxfId="14271"/>
    <tableColumn id="2138" xr3:uid="{00000000-0010-0000-0300-00005A080000}" name="Column2133" dataDxfId="14270"/>
    <tableColumn id="2139" xr3:uid="{00000000-0010-0000-0300-00005B080000}" name="Column2134" dataDxfId="14269"/>
    <tableColumn id="2140" xr3:uid="{00000000-0010-0000-0300-00005C080000}" name="Column2135" dataDxfId="14268"/>
    <tableColumn id="2141" xr3:uid="{00000000-0010-0000-0300-00005D080000}" name="Column2136" dataDxfId="14267"/>
    <tableColumn id="2142" xr3:uid="{00000000-0010-0000-0300-00005E080000}" name="Column2137" dataDxfId="14266"/>
    <tableColumn id="2143" xr3:uid="{00000000-0010-0000-0300-00005F080000}" name="Column2138" dataDxfId="14265"/>
    <tableColumn id="2144" xr3:uid="{00000000-0010-0000-0300-000060080000}" name="Column2139" dataDxfId="14264"/>
    <tableColumn id="2145" xr3:uid="{00000000-0010-0000-0300-000061080000}" name="Column2140" dataDxfId="14263"/>
    <tableColumn id="2146" xr3:uid="{00000000-0010-0000-0300-000062080000}" name="Column2141" dataDxfId="14262"/>
    <tableColumn id="2147" xr3:uid="{00000000-0010-0000-0300-000063080000}" name="Column2142" dataDxfId="14261"/>
    <tableColumn id="2148" xr3:uid="{00000000-0010-0000-0300-000064080000}" name="Column2143" dataDxfId="14260"/>
    <tableColumn id="2149" xr3:uid="{00000000-0010-0000-0300-000065080000}" name="Column2144" dataDxfId="14259"/>
    <tableColumn id="2150" xr3:uid="{00000000-0010-0000-0300-000066080000}" name="Column2145" dataDxfId="14258"/>
    <tableColumn id="2151" xr3:uid="{00000000-0010-0000-0300-000067080000}" name="Column2146" dataDxfId="14257"/>
    <tableColumn id="2152" xr3:uid="{00000000-0010-0000-0300-000068080000}" name="Column2147" dataDxfId="14256"/>
    <tableColumn id="2153" xr3:uid="{00000000-0010-0000-0300-000069080000}" name="Column2148" dataDxfId="14255"/>
    <tableColumn id="2154" xr3:uid="{00000000-0010-0000-0300-00006A080000}" name="Column2149" dataDxfId="14254"/>
    <tableColumn id="2155" xr3:uid="{00000000-0010-0000-0300-00006B080000}" name="Column2150" dataDxfId="14253"/>
    <tableColumn id="2156" xr3:uid="{00000000-0010-0000-0300-00006C080000}" name="Column2151" dataDxfId="14252"/>
    <tableColumn id="2157" xr3:uid="{00000000-0010-0000-0300-00006D080000}" name="Column2152" dataDxfId="14251"/>
    <tableColumn id="2158" xr3:uid="{00000000-0010-0000-0300-00006E080000}" name="Column2153" dataDxfId="14250"/>
    <tableColumn id="2159" xr3:uid="{00000000-0010-0000-0300-00006F080000}" name="Column2154" dataDxfId="14249"/>
    <tableColumn id="2160" xr3:uid="{00000000-0010-0000-0300-000070080000}" name="Column2155" dataDxfId="14248"/>
    <tableColumn id="2161" xr3:uid="{00000000-0010-0000-0300-000071080000}" name="Column2156" dataDxfId="14247"/>
    <tableColumn id="2162" xr3:uid="{00000000-0010-0000-0300-000072080000}" name="Column2157" dataDxfId="14246"/>
    <tableColumn id="2163" xr3:uid="{00000000-0010-0000-0300-000073080000}" name="Column2158" dataDxfId="14245"/>
    <tableColumn id="2164" xr3:uid="{00000000-0010-0000-0300-000074080000}" name="Column2159" dataDxfId="14244"/>
    <tableColumn id="2165" xr3:uid="{00000000-0010-0000-0300-000075080000}" name="Column2160" dataDxfId="14243"/>
    <tableColumn id="2166" xr3:uid="{00000000-0010-0000-0300-000076080000}" name="Column2161" dataDxfId="14242"/>
    <tableColumn id="2167" xr3:uid="{00000000-0010-0000-0300-000077080000}" name="Column2162" dataDxfId="14241"/>
    <tableColumn id="2168" xr3:uid="{00000000-0010-0000-0300-000078080000}" name="Column2163" dataDxfId="14240"/>
    <tableColumn id="2169" xr3:uid="{00000000-0010-0000-0300-000079080000}" name="Column2164" dataDxfId="14239"/>
    <tableColumn id="2170" xr3:uid="{00000000-0010-0000-0300-00007A080000}" name="Column2165" dataDxfId="14238"/>
    <tableColumn id="2171" xr3:uid="{00000000-0010-0000-0300-00007B080000}" name="Column2166" dataDxfId="14237"/>
    <tableColumn id="2172" xr3:uid="{00000000-0010-0000-0300-00007C080000}" name="Column2167" dataDxfId="14236"/>
    <tableColumn id="2173" xr3:uid="{00000000-0010-0000-0300-00007D080000}" name="Column2168" dataDxfId="14235"/>
    <tableColumn id="2174" xr3:uid="{00000000-0010-0000-0300-00007E080000}" name="Column2169" dataDxfId="14234"/>
    <tableColumn id="2175" xr3:uid="{00000000-0010-0000-0300-00007F080000}" name="Column2170" dataDxfId="14233"/>
    <tableColumn id="2176" xr3:uid="{00000000-0010-0000-0300-000080080000}" name="Column2171" dataDxfId="14232"/>
    <tableColumn id="2177" xr3:uid="{00000000-0010-0000-0300-000081080000}" name="Column2172" dataDxfId="14231"/>
    <tableColumn id="2178" xr3:uid="{00000000-0010-0000-0300-000082080000}" name="Column2173" dataDxfId="14230"/>
    <tableColumn id="2179" xr3:uid="{00000000-0010-0000-0300-000083080000}" name="Column2174" dataDxfId="14229"/>
    <tableColumn id="2180" xr3:uid="{00000000-0010-0000-0300-000084080000}" name="Column2175" dataDxfId="14228"/>
    <tableColumn id="2181" xr3:uid="{00000000-0010-0000-0300-000085080000}" name="Column2176" dataDxfId="14227"/>
    <tableColumn id="2182" xr3:uid="{00000000-0010-0000-0300-000086080000}" name="Column2177" dataDxfId="14226"/>
    <tableColumn id="2183" xr3:uid="{00000000-0010-0000-0300-000087080000}" name="Column2178" dataDxfId="14225"/>
    <tableColumn id="2184" xr3:uid="{00000000-0010-0000-0300-000088080000}" name="Column2179" dataDxfId="14224"/>
    <tableColumn id="2185" xr3:uid="{00000000-0010-0000-0300-000089080000}" name="Column2180" dataDxfId="14223"/>
    <tableColumn id="2186" xr3:uid="{00000000-0010-0000-0300-00008A080000}" name="Column2181" dataDxfId="14222"/>
    <tableColumn id="2187" xr3:uid="{00000000-0010-0000-0300-00008B080000}" name="Column2182" dataDxfId="14221"/>
    <tableColumn id="2188" xr3:uid="{00000000-0010-0000-0300-00008C080000}" name="Column2183" dataDxfId="14220"/>
    <tableColumn id="2189" xr3:uid="{00000000-0010-0000-0300-00008D080000}" name="Column2184" dataDxfId="14219"/>
    <tableColumn id="2190" xr3:uid="{00000000-0010-0000-0300-00008E080000}" name="Column2185" dataDxfId="14218"/>
    <tableColumn id="2191" xr3:uid="{00000000-0010-0000-0300-00008F080000}" name="Column2186" dataDxfId="14217"/>
    <tableColumn id="2192" xr3:uid="{00000000-0010-0000-0300-000090080000}" name="Column2187" dataDxfId="14216"/>
    <tableColumn id="2193" xr3:uid="{00000000-0010-0000-0300-000091080000}" name="Column2188" dataDxfId="14215"/>
    <tableColumn id="2194" xr3:uid="{00000000-0010-0000-0300-000092080000}" name="Column2189" dataDxfId="14214"/>
    <tableColumn id="2195" xr3:uid="{00000000-0010-0000-0300-000093080000}" name="Column2190" dataDxfId="14213"/>
    <tableColumn id="2196" xr3:uid="{00000000-0010-0000-0300-000094080000}" name="Column2191" dataDxfId="14212"/>
    <tableColumn id="2197" xr3:uid="{00000000-0010-0000-0300-000095080000}" name="Column2192" dataDxfId="14211"/>
    <tableColumn id="2198" xr3:uid="{00000000-0010-0000-0300-000096080000}" name="Column2193" dataDxfId="14210"/>
    <tableColumn id="2199" xr3:uid="{00000000-0010-0000-0300-000097080000}" name="Column2194" dataDxfId="14209"/>
    <tableColumn id="2200" xr3:uid="{00000000-0010-0000-0300-000098080000}" name="Column2195" dataDxfId="14208"/>
    <tableColumn id="2201" xr3:uid="{00000000-0010-0000-0300-000099080000}" name="Column2196" dataDxfId="14207"/>
    <tableColumn id="2202" xr3:uid="{00000000-0010-0000-0300-00009A080000}" name="Column2197" dataDxfId="14206"/>
    <tableColumn id="2203" xr3:uid="{00000000-0010-0000-0300-00009B080000}" name="Column2198" dataDxfId="14205"/>
    <tableColumn id="2204" xr3:uid="{00000000-0010-0000-0300-00009C080000}" name="Column2199" dataDxfId="14204"/>
    <tableColumn id="2205" xr3:uid="{00000000-0010-0000-0300-00009D080000}" name="Column2200" dataDxfId="14203"/>
    <tableColumn id="2206" xr3:uid="{00000000-0010-0000-0300-00009E080000}" name="Column2201" dataDxfId="14202"/>
    <tableColumn id="2207" xr3:uid="{00000000-0010-0000-0300-00009F080000}" name="Column2202" dataDxfId="14201"/>
    <tableColumn id="2208" xr3:uid="{00000000-0010-0000-0300-0000A0080000}" name="Column2203" dataDxfId="14200"/>
    <tableColumn id="2209" xr3:uid="{00000000-0010-0000-0300-0000A1080000}" name="Column2204" dataDxfId="14199"/>
    <tableColumn id="2210" xr3:uid="{00000000-0010-0000-0300-0000A2080000}" name="Column2205" dataDxfId="14198"/>
    <tableColumn id="2211" xr3:uid="{00000000-0010-0000-0300-0000A3080000}" name="Column2206" dataDxfId="14197"/>
    <tableColumn id="2212" xr3:uid="{00000000-0010-0000-0300-0000A4080000}" name="Column2207" dataDxfId="14196"/>
    <tableColumn id="2213" xr3:uid="{00000000-0010-0000-0300-0000A5080000}" name="Column2208" dataDxfId="14195"/>
    <tableColumn id="2214" xr3:uid="{00000000-0010-0000-0300-0000A6080000}" name="Column2209" dataDxfId="14194"/>
    <tableColumn id="2215" xr3:uid="{00000000-0010-0000-0300-0000A7080000}" name="Column2210" dataDxfId="14193"/>
    <tableColumn id="2216" xr3:uid="{00000000-0010-0000-0300-0000A8080000}" name="Column2211" dataDxfId="14192"/>
    <tableColumn id="2217" xr3:uid="{00000000-0010-0000-0300-0000A9080000}" name="Column2212" dataDxfId="14191"/>
    <tableColumn id="2218" xr3:uid="{00000000-0010-0000-0300-0000AA080000}" name="Column2213" dataDxfId="14190"/>
    <tableColumn id="2219" xr3:uid="{00000000-0010-0000-0300-0000AB080000}" name="Column2214" dataDxfId="14189"/>
    <tableColumn id="2220" xr3:uid="{00000000-0010-0000-0300-0000AC080000}" name="Column2215" dataDxfId="14188"/>
    <tableColumn id="2221" xr3:uid="{00000000-0010-0000-0300-0000AD080000}" name="Column2216" dataDxfId="14187"/>
    <tableColumn id="2222" xr3:uid="{00000000-0010-0000-0300-0000AE080000}" name="Column2217" dataDxfId="14186"/>
    <tableColumn id="2223" xr3:uid="{00000000-0010-0000-0300-0000AF080000}" name="Column2218" dataDxfId="14185"/>
    <tableColumn id="2224" xr3:uid="{00000000-0010-0000-0300-0000B0080000}" name="Column2219" dataDxfId="14184"/>
    <tableColumn id="2225" xr3:uid="{00000000-0010-0000-0300-0000B1080000}" name="Column2220" dataDxfId="14183"/>
    <tableColumn id="2226" xr3:uid="{00000000-0010-0000-0300-0000B2080000}" name="Column2221" dataDxfId="14182"/>
    <tableColumn id="2227" xr3:uid="{00000000-0010-0000-0300-0000B3080000}" name="Column2222" dataDxfId="14181"/>
    <tableColumn id="2228" xr3:uid="{00000000-0010-0000-0300-0000B4080000}" name="Column2223" dataDxfId="14180"/>
    <tableColumn id="2229" xr3:uid="{00000000-0010-0000-0300-0000B5080000}" name="Column2224" dataDxfId="14179"/>
    <tableColumn id="2230" xr3:uid="{00000000-0010-0000-0300-0000B6080000}" name="Column2225" dataDxfId="14178"/>
    <tableColumn id="2231" xr3:uid="{00000000-0010-0000-0300-0000B7080000}" name="Column2226" dataDxfId="14177"/>
    <tableColumn id="2232" xr3:uid="{00000000-0010-0000-0300-0000B8080000}" name="Column2227" dataDxfId="14176"/>
    <tableColumn id="2233" xr3:uid="{00000000-0010-0000-0300-0000B9080000}" name="Column2228" dataDxfId="14175"/>
    <tableColumn id="2234" xr3:uid="{00000000-0010-0000-0300-0000BA080000}" name="Column2229" dataDxfId="14174"/>
    <tableColumn id="2235" xr3:uid="{00000000-0010-0000-0300-0000BB080000}" name="Column2230" dataDxfId="14173"/>
    <tableColumn id="2236" xr3:uid="{00000000-0010-0000-0300-0000BC080000}" name="Column2231" dataDxfId="14172"/>
    <tableColumn id="2237" xr3:uid="{00000000-0010-0000-0300-0000BD080000}" name="Column2232" dataDxfId="14171"/>
    <tableColumn id="2238" xr3:uid="{00000000-0010-0000-0300-0000BE080000}" name="Column2233" dataDxfId="14170"/>
    <tableColumn id="2239" xr3:uid="{00000000-0010-0000-0300-0000BF080000}" name="Column2234" dataDxfId="14169"/>
    <tableColumn id="2240" xr3:uid="{00000000-0010-0000-0300-0000C0080000}" name="Column2235" dataDxfId="14168"/>
    <tableColumn id="2241" xr3:uid="{00000000-0010-0000-0300-0000C1080000}" name="Column2236" dataDxfId="14167"/>
    <tableColumn id="2242" xr3:uid="{00000000-0010-0000-0300-0000C2080000}" name="Column2237" dataDxfId="14166"/>
    <tableColumn id="2243" xr3:uid="{00000000-0010-0000-0300-0000C3080000}" name="Column2238" dataDxfId="14165"/>
    <tableColumn id="2244" xr3:uid="{00000000-0010-0000-0300-0000C4080000}" name="Column2239" dataDxfId="14164"/>
    <tableColumn id="2245" xr3:uid="{00000000-0010-0000-0300-0000C5080000}" name="Column2240" dataDxfId="14163"/>
    <tableColumn id="2246" xr3:uid="{00000000-0010-0000-0300-0000C6080000}" name="Column2241" dataDxfId="14162"/>
    <tableColumn id="2247" xr3:uid="{00000000-0010-0000-0300-0000C7080000}" name="Column2242" dataDxfId="14161"/>
    <tableColumn id="2248" xr3:uid="{00000000-0010-0000-0300-0000C8080000}" name="Column2243" dataDxfId="14160"/>
    <tableColumn id="2249" xr3:uid="{00000000-0010-0000-0300-0000C9080000}" name="Column2244" dataDxfId="14159"/>
    <tableColumn id="2250" xr3:uid="{00000000-0010-0000-0300-0000CA080000}" name="Column2245" dataDxfId="14158"/>
    <tableColumn id="2251" xr3:uid="{00000000-0010-0000-0300-0000CB080000}" name="Column2246" dataDxfId="14157"/>
    <tableColumn id="2252" xr3:uid="{00000000-0010-0000-0300-0000CC080000}" name="Column2247" dataDxfId="14156"/>
    <tableColumn id="2253" xr3:uid="{00000000-0010-0000-0300-0000CD080000}" name="Column2248" dataDxfId="14155"/>
    <tableColumn id="2254" xr3:uid="{00000000-0010-0000-0300-0000CE080000}" name="Column2249" dataDxfId="14154"/>
    <tableColumn id="2255" xr3:uid="{00000000-0010-0000-0300-0000CF080000}" name="Column2250" dataDxfId="14153"/>
    <tableColumn id="2256" xr3:uid="{00000000-0010-0000-0300-0000D0080000}" name="Column2251" dataDxfId="14152"/>
    <tableColumn id="2257" xr3:uid="{00000000-0010-0000-0300-0000D1080000}" name="Column2252" dataDxfId="14151"/>
    <tableColumn id="2258" xr3:uid="{00000000-0010-0000-0300-0000D2080000}" name="Column2253" dataDxfId="14150"/>
    <tableColumn id="2259" xr3:uid="{00000000-0010-0000-0300-0000D3080000}" name="Column2254" dataDxfId="14149"/>
    <tableColumn id="2260" xr3:uid="{00000000-0010-0000-0300-0000D4080000}" name="Column2255" dataDxfId="14148"/>
    <tableColumn id="2261" xr3:uid="{00000000-0010-0000-0300-0000D5080000}" name="Column2256" dataDxfId="14147"/>
    <tableColumn id="2262" xr3:uid="{00000000-0010-0000-0300-0000D6080000}" name="Column2257" dataDxfId="14146"/>
    <tableColumn id="2263" xr3:uid="{00000000-0010-0000-0300-0000D7080000}" name="Column2258" dataDxfId="14145"/>
    <tableColumn id="2264" xr3:uid="{00000000-0010-0000-0300-0000D8080000}" name="Column2259" dataDxfId="14144"/>
    <tableColumn id="2265" xr3:uid="{00000000-0010-0000-0300-0000D9080000}" name="Column2260" dataDxfId="14143"/>
    <tableColumn id="2266" xr3:uid="{00000000-0010-0000-0300-0000DA080000}" name="Column2261" dataDxfId="14142"/>
    <tableColumn id="2267" xr3:uid="{00000000-0010-0000-0300-0000DB080000}" name="Column2262" dataDxfId="14141"/>
    <tableColumn id="2268" xr3:uid="{00000000-0010-0000-0300-0000DC080000}" name="Column2263" dataDxfId="14140"/>
    <tableColumn id="2269" xr3:uid="{00000000-0010-0000-0300-0000DD080000}" name="Column2264" dataDxfId="14139"/>
    <tableColumn id="2270" xr3:uid="{00000000-0010-0000-0300-0000DE080000}" name="Column2265" dataDxfId="14138"/>
    <tableColumn id="2271" xr3:uid="{00000000-0010-0000-0300-0000DF080000}" name="Column2266" dataDxfId="14137"/>
    <tableColumn id="2272" xr3:uid="{00000000-0010-0000-0300-0000E0080000}" name="Column2267" dataDxfId="14136"/>
    <tableColumn id="2273" xr3:uid="{00000000-0010-0000-0300-0000E1080000}" name="Column2268" dataDxfId="14135"/>
    <tableColumn id="2274" xr3:uid="{00000000-0010-0000-0300-0000E2080000}" name="Column2269" dataDxfId="14134"/>
    <tableColumn id="2275" xr3:uid="{00000000-0010-0000-0300-0000E3080000}" name="Column2270" dataDxfId="14133"/>
    <tableColumn id="2276" xr3:uid="{00000000-0010-0000-0300-0000E4080000}" name="Column2271" dataDxfId="14132"/>
    <tableColumn id="2277" xr3:uid="{00000000-0010-0000-0300-0000E5080000}" name="Column2272" dataDxfId="14131"/>
    <tableColumn id="2278" xr3:uid="{00000000-0010-0000-0300-0000E6080000}" name="Column2273" dataDxfId="14130"/>
    <tableColumn id="2279" xr3:uid="{00000000-0010-0000-0300-0000E7080000}" name="Column2274" dataDxfId="14129"/>
    <tableColumn id="2280" xr3:uid="{00000000-0010-0000-0300-0000E8080000}" name="Column2275" dataDxfId="14128"/>
    <tableColumn id="2281" xr3:uid="{00000000-0010-0000-0300-0000E9080000}" name="Column2276" dataDxfId="14127"/>
    <tableColumn id="2282" xr3:uid="{00000000-0010-0000-0300-0000EA080000}" name="Column2277" dataDxfId="14126"/>
    <tableColumn id="2283" xr3:uid="{00000000-0010-0000-0300-0000EB080000}" name="Column2278" dataDxfId="14125"/>
    <tableColumn id="2284" xr3:uid="{00000000-0010-0000-0300-0000EC080000}" name="Column2279" dataDxfId="14124"/>
    <tableColumn id="2285" xr3:uid="{00000000-0010-0000-0300-0000ED080000}" name="Column2280" dataDxfId="14123"/>
    <tableColumn id="2286" xr3:uid="{00000000-0010-0000-0300-0000EE080000}" name="Column2281" dataDxfId="14122"/>
    <tableColumn id="2287" xr3:uid="{00000000-0010-0000-0300-0000EF080000}" name="Column2282" dataDxfId="14121"/>
    <tableColumn id="2288" xr3:uid="{00000000-0010-0000-0300-0000F0080000}" name="Column2283" dataDxfId="14120"/>
    <tableColumn id="2289" xr3:uid="{00000000-0010-0000-0300-0000F1080000}" name="Column2284" dataDxfId="14119"/>
    <tableColumn id="2290" xr3:uid="{00000000-0010-0000-0300-0000F2080000}" name="Column2285" dataDxfId="14118"/>
    <tableColumn id="2291" xr3:uid="{00000000-0010-0000-0300-0000F3080000}" name="Column2286" dataDxfId="14117"/>
    <tableColumn id="2292" xr3:uid="{00000000-0010-0000-0300-0000F4080000}" name="Column2287" dataDxfId="14116"/>
    <tableColumn id="2293" xr3:uid="{00000000-0010-0000-0300-0000F5080000}" name="Column2288" dataDxfId="14115"/>
    <tableColumn id="2294" xr3:uid="{00000000-0010-0000-0300-0000F6080000}" name="Column2289" dataDxfId="14114"/>
    <tableColumn id="2295" xr3:uid="{00000000-0010-0000-0300-0000F7080000}" name="Column2290" dataDxfId="14113"/>
    <tableColumn id="2296" xr3:uid="{00000000-0010-0000-0300-0000F8080000}" name="Column2291" dataDxfId="14112"/>
    <tableColumn id="2297" xr3:uid="{00000000-0010-0000-0300-0000F9080000}" name="Column2292" dataDxfId="14111"/>
    <tableColumn id="2298" xr3:uid="{00000000-0010-0000-0300-0000FA080000}" name="Column2293" dataDxfId="14110"/>
    <tableColumn id="2299" xr3:uid="{00000000-0010-0000-0300-0000FB080000}" name="Column2294" dataDxfId="14109"/>
    <tableColumn id="2300" xr3:uid="{00000000-0010-0000-0300-0000FC080000}" name="Column2295" dataDxfId="14108"/>
    <tableColumn id="2301" xr3:uid="{00000000-0010-0000-0300-0000FD080000}" name="Column2296" dataDxfId="14107"/>
    <tableColumn id="2302" xr3:uid="{00000000-0010-0000-0300-0000FE080000}" name="Column2297" dataDxfId="14106"/>
    <tableColumn id="2303" xr3:uid="{00000000-0010-0000-0300-0000FF080000}" name="Column2298" dataDxfId="14105"/>
    <tableColumn id="2304" xr3:uid="{00000000-0010-0000-0300-000000090000}" name="Column2299" dataDxfId="14104"/>
    <tableColumn id="2305" xr3:uid="{00000000-0010-0000-0300-000001090000}" name="Column2300" dataDxfId="14103"/>
    <tableColumn id="2306" xr3:uid="{00000000-0010-0000-0300-000002090000}" name="Column2301" dataDxfId="14102"/>
    <tableColumn id="2307" xr3:uid="{00000000-0010-0000-0300-000003090000}" name="Column2302" dataDxfId="14101"/>
    <tableColumn id="2308" xr3:uid="{00000000-0010-0000-0300-000004090000}" name="Column2303" dataDxfId="14100"/>
    <tableColumn id="2309" xr3:uid="{00000000-0010-0000-0300-000005090000}" name="Column2304" dataDxfId="14099"/>
    <tableColumn id="2310" xr3:uid="{00000000-0010-0000-0300-000006090000}" name="Column2305" dataDxfId="14098"/>
    <tableColumn id="2311" xr3:uid="{00000000-0010-0000-0300-000007090000}" name="Column2306" dataDxfId="14097"/>
    <tableColumn id="2312" xr3:uid="{00000000-0010-0000-0300-000008090000}" name="Column2307" dataDxfId="14096"/>
    <tableColumn id="2313" xr3:uid="{00000000-0010-0000-0300-000009090000}" name="Column2308" dataDxfId="14095"/>
    <tableColumn id="2314" xr3:uid="{00000000-0010-0000-0300-00000A090000}" name="Column2309" dataDxfId="14094"/>
    <tableColumn id="2315" xr3:uid="{00000000-0010-0000-0300-00000B090000}" name="Column2310" dataDxfId="14093"/>
    <tableColumn id="2316" xr3:uid="{00000000-0010-0000-0300-00000C090000}" name="Column2311" dataDxfId="14092"/>
    <tableColumn id="2317" xr3:uid="{00000000-0010-0000-0300-00000D090000}" name="Column2312" dataDxfId="14091"/>
    <tableColumn id="2318" xr3:uid="{00000000-0010-0000-0300-00000E090000}" name="Column2313" dataDxfId="14090"/>
    <tableColumn id="2319" xr3:uid="{00000000-0010-0000-0300-00000F090000}" name="Column2314" dataDxfId="14089"/>
    <tableColumn id="2320" xr3:uid="{00000000-0010-0000-0300-000010090000}" name="Column2315" dataDxfId="14088"/>
    <tableColumn id="2321" xr3:uid="{00000000-0010-0000-0300-000011090000}" name="Column2316" dataDxfId="14087"/>
    <tableColumn id="2322" xr3:uid="{00000000-0010-0000-0300-000012090000}" name="Column2317" dataDxfId="14086"/>
    <tableColumn id="2323" xr3:uid="{00000000-0010-0000-0300-000013090000}" name="Column2318" dataDxfId="14085"/>
    <tableColumn id="2324" xr3:uid="{00000000-0010-0000-0300-000014090000}" name="Column2319" dataDxfId="14084"/>
    <tableColumn id="2325" xr3:uid="{00000000-0010-0000-0300-000015090000}" name="Column2320" dataDxfId="14083"/>
    <tableColumn id="2326" xr3:uid="{00000000-0010-0000-0300-000016090000}" name="Column2321" dataDxfId="14082"/>
    <tableColumn id="2327" xr3:uid="{00000000-0010-0000-0300-000017090000}" name="Column2322" dataDxfId="14081"/>
    <tableColumn id="2328" xr3:uid="{00000000-0010-0000-0300-000018090000}" name="Column2323" dataDxfId="14080"/>
    <tableColumn id="2329" xr3:uid="{00000000-0010-0000-0300-000019090000}" name="Column2324" dataDxfId="14079"/>
    <tableColumn id="2330" xr3:uid="{00000000-0010-0000-0300-00001A090000}" name="Column2325" dataDxfId="14078"/>
    <tableColumn id="2331" xr3:uid="{00000000-0010-0000-0300-00001B090000}" name="Column2326" dataDxfId="14077"/>
    <tableColumn id="2332" xr3:uid="{00000000-0010-0000-0300-00001C090000}" name="Column2327" dataDxfId="14076"/>
    <tableColumn id="2333" xr3:uid="{00000000-0010-0000-0300-00001D090000}" name="Column2328" dataDxfId="14075"/>
    <tableColumn id="2334" xr3:uid="{00000000-0010-0000-0300-00001E090000}" name="Column2329" dataDxfId="14074"/>
    <tableColumn id="2335" xr3:uid="{00000000-0010-0000-0300-00001F090000}" name="Column2330" dataDxfId="14073"/>
    <tableColumn id="2336" xr3:uid="{00000000-0010-0000-0300-000020090000}" name="Column2331" dataDxfId="14072"/>
    <tableColumn id="2337" xr3:uid="{00000000-0010-0000-0300-000021090000}" name="Column2332" dataDxfId="14071"/>
    <tableColumn id="2338" xr3:uid="{00000000-0010-0000-0300-000022090000}" name="Column2333" dataDxfId="14070"/>
    <tableColumn id="2339" xr3:uid="{00000000-0010-0000-0300-000023090000}" name="Column2334" dataDxfId="14069"/>
    <tableColumn id="2340" xr3:uid="{00000000-0010-0000-0300-000024090000}" name="Column2335" dataDxfId="14068"/>
    <tableColumn id="2341" xr3:uid="{00000000-0010-0000-0300-000025090000}" name="Column2336" dataDxfId="14067"/>
    <tableColumn id="2342" xr3:uid="{00000000-0010-0000-0300-000026090000}" name="Column2337" dataDxfId="14066"/>
    <tableColumn id="2343" xr3:uid="{00000000-0010-0000-0300-000027090000}" name="Column2338" dataDxfId="14065"/>
    <tableColumn id="2344" xr3:uid="{00000000-0010-0000-0300-000028090000}" name="Column2339" dataDxfId="14064"/>
    <tableColumn id="2345" xr3:uid="{00000000-0010-0000-0300-000029090000}" name="Column2340" dataDxfId="14063"/>
    <tableColumn id="2346" xr3:uid="{00000000-0010-0000-0300-00002A090000}" name="Column2341" dataDxfId="14062"/>
    <tableColumn id="2347" xr3:uid="{00000000-0010-0000-0300-00002B090000}" name="Column2342" dataDxfId="14061"/>
    <tableColumn id="2348" xr3:uid="{00000000-0010-0000-0300-00002C090000}" name="Column2343" dataDxfId="14060"/>
    <tableColumn id="2349" xr3:uid="{00000000-0010-0000-0300-00002D090000}" name="Column2344" dataDxfId="14059"/>
    <tableColumn id="2350" xr3:uid="{00000000-0010-0000-0300-00002E090000}" name="Column2345" dataDxfId="14058"/>
    <tableColumn id="2351" xr3:uid="{00000000-0010-0000-0300-00002F090000}" name="Column2346" dataDxfId="14057"/>
    <tableColumn id="2352" xr3:uid="{00000000-0010-0000-0300-000030090000}" name="Column2347" dataDxfId="14056"/>
    <tableColumn id="2353" xr3:uid="{00000000-0010-0000-0300-000031090000}" name="Column2348" dataDxfId="14055"/>
    <tableColumn id="2354" xr3:uid="{00000000-0010-0000-0300-000032090000}" name="Column2349" dataDxfId="14054"/>
    <tableColumn id="2355" xr3:uid="{00000000-0010-0000-0300-000033090000}" name="Column2350" dataDxfId="14053"/>
    <tableColumn id="2356" xr3:uid="{00000000-0010-0000-0300-000034090000}" name="Column2351" dataDxfId="14052"/>
    <tableColumn id="2357" xr3:uid="{00000000-0010-0000-0300-000035090000}" name="Column2352" dataDxfId="14051"/>
    <tableColumn id="2358" xr3:uid="{00000000-0010-0000-0300-000036090000}" name="Column2353" dataDxfId="14050"/>
    <tableColumn id="2359" xr3:uid="{00000000-0010-0000-0300-000037090000}" name="Column2354" dataDxfId="14049"/>
    <tableColumn id="2360" xr3:uid="{00000000-0010-0000-0300-000038090000}" name="Column2355" dataDxfId="14048"/>
    <tableColumn id="2361" xr3:uid="{00000000-0010-0000-0300-000039090000}" name="Column2356" dataDxfId="14047"/>
    <tableColumn id="2362" xr3:uid="{00000000-0010-0000-0300-00003A090000}" name="Column2357" dataDxfId="14046"/>
    <tableColumn id="2363" xr3:uid="{00000000-0010-0000-0300-00003B090000}" name="Column2358" dataDxfId="14045"/>
    <tableColumn id="2364" xr3:uid="{00000000-0010-0000-0300-00003C090000}" name="Column2359" dataDxfId="14044"/>
    <tableColumn id="2365" xr3:uid="{00000000-0010-0000-0300-00003D090000}" name="Column2360" dataDxfId="14043"/>
    <tableColumn id="2366" xr3:uid="{00000000-0010-0000-0300-00003E090000}" name="Column2361" dataDxfId="14042"/>
    <tableColumn id="2367" xr3:uid="{00000000-0010-0000-0300-00003F090000}" name="Column2362" dataDxfId="14041"/>
    <tableColumn id="2368" xr3:uid="{00000000-0010-0000-0300-000040090000}" name="Column2363" dataDxfId="14040"/>
    <tableColumn id="2369" xr3:uid="{00000000-0010-0000-0300-000041090000}" name="Column2364" dataDxfId="14039"/>
    <tableColumn id="2370" xr3:uid="{00000000-0010-0000-0300-000042090000}" name="Column2365" dataDxfId="14038"/>
    <tableColumn id="2371" xr3:uid="{00000000-0010-0000-0300-000043090000}" name="Column2366" dataDxfId="14037"/>
    <tableColumn id="2372" xr3:uid="{00000000-0010-0000-0300-000044090000}" name="Column2367" dataDxfId="14036"/>
    <tableColumn id="2373" xr3:uid="{00000000-0010-0000-0300-000045090000}" name="Column2368" dataDxfId="14035"/>
    <tableColumn id="2374" xr3:uid="{00000000-0010-0000-0300-000046090000}" name="Column2369" dataDxfId="14034"/>
    <tableColumn id="2375" xr3:uid="{00000000-0010-0000-0300-000047090000}" name="Column2370" dataDxfId="14033"/>
    <tableColumn id="2376" xr3:uid="{00000000-0010-0000-0300-000048090000}" name="Column2371" dataDxfId="14032"/>
    <tableColumn id="2377" xr3:uid="{00000000-0010-0000-0300-000049090000}" name="Column2372" dataDxfId="14031"/>
    <tableColumn id="2378" xr3:uid="{00000000-0010-0000-0300-00004A090000}" name="Column2373" dataDxfId="14030"/>
    <tableColumn id="2379" xr3:uid="{00000000-0010-0000-0300-00004B090000}" name="Column2374" dataDxfId="14029"/>
    <tableColumn id="2380" xr3:uid="{00000000-0010-0000-0300-00004C090000}" name="Column2375" dataDxfId="14028"/>
    <tableColumn id="2381" xr3:uid="{00000000-0010-0000-0300-00004D090000}" name="Column2376" dataDxfId="14027"/>
    <tableColumn id="2382" xr3:uid="{00000000-0010-0000-0300-00004E090000}" name="Column2377" dataDxfId="14026"/>
    <tableColumn id="2383" xr3:uid="{00000000-0010-0000-0300-00004F090000}" name="Column2378" dataDxfId="14025"/>
    <tableColumn id="2384" xr3:uid="{00000000-0010-0000-0300-000050090000}" name="Column2379" dataDxfId="14024"/>
    <tableColumn id="2385" xr3:uid="{00000000-0010-0000-0300-000051090000}" name="Column2380" dataDxfId="14023"/>
    <tableColumn id="2386" xr3:uid="{00000000-0010-0000-0300-000052090000}" name="Column2381" dataDxfId="14022"/>
    <tableColumn id="2387" xr3:uid="{00000000-0010-0000-0300-000053090000}" name="Column2382" dataDxfId="14021"/>
    <tableColumn id="2388" xr3:uid="{00000000-0010-0000-0300-000054090000}" name="Column2383" dataDxfId="14020"/>
    <tableColumn id="2389" xr3:uid="{00000000-0010-0000-0300-000055090000}" name="Column2384" dataDxfId="14019"/>
    <tableColumn id="2390" xr3:uid="{00000000-0010-0000-0300-000056090000}" name="Column2385" dataDxfId="14018"/>
    <tableColumn id="2391" xr3:uid="{00000000-0010-0000-0300-000057090000}" name="Column2386" dataDxfId="14017"/>
    <tableColumn id="2392" xr3:uid="{00000000-0010-0000-0300-000058090000}" name="Column2387" dataDxfId="14016"/>
    <tableColumn id="2393" xr3:uid="{00000000-0010-0000-0300-000059090000}" name="Column2388" dataDxfId="14015"/>
    <tableColumn id="2394" xr3:uid="{00000000-0010-0000-0300-00005A090000}" name="Column2389" dataDxfId="14014"/>
    <tableColumn id="2395" xr3:uid="{00000000-0010-0000-0300-00005B090000}" name="Column2390" dataDxfId="14013"/>
    <tableColumn id="2396" xr3:uid="{00000000-0010-0000-0300-00005C090000}" name="Column2391" dataDxfId="14012"/>
    <tableColumn id="2397" xr3:uid="{00000000-0010-0000-0300-00005D090000}" name="Column2392" dataDxfId="14011"/>
    <tableColumn id="2398" xr3:uid="{00000000-0010-0000-0300-00005E090000}" name="Column2393" dataDxfId="14010"/>
    <tableColumn id="2399" xr3:uid="{00000000-0010-0000-0300-00005F090000}" name="Column2394" dataDxfId="14009"/>
    <tableColumn id="2400" xr3:uid="{00000000-0010-0000-0300-000060090000}" name="Column2395" dataDxfId="14008"/>
    <tableColumn id="2401" xr3:uid="{00000000-0010-0000-0300-000061090000}" name="Column2396" dataDxfId="14007"/>
    <tableColumn id="2402" xr3:uid="{00000000-0010-0000-0300-000062090000}" name="Column2397" dataDxfId="14006"/>
    <tableColumn id="2403" xr3:uid="{00000000-0010-0000-0300-000063090000}" name="Column2398" dataDxfId="14005"/>
    <tableColumn id="2404" xr3:uid="{00000000-0010-0000-0300-000064090000}" name="Column2399" dataDxfId="14004"/>
    <tableColumn id="2405" xr3:uid="{00000000-0010-0000-0300-000065090000}" name="Column2400" dataDxfId="14003"/>
    <tableColumn id="2406" xr3:uid="{00000000-0010-0000-0300-000066090000}" name="Column2401" dataDxfId="14002"/>
    <tableColumn id="2407" xr3:uid="{00000000-0010-0000-0300-000067090000}" name="Column2402" dataDxfId="14001"/>
    <tableColumn id="2408" xr3:uid="{00000000-0010-0000-0300-000068090000}" name="Column2403" dataDxfId="14000"/>
    <tableColumn id="2409" xr3:uid="{00000000-0010-0000-0300-000069090000}" name="Column2404" dataDxfId="13999"/>
    <tableColumn id="2410" xr3:uid="{00000000-0010-0000-0300-00006A090000}" name="Column2405" dataDxfId="13998"/>
    <tableColumn id="2411" xr3:uid="{00000000-0010-0000-0300-00006B090000}" name="Column2406" dataDxfId="13997"/>
    <tableColumn id="2412" xr3:uid="{00000000-0010-0000-0300-00006C090000}" name="Column2407" dataDxfId="13996"/>
    <tableColumn id="2413" xr3:uid="{00000000-0010-0000-0300-00006D090000}" name="Column2408" dataDxfId="13995"/>
    <tableColumn id="2414" xr3:uid="{00000000-0010-0000-0300-00006E090000}" name="Column2409" dataDxfId="13994"/>
    <tableColumn id="2415" xr3:uid="{00000000-0010-0000-0300-00006F090000}" name="Column2410" dataDxfId="13993"/>
    <tableColumn id="2416" xr3:uid="{00000000-0010-0000-0300-000070090000}" name="Column2411" dataDxfId="13992"/>
    <tableColumn id="2417" xr3:uid="{00000000-0010-0000-0300-000071090000}" name="Column2412" dataDxfId="13991"/>
    <tableColumn id="2418" xr3:uid="{00000000-0010-0000-0300-000072090000}" name="Column2413" dataDxfId="13990"/>
    <tableColumn id="2419" xr3:uid="{00000000-0010-0000-0300-000073090000}" name="Column2414" dataDxfId="13989"/>
    <tableColumn id="2420" xr3:uid="{00000000-0010-0000-0300-000074090000}" name="Column2415" dataDxfId="13988"/>
    <tableColumn id="2421" xr3:uid="{00000000-0010-0000-0300-000075090000}" name="Column2416" dataDxfId="13987"/>
    <tableColumn id="2422" xr3:uid="{00000000-0010-0000-0300-000076090000}" name="Column2417" dataDxfId="13986"/>
    <tableColumn id="2423" xr3:uid="{00000000-0010-0000-0300-000077090000}" name="Column2418" dataDxfId="13985"/>
    <tableColumn id="2424" xr3:uid="{00000000-0010-0000-0300-000078090000}" name="Column2419" dataDxfId="13984"/>
    <tableColumn id="2425" xr3:uid="{00000000-0010-0000-0300-000079090000}" name="Column2420" dataDxfId="13983"/>
    <tableColumn id="2426" xr3:uid="{00000000-0010-0000-0300-00007A090000}" name="Column2421" dataDxfId="13982"/>
    <tableColumn id="2427" xr3:uid="{00000000-0010-0000-0300-00007B090000}" name="Column2422" dataDxfId="13981"/>
    <tableColumn id="2428" xr3:uid="{00000000-0010-0000-0300-00007C090000}" name="Column2423" dataDxfId="13980"/>
    <tableColumn id="2429" xr3:uid="{00000000-0010-0000-0300-00007D090000}" name="Column2424" dataDxfId="13979"/>
    <tableColumn id="2430" xr3:uid="{00000000-0010-0000-0300-00007E090000}" name="Column2425" dataDxfId="13978"/>
    <tableColumn id="2431" xr3:uid="{00000000-0010-0000-0300-00007F090000}" name="Column2426" dataDxfId="13977"/>
    <tableColumn id="2432" xr3:uid="{00000000-0010-0000-0300-000080090000}" name="Column2427" dataDxfId="13976"/>
    <tableColumn id="2433" xr3:uid="{00000000-0010-0000-0300-000081090000}" name="Column2428" dataDxfId="13975"/>
    <tableColumn id="2434" xr3:uid="{00000000-0010-0000-0300-000082090000}" name="Column2429" dataDxfId="13974"/>
    <tableColumn id="2435" xr3:uid="{00000000-0010-0000-0300-000083090000}" name="Column2430" dataDxfId="13973"/>
    <tableColumn id="2436" xr3:uid="{00000000-0010-0000-0300-000084090000}" name="Column2431" dataDxfId="13972"/>
    <tableColumn id="2437" xr3:uid="{00000000-0010-0000-0300-000085090000}" name="Column2432" dataDxfId="13971"/>
    <tableColumn id="2438" xr3:uid="{00000000-0010-0000-0300-000086090000}" name="Column2433" dataDxfId="13970"/>
    <tableColumn id="2439" xr3:uid="{00000000-0010-0000-0300-000087090000}" name="Column2434" dataDxfId="13969"/>
    <tableColumn id="2440" xr3:uid="{00000000-0010-0000-0300-000088090000}" name="Column2435" dataDxfId="13968"/>
    <tableColumn id="2441" xr3:uid="{00000000-0010-0000-0300-000089090000}" name="Column2436" dataDxfId="13967"/>
    <tableColumn id="2442" xr3:uid="{00000000-0010-0000-0300-00008A090000}" name="Column2437" dataDxfId="13966"/>
    <tableColumn id="2443" xr3:uid="{00000000-0010-0000-0300-00008B090000}" name="Column2438" dataDxfId="13965"/>
    <tableColumn id="2444" xr3:uid="{00000000-0010-0000-0300-00008C090000}" name="Column2439" dataDxfId="13964"/>
    <tableColumn id="2445" xr3:uid="{00000000-0010-0000-0300-00008D090000}" name="Column2440" dataDxfId="13963"/>
    <tableColumn id="2446" xr3:uid="{00000000-0010-0000-0300-00008E090000}" name="Column2441" dataDxfId="13962"/>
    <tableColumn id="2447" xr3:uid="{00000000-0010-0000-0300-00008F090000}" name="Column2442" dataDxfId="13961"/>
    <tableColumn id="2448" xr3:uid="{00000000-0010-0000-0300-000090090000}" name="Column2443" dataDxfId="13960"/>
    <tableColumn id="2449" xr3:uid="{00000000-0010-0000-0300-000091090000}" name="Column2444" dataDxfId="13959"/>
    <tableColumn id="2450" xr3:uid="{00000000-0010-0000-0300-000092090000}" name="Column2445" dataDxfId="13958"/>
    <tableColumn id="2451" xr3:uid="{00000000-0010-0000-0300-000093090000}" name="Column2446" dataDxfId="13957"/>
    <tableColumn id="2452" xr3:uid="{00000000-0010-0000-0300-000094090000}" name="Column2447" dataDxfId="13956"/>
    <tableColumn id="2453" xr3:uid="{00000000-0010-0000-0300-000095090000}" name="Column2448" dataDxfId="13955"/>
    <tableColumn id="2454" xr3:uid="{00000000-0010-0000-0300-000096090000}" name="Column2449" dataDxfId="13954"/>
    <tableColumn id="2455" xr3:uid="{00000000-0010-0000-0300-000097090000}" name="Column2450" dataDxfId="13953"/>
    <tableColumn id="2456" xr3:uid="{00000000-0010-0000-0300-000098090000}" name="Column2451" dataDxfId="13952"/>
    <tableColumn id="2457" xr3:uid="{00000000-0010-0000-0300-000099090000}" name="Column2452" dataDxfId="13951"/>
    <tableColumn id="2458" xr3:uid="{00000000-0010-0000-0300-00009A090000}" name="Column2453" dataDxfId="13950"/>
    <tableColumn id="2459" xr3:uid="{00000000-0010-0000-0300-00009B090000}" name="Column2454" dataDxfId="13949"/>
    <tableColumn id="2460" xr3:uid="{00000000-0010-0000-0300-00009C090000}" name="Column2455" dataDxfId="13948"/>
    <tableColumn id="2461" xr3:uid="{00000000-0010-0000-0300-00009D090000}" name="Column2456" dataDxfId="13947"/>
    <tableColumn id="2462" xr3:uid="{00000000-0010-0000-0300-00009E090000}" name="Column2457" dataDxfId="13946"/>
    <tableColumn id="2463" xr3:uid="{00000000-0010-0000-0300-00009F090000}" name="Column2458" dataDxfId="13945"/>
    <tableColumn id="2464" xr3:uid="{00000000-0010-0000-0300-0000A0090000}" name="Column2459" dataDxfId="13944"/>
    <tableColumn id="2465" xr3:uid="{00000000-0010-0000-0300-0000A1090000}" name="Column2460" dataDxfId="13943"/>
    <tableColumn id="2466" xr3:uid="{00000000-0010-0000-0300-0000A2090000}" name="Column2461" dataDxfId="13942"/>
    <tableColumn id="2467" xr3:uid="{00000000-0010-0000-0300-0000A3090000}" name="Column2462" dataDxfId="13941"/>
    <tableColumn id="2468" xr3:uid="{00000000-0010-0000-0300-0000A4090000}" name="Column2463" dataDxfId="13940"/>
    <tableColumn id="2469" xr3:uid="{00000000-0010-0000-0300-0000A5090000}" name="Column2464" dataDxfId="13939"/>
    <tableColumn id="2470" xr3:uid="{00000000-0010-0000-0300-0000A6090000}" name="Column2465" dataDxfId="13938"/>
    <tableColumn id="2471" xr3:uid="{00000000-0010-0000-0300-0000A7090000}" name="Column2466" dataDxfId="13937"/>
    <tableColumn id="2472" xr3:uid="{00000000-0010-0000-0300-0000A8090000}" name="Column2467" dataDxfId="13936"/>
    <tableColumn id="2473" xr3:uid="{00000000-0010-0000-0300-0000A9090000}" name="Column2468" dataDxfId="13935"/>
    <tableColumn id="2474" xr3:uid="{00000000-0010-0000-0300-0000AA090000}" name="Column2469" dataDxfId="13934"/>
    <tableColumn id="2475" xr3:uid="{00000000-0010-0000-0300-0000AB090000}" name="Column2470" dataDxfId="13933"/>
    <tableColumn id="2476" xr3:uid="{00000000-0010-0000-0300-0000AC090000}" name="Column2471" dataDxfId="13932"/>
    <tableColumn id="2477" xr3:uid="{00000000-0010-0000-0300-0000AD090000}" name="Column2472" dataDxfId="13931"/>
    <tableColumn id="2478" xr3:uid="{00000000-0010-0000-0300-0000AE090000}" name="Column2473" dataDxfId="13930"/>
    <tableColumn id="2479" xr3:uid="{00000000-0010-0000-0300-0000AF090000}" name="Column2474" dataDxfId="13929"/>
    <tableColumn id="2480" xr3:uid="{00000000-0010-0000-0300-0000B0090000}" name="Column2475" dataDxfId="13928"/>
    <tableColumn id="2481" xr3:uid="{00000000-0010-0000-0300-0000B1090000}" name="Column2476" dataDxfId="13927"/>
    <tableColumn id="2482" xr3:uid="{00000000-0010-0000-0300-0000B2090000}" name="Column2477" dataDxfId="13926"/>
    <tableColumn id="2483" xr3:uid="{00000000-0010-0000-0300-0000B3090000}" name="Column2478" dataDxfId="13925"/>
    <tableColumn id="2484" xr3:uid="{00000000-0010-0000-0300-0000B4090000}" name="Column2479" dataDxfId="13924"/>
    <tableColumn id="2485" xr3:uid="{00000000-0010-0000-0300-0000B5090000}" name="Column2480" dataDxfId="13923"/>
    <tableColumn id="2486" xr3:uid="{00000000-0010-0000-0300-0000B6090000}" name="Column2481" dataDxfId="13922"/>
    <tableColumn id="2487" xr3:uid="{00000000-0010-0000-0300-0000B7090000}" name="Column2482" dataDxfId="13921"/>
    <tableColumn id="2488" xr3:uid="{00000000-0010-0000-0300-0000B8090000}" name="Column2483" dataDxfId="13920"/>
    <tableColumn id="2489" xr3:uid="{00000000-0010-0000-0300-0000B9090000}" name="Column2484" dataDxfId="13919"/>
    <tableColumn id="2490" xr3:uid="{00000000-0010-0000-0300-0000BA090000}" name="Column2485" dataDxfId="13918"/>
    <tableColumn id="2491" xr3:uid="{00000000-0010-0000-0300-0000BB090000}" name="Column2486" dataDxfId="13917"/>
    <tableColumn id="2492" xr3:uid="{00000000-0010-0000-0300-0000BC090000}" name="Column2487" dataDxfId="13916"/>
    <tableColumn id="2493" xr3:uid="{00000000-0010-0000-0300-0000BD090000}" name="Column2488" dataDxfId="13915"/>
    <tableColumn id="2494" xr3:uid="{00000000-0010-0000-0300-0000BE090000}" name="Column2489" dataDxfId="13914"/>
    <tableColumn id="2495" xr3:uid="{00000000-0010-0000-0300-0000BF090000}" name="Column2490" dataDxfId="13913"/>
    <tableColumn id="2496" xr3:uid="{00000000-0010-0000-0300-0000C0090000}" name="Column2491" dataDxfId="13912"/>
    <tableColumn id="2497" xr3:uid="{00000000-0010-0000-0300-0000C1090000}" name="Column2492" dataDxfId="13911"/>
    <tableColumn id="2498" xr3:uid="{00000000-0010-0000-0300-0000C2090000}" name="Column2493" dataDxfId="13910"/>
    <tableColumn id="2499" xr3:uid="{00000000-0010-0000-0300-0000C3090000}" name="Column2494" dataDxfId="13909"/>
    <tableColumn id="2500" xr3:uid="{00000000-0010-0000-0300-0000C4090000}" name="Column2495" dataDxfId="13908"/>
    <tableColumn id="2501" xr3:uid="{00000000-0010-0000-0300-0000C5090000}" name="Column2496" dataDxfId="13907"/>
    <tableColumn id="2502" xr3:uid="{00000000-0010-0000-0300-0000C6090000}" name="Column2497" dataDxfId="13906"/>
    <tableColumn id="2503" xr3:uid="{00000000-0010-0000-0300-0000C7090000}" name="Column2498" dataDxfId="13905"/>
    <tableColumn id="2504" xr3:uid="{00000000-0010-0000-0300-0000C8090000}" name="Column2499" dataDxfId="13904"/>
    <tableColumn id="2505" xr3:uid="{00000000-0010-0000-0300-0000C9090000}" name="Column2500" dataDxfId="13903"/>
    <tableColumn id="2506" xr3:uid="{00000000-0010-0000-0300-0000CA090000}" name="Column2501" dataDxfId="13902"/>
    <tableColumn id="2507" xr3:uid="{00000000-0010-0000-0300-0000CB090000}" name="Column2502" dataDxfId="13901"/>
    <tableColumn id="2508" xr3:uid="{00000000-0010-0000-0300-0000CC090000}" name="Column2503" dataDxfId="13900"/>
    <tableColumn id="2509" xr3:uid="{00000000-0010-0000-0300-0000CD090000}" name="Column2504" dataDxfId="13899"/>
    <tableColumn id="2510" xr3:uid="{00000000-0010-0000-0300-0000CE090000}" name="Column2505" dataDxfId="13898"/>
    <tableColumn id="2511" xr3:uid="{00000000-0010-0000-0300-0000CF090000}" name="Column2506" dataDxfId="13897"/>
    <tableColumn id="2512" xr3:uid="{00000000-0010-0000-0300-0000D0090000}" name="Column2507" dataDxfId="13896"/>
    <tableColumn id="2513" xr3:uid="{00000000-0010-0000-0300-0000D1090000}" name="Column2508" dataDxfId="13895"/>
    <tableColumn id="2514" xr3:uid="{00000000-0010-0000-0300-0000D2090000}" name="Column2509" dataDxfId="13894"/>
    <tableColumn id="2515" xr3:uid="{00000000-0010-0000-0300-0000D3090000}" name="Column2510" dataDxfId="13893"/>
    <tableColumn id="2516" xr3:uid="{00000000-0010-0000-0300-0000D4090000}" name="Column2511" dataDxfId="13892"/>
    <tableColumn id="2517" xr3:uid="{00000000-0010-0000-0300-0000D5090000}" name="Column2512" dataDxfId="13891"/>
    <tableColumn id="2518" xr3:uid="{00000000-0010-0000-0300-0000D6090000}" name="Column2513" dataDxfId="13890"/>
    <tableColumn id="2519" xr3:uid="{00000000-0010-0000-0300-0000D7090000}" name="Column2514" dataDxfId="13889"/>
    <tableColumn id="2520" xr3:uid="{00000000-0010-0000-0300-0000D8090000}" name="Column2515" dataDxfId="13888"/>
    <tableColumn id="2521" xr3:uid="{00000000-0010-0000-0300-0000D9090000}" name="Column2516" dataDxfId="13887"/>
    <tableColumn id="2522" xr3:uid="{00000000-0010-0000-0300-0000DA090000}" name="Column2517" dataDxfId="13886"/>
    <tableColumn id="2523" xr3:uid="{00000000-0010-0000-0300-0000DB090000}" name="Column2518" dataDxfId="13885"/>
    <tableColumn id="2524" xr3:uid="{00000000-0010-0000-0300-0000DC090000}" name="Column2519" dataDxfId="13884"/>
    <tableColumn id="2525" xr3:uid="{00000000-0010-0000-0300-0000DD090000}" name="Column2520" dataDxfId="13883"/>
    <tableColumn id="2526" xr3:uid="{00000000-0010-0000-0300-0000DE090000}" name="Column2521" dataDxfId="13882"/>
    <tableColumn id="2527" xr3:uid="{00000000-0010-0000-0300-0000DF090000}" name="Column2522" dataDxfId="13881"/>
    <tableColumn id="2528" xr3:uid="{00000000-0010-0000-0300-0000E0090000}" name="Column2523" dataDxfId="13880"/>
    <tableColumn id="2529" xr3:uid="{00000000-0010-0000-0300-0000E1090000}" name="Column2524" dataDxfId="13879"/>
    <tableColumn id="2530" xr3:uid="{00000000-0010-0000-0300-0000E2090000}" name="Column2525" dataDxfId="13878"/>
    <tableColumn id="2531" xr3:uid="{00000000-0010-0000-0300-0000E3090000}" name="Column2526" dataDxfId="13877"/>
    <tableColumn id="2532" xr3:uid="{00000000-0010-0000-0300-0000E4090000}" name="Column2527" dataDxfId="13876"/>
    <tableColumn id="2533" xr3:uid="{00000000-0010-0000-0300-0000E5090000}" name="Column2528" dataDxfId="13875"/>
    <tableColumn id="2534" xr3:uid="{00000000-0010-0000-0300-0000E6090000}" name="Column2529" dataDxfId="13874"/>
    <tableColumn id="2535" xr3:uid="{00000000-0010-0000-0300-0000E7090000}" name="Column2530" dataDxfId="13873"/>
    <tableColumn id="2536" xr3:uid="{00000000-0010-0000-0300-0000E8090000}" name="Column2531" dataDxfId="13872"/>
    <tableColumn id="2537" xr3:uid="{00000000-0010-0000-0300-0000E9090000}" name="Column2532" dataDxfId="13871"/>
    <tableColumn id="2538" xr3:uid="{00000000-0010-0000-0300-0000EA090000}" name="Column2533" dataDxfId="13870"/>
    <tableColumn id="2539" xr3:uid="{00000000-0010-0000-0300-0000EB090000}" name="Column2534" dataDxfId="13869"/>
    <tableColumn id="2540" xr3:uid="{00000000-0010-0000-0300-0000EC090000}" name="Column2535" dataDxfId="13868"/>
    <tableColumn id="2541" xr3:uid="{00000000-0010-0000-0300-0000ED090000}" name="Column2536" dataDxfId="13867"/>
    <tableColumn id="2542" xr3:uid="{00000000-0010-0000-0300-0000EE090000}" name="Column2537" dataDxfId="13866"/>
    <tableColumn id="2543" xr3:uid="{00000000-0010-0000-0300-0000EF090000}" name="Column2538" dataDxfId="13865"/>
    <tableColumn id="2544" xr3:uid="{00000000-0010-0000-0300-0000F0090000}" name="Column2539" dataDxfId="13864"/>
    <tableColumn id="2545" xr3:uid="{00000000-0010-0000-0300-0000F1090000}" name="Column2540" dataDxfId="13863"/>
    <tableColumn id="2546" xr3:uid="{00000000-0010-0000-0300-0000F2090000}" name="Column2541" dataDxfId="13862"/>
    <tableColumn id="2547" xr3:uid="{00000000-0010-0000-0300-0000F3090000}" name="Column2542" dataDxfId="13861"/>
    <tableColumn id="2548" xr3:uid="{00000000-0010-0000-0300-0000F4090000}" name="Column2543" dataDxfId="13860"/>
    <tableColumn id="2549" xr3:uid="{00000000-0010-0000-0300-0000F5090000}" name="Column2544" dataDxfId="13859"/>
    <tableColumn id="2550" xr3:uid="{00000000-0010-0000-0300-0000F6090000}" name="Column2545" dataDxfId="13858"/>
    <tableColumn id="2551" xr3:uid="{00000000-0010-0000-0300-0000F7090000}" name="Column2546" dataDxfId="13857"/>
    <tableColumn id="2552" xr3:uid="{00000000-0010-0000-0300-0000F8090000}" name="Column2547" dataDxfId="13856"/>
    <tableColumn id="2553" xr3:uid="{00000000-0010-0000-0300-0000F9090000}" name="Column2548" dataDxfId="13855"/>
    <tableColumn id="2554" xr3:uid="{00000000-0010-0000-0300-0000FA090000}" name="Column2549" dataDxfId="13854"/>
    <tableColumn id="2555" xr3:uid="{00000000-0010-0000-0300-0000FB090000}" name="Column2550" dataDxfId="13853"/>
    <tableColumn id="2556" xr3:uid="{00000000-0010-0000-0300-0000FC090000}" name="Column2551" dataDxfId="13852"/>
    <tableColumn id="2557" xr3:uid="{00000000-0010-0000-0300-0000FD090000}" name="Column2552" dataDxfId="13851"/>
    <tableColumn id="2558" xr3:uid="{00000000-0010-0000-0300-0000FE090000}" name="Column2553" dataDxfId="13850"/>
    <tableColumn id="2559" xr3:uid="{00000000-0010-0000-0300-0000FF090000}" name="Column2554" dataDxfId="13849"/>
    <tableColumn id="2560" xr3:uid="{00000000-0010-0000-0300-0000000A0000}" name="Column2555" dataDxfId="13848"/>
    <tableColumn id="2561" xr3:uid="{00000000-0010-0000-0300-0000010A0000}" name="Column2556" dataDxfId="13847"/>
    <tableColumn id="2562" xr3:uid="{00000000-0010-0000-0300-0000020A0000}" name="Column2557" dataDxfId="13846"/>
    <tableColumn id="2563" xr3:uid="{00000000-0010-0000-0300-0000030A0000}" name="Column2558" dataDxfId="13845"/>
    <tableColumn id="2564" xr3:uid="{00000000-0010-0000-0300-0000040A0000}" name="Column2559" dataDxfId="13844"/>
    <tableColumn id="2565" xr3:uid="{00000000-0010-0000-0300-0000050A0000}" name="Column2560" dataDxfId="13843"/>
    <tableColumn id="2566" xr3:uid="{00000000-0010-0000-0300-0000060A0000}" name="Column2561" dataDxfId="13842"/>
    <tableColumn id="2567" xr3:uid="{00000000-0010-0000-0300-0000070A0000}" name="Column2562" dataDxfId="13841"/>
    <tableColumn id="2568" xr3:uid="{00000000-0010-0000-0300-0000080A0000}" name="Column2563" dataDxfId="13840"/>
    <tableColumn id="2569" xr3:uid="{00000000-0010-0000-0300-0000090A0000}" name="Column2564" dataDxfId="13839"/>
    <tableColumn id="2570" xr3:uid="{00000000-0010-0000-0300-00000A0A0000}" name="Column2565" dataDxfId="13838"/>
    <tableColumn id="2571" xr3:uid="{00000000-0010-0000-0300-00000B0A0000}" name="Column2566" dataDxfId="13837"/>
    <tableColumn id="2572" xr3:uid="{00000000-0010-0000-0300-00000C0A0000}" name="Column2567" dataDxfId="13836"/>
    <tableColumn id="2573" xr3:uid="{00000000-0010-0000-0300-00000D0A0000}" name="Column2568" dataDxfId="13835"/>
    <tableColumn id="2574" xr3:uid="{00000000-0010-0000-0300-00000E0A0000}" name="Column2569" dataDxfId="13834"/>
    <tableColumn id="2575" xr3:uid="{00000000-0010-0000-0300-00000F0A0000}" name="Column2570" dataDxfId="13833"/>
    <tableColumn id="2576" xr3:uid="{00000000-0010-0000-0300-0000100A0000}" name="Column2571" dataDxfId="13832"/>
    <tableColumn id="2577" xr3:uid="{00000000-0010-0000-0300-0000110A0000}" name="Column2572" dataDxfId="13831"/>
    <tableColumn id="2578" xr3:uid="{00000000-0010-0000-0300-0000120A0000}" name="Column2573" dataDxfId="13830"/>
    <tableColumn id="2579" xr3:uid="{00000000-0010-0000-0300-0000130A0000}" name="Column2574" dataDxfId="13829"/>
    <tableColumn id="2580" xr3:uid="{00000000-0010-0000-0300-0000140A0000}" name="Column2575" dataDxfId="13828"/>
    <tableColumn id="2581" xr3:uid="{00000000-0010-0000-0300-0000150A0000}" name="Column2576" dataDxfId="13827"/>
    <tableColumn id="2582" xr3:uid="{00000000-0010-0000-0300-0000160A0000}" name="Column2577" dataDxfId="13826"/>
    <tableColumn id="2583" xr3:uid="{00000000-0010-0000-0300-0000170A0000}" name="Column2578" dataDxfId="13825"/>
    <tableColumn id="2584" xr3:uid="{00000000-0010-0000-0300-0000180A0000}" name="Column2579" dataDxfId="13824"/>
    <tableColumn id="2585" xr3:uid="{00000000-0010-0000-0300-0000190A0000}" name="Column2580" dataDxfId="13823"/>
    <tableColumn id="2586" xr3:uid="{00000000-0010-0000-0300-00001A0A0000}" name="Column2581" dataDxfId="13822"/>
    <tableColumn id="2587" xr3:uid="{00000000-0010-0000-0300-00001B0A0000}" name="Column2582" dataDxfId="13821"/>
    <tableColumn id="2588" xr3:uid="{00000000-0010-0000-0300-00001C0A0000}" name="Column2583" dataDxfId="13820"/>
    <tableColumn id="2589" xr3:uid="{00000000-0010-0000-0300-00001D0A0000}" name="Column2584" dataDxfId="13819"/>
    <tableColumn id="2590" xr3:uid="{00000000-0010-0000-0300-00001E0A0000}" name="Column2585" dataDxfId="13818"/>
    <tableColumn id="2591" xr3:uid="{00000000-0010-0000-0300-00001F0A0000}" name="Column2586" dataDxfId="13817"/>
    <tableColumn id="2592" xr3:uid="{00000000-0010-0000-0300-0000200A0000}" name="Column2587" dataDxfId="13816"/>
    <tableColumn id="2593" xr3:uid="{00000000-0010-0000-0300-0000210A0000}" name="Column2588" dataDxfId="13815"/>
    <tableColumn id="2594" xr3:uid="{00000000-0010-0000-0300-0000220A0000}" name="Column2589" dataDxfId="13814"/>
    <tableColumn id="2595" xr3:uid="{00000000-0010-0000-0300-0000230A0000}" name="Column2590" dataDxfId="13813"/>
    <tableColumn id="2596" xr3:uid="{00000000-0010-0000-0300-0000240A0000}" name="Column2591" dataDxfId="13812"/>
    <tableColumn id="2597" xr3:uid="{00000000-0010-0000-0300-0000250A0000}" name="Column2592" dataDxfId="13811"/>
    <tableColumn id="2598" xr3:uid="{00000000-0010-0000-0300-0000260A0000}" name="Column2593" dataDxfId="13810"/>
    <tableColumn id="2599" xr3:uid="{00000000-0010-0000-0300-0000270A0000}" name="Column2594" dataDxfId="13809"/>
    <tableColumn id="2600" xr3:uid="{00000000-0010-0000-0300-0000280A0000}" name="Column2595" dataDxfId="13808"/>
    <tableColumn id="2601" xr3:uid="{00000000-0010-0000-0300-0000290A0000}" name="Column2596" dataDxfId="13807"/>
    <tableColumn id="2602" xr3:uid="{00000000-0010-0000-0300-00002A0A0000}" name="Column2597" dataDxfId="13806"/>
    <tableColumn id="2603" xr3:uid="{00000000-0010-0000-0300-00002B0A0000}" name="Column2598" dataDxfId="13805"/>
    <tableColumn id="2604" xr3:uid="{00000000-0010-0000-0300-00002C0A0000}" name="Column2599" dataDxfId="13804"/>
    <tableColumn id="2605" xr3:uid="{00000000-0010-0000-0300-00002D0A0000}" name="Column2600" dataDxfId="13803"/>
    <tableColumn id="2606" xr3:uid="{00000000-0010-0000-0300-00002E0A0000}" name="Column2601" dataDxfId="13802"/>
    <tableColumn id="2607" xr3:uid="{00000000-0010-0000-0300-00002F0A0000}" name="Column2602" dataDxfId="13801"/>
    <tableColumn id="2608" xr3:uid="{00000000-0010-0000-0300-0000300A0000}" name="Column2603" dataDxfId="13800"/>
    <tableColumn id="2609" xr3:uid="{00000000-0010-0000-0300-0000310A0000}" name="Column2604" dataDxfId="13799"/>
    <tableColumn id="2610" xr3:uid="{00000000-0010-0000-0300-0000320A0000}" name="Column2605" dataDxfId="13798"/>
    <tableColumn id="2611" xr3:uid="{00000000-0010-0000-0300-0000330A0000}" name="Column2606" dataDxfId="13797"/>
    <tableColumn id="2612" xr3:uid="{00000000-0010-0000-0300-0000340A0000}" name="Column2607" dataDxfId="13796"/>
    <tableColumn id="2613" xr3:uid="{00000000-0010-0000-0300-0000350A0000}" name="Column2608" dataDxfId="13795"/>
    <tableColumn id="2614" xr3:uid="{00000000-0010-0000-0300-0000360A0000}" name="Column2609" dataDxfId="13794"/>
    <tableColumn id="2615" xr3:uid="{00000000-0010-0000-0300-0000370A0000}" name="Column2610" dataDxfId="13793"/>
    <tableColumn id="2616" xr3:uid="{00000000-0010-0000-0300-0000380A0000}" name="Column2611" dataDxfId="13792"/>
    <tableColumn id="2617" xr3:uid="{00000000-0010-0000-0300-0000390A0000}" name="Column2612" dataDxfId="13791"/>
    <tableColumn id="2618" xr3:uid="{00000000-0010-0000-0300-00003A0A0000}" name="Column2613" dataDxfId="13790"/>
    <tableColumn id="2619" xr3:uid="{00000000-0010-0000-0300-00003B0A0000}" name="Column2614" dataDxfId="13789"/>
    <tableColumn id="2620" xr3:uid="{00000000-0010-0000-0300-00003C0A0000}" name="Column2615" dataDxfId="13788"/>
    <tableColumn id="2621" xr3:uid="{00000000-0010-0000-0300-00003D0A0000}" name="Column2616" dataDxfId="13787"/>
    <tableColumn id="2622" xr3:uid="{00000000-0010-0000-0300-00003E0A0000}" name="Column2617" dataDxfId="13786"/>
    <tableColumn id="2623" xr3:uid="{00000000-0010-0000-0300-00003F0A0000}" name="Column2618" dataDxfId="13785"/>
    <tableColumn id="2624" xr3:uid="{00000000-0010-0000-0300-0000400A0000}" name="Column2619" dataDxfId="13784"/>
    <tableColumn id="2625" xr3:uid="{00000000-0010-0000-0300-0000410A0000}" name="Column2620" dataDxfId="13783"/>
    <tableColumn id="2626" xr3:uid="{00000000-0010-0000-0300-0000420A0000}" name="Column2621" dataDxfId="13782"/>
    <tableColumn id="2627" xr3:uid="{00000000-0010-0000-0300-0000430A0000}" name="Column2622" dataDxfId="13781"/>
    <tableColumn id="2628" xr3:uid="{00000000-0010-0000-0300-0000440A0000}" name="Column2623" dataDxfId="13780"/>
    <tableColumn id="2629" xr3:uid="{00000000-0010-0000-0300-0000450A0000}" name="Column2624" dataDxfId="13779"/>
    <tableColumn id="2630" xr3:uid="{00000000-0010-0000-0300-0000460A0000}" name="Column2625" dataDxfId="13778"/>
    <tableColumn id="2631" xr3:uid="{00000000-0010-0000-0300-0000470A0000}" name="Column2626" dataDxfId="13777"/>
    <tableColumn id="2632" xr3:uid="{00000000-0010-0000-0300-0000480A0000}" name="Column2627" dataDxfId="13776"/>
    <tableColumn id="2633" xr3:uid="{00000000-0010-0000-0300-0000490A0000}" name="Column2628" dataDxfId="13775"/>
    <tableColumn id="2634" xr3:uid="{00000000-0010-0000-0300-00004A0A0000}" name="Column2629" dataDxfId="13774"/>
    <tableColumn id="2635" xr3:uid="{00000000-0010-0000-0300-00004B0A0000}" name="Column2630" dataDxfId="13773"/>
    <tableColumn id="2636" xr3:uid="{00000000-0010-0000-0300-00004C0A0000}" name="Column2631" dataDxfId="13772"/>
    <tableColumn id="2637" xr3:uid="{00000000-0010-0000-0300-00004D0A0000}" name="Column2632" dataDxfId="13771"/>
    <tableColumn id="2638" xr3:uid="{00000000-0010-0000-0300-00004E0A0000}" name="Column2633" dataDxfId="13770"/>
    <tableColumn id="2639" xr3:uid="{00000000-0010-0000-0300-00004F0A0000}" name="Column2634" dataDxfId="13769"/>
    <tableColumn id="2640" xr3:uid="{00000000-0010-0000-0300-0000500A0000}" name="Column2635" dataDxfId="13768"/>
    <tableColumn id="2641" xr3:uid="{00000000-0010-0000-0300-0000510A0000}" name="Column2636" dataDxfId="13767"/>
    <tableColumn id="2642" xr3:uid="{00000000-0010-0000-0300-0000520A0000}" name="Column2637" dataDxfId="13766"/>
    <tableColumn id="2643" xr3:uid="{00000000-0010-0000-0300-0000530A0000}" name="Column2638" dataDxfId="13765"/>
    <tableColumn id="2644" xr3:uid="{00000000-0010-0000-0300-0000540A0000}" name="Column2639" dataDxfId="13764"/>
    <tableColumn id="2645" xr3:uid="{00000000-0010-0000-0300-0000550A0000}" name="Column2640" dataDxfId="13763"/>
    <tableColumn id="2646" xr3:uid="{00000000-0010-0000-0300-0000560A0000}" name="Column2641" dataDxfId="13762"/>
    <tableColumn id="2647" xr3:uid="{00000000-0010-0000-0300-0000570A0000}" name="Column2642" dataDxfId="13761"/>
    <tableColumn id="2648" xr3:uid="{00000000-0010-0000-0300-0000580A0000}" name="Column2643" dataDxfId="13760"/>
    <tableColumn id="2649" xr3:uid="{00000000-0010-0000-0300-0000590A0000}" name="Column2644" dataDxfId="13759"/>
    <tableColumn id="2650" xr3:uid="{00000000-0010-0000-0300-00005A0A0000}" name="Column2645" dataDxfId="13758"/>
    <tableColumn id="2651" xr3:uid="{00000000-0010-0000-0300-00005B0A0000}" name="Column2646" dataDxfId="13757"/>
    <tableColumn id="2652" xr3:uid="{00000000-0010-0000-0300-00005C0A0000}" name="Column2647" dataDxfId="13756"/>
    <tableColumn id="2653" xr3:uid="{00000000-0010-0000-0300-00005D0A0000}" name="Column2648" dataDxfId="13755"/>
    <tableColumn id="2654" xr3:uid="{00000000-0010-0000-0300-00005E0A0000}" name="Column2649" dataDxfId="13754"/>
    <tableColumn id="2655" xr3:uid="{00000000-0010-0000-0300-00005F0A0000}" name="Column2650" dataDxfId="13753"/>
    <tableColumn id="2656" xr3:uid="{00000000-0010-0000-0300-0000600A0000}" name="Column2651" dataDxfId="13752"/>
    <tableColumn id="2657" xr3:uid="{00000000-0010-0000-0300-0000610A0000}" name="Column2652" dataDxfId="13751"/>
    <tableColumn id="2658" xr3:uid="{00000000-0010-0000-0300-0000620A0000}" name="Column2653" dataDxfId="13750"/>
    <tableColumn id="2659" xr3:uid="{00000000-0010-0000-0300-0000630A0000}" name="Column2654" dataDxfId="13749"/>
    <tableColumn id="2660" xr3:uid="{00000000-0010-0000-0300-0000640A0000}" name="Column2655" dataDxfId="13748"/>
    <tableColumn id="2661" xr3:uid="{00000000-0010-0000-0300-0000650A0000}" name="Column2656" dataDxfId="13747"/>
    <tableColumn id="2662" xr3:uid="{00000000-0010-0000-0300-0000660A0000}" name="Column2657" dataDxfId="13746"/>
    <tableColumn id="2663" xr3:uid="{00000000-0010-0000-0300-0000670A0000}" name="Column2658" dataDxfId="13745"/>
    <tableColumn id="2664" xr3:uid="{00000000-0010-0000-0300-0000680A0000}" name="Column2659" dataDxfId="13744"/>
    <tableColumn id="2665" xr3:uid="{00000000-0010-0000-0300-0000690A0000}" name="Column2660" dataDxfId="13743"/>
    <tableColumn id="2666" xr3:uid="{00000000-0010-0000-0300-00006A0A0000}" name="Column2661" dataDxfId="13742"/>
    <tableColumn id="2667" xr3:uid="{00000000-0010-0000-0300-00006B0A0000}" name="Column2662" dataDxfId="13741"/>
    <tableColumn id="2668" xr3:uid="{00000000-0010-0000-0300-00006C0A0000}" name="Column2663" dataDxfId="13740"/>
    <tableColumn id="2669" xr3:uid="{00000000-0010-0000-0300-00006D0A0000}" name="Column2664" dataDxfId="13739"/>
    <tableColumn id="2670" xr3:uid="{00000000-0010-0000-0300-00006E0A0000}" name="Column2665" dataDxfId="13738"/>
    <tableColumn id="2671" xr3:uid="{00000000-0010-0000-0300-00006F0A0000}" name="Column2666" dataDxfId="13737"/>
    <tableColumn id="2672" xr3:uid="{00000000-0010-0000-0300-0000700A0000}" name="Column2667" dataDxfId="13736"/>
    <tableColumn id="2673" xr3:uid="{00000000-0010-0000-0300-0000710A0000}" name="Column2668" dataDxfId="13735"/>
    <tableColumn id="2674" xr3:uid="{00000000-0010-0000-0300-0000720A0000}" name="Column2669" dataDxfId="13734"/>
    <tableColumn id="2675" xr3:uid="{00000000-0010-0000-0300-0000730A0000}" name="Column2670" dataDxfId="13733"/>
    <tableColumn id="2676" xr3:uid="{00000000-0010-0000-0300-0000740A0000}" name="Column2671" dataDxfId="13732"/>
    <tableColumn id="2677" xr3:uid="{00000000-0010-0000-0300-0000750A0000}" name="Column2672" dataDxfId="13731"/>
    <tableColumn id="2678" xr3:uid="{00000000-0010-0000-0300-0000760A0000}" name="Column2673" dataDxfId="13730"/>
    <tableColumn id="2679" xr3:uid="{00000000-0010-0000-0300-0000770A0000}" name="Column2674" dataDxfId="13729"/>
    <tableColumn id="2680" xr3:uid="{00000000-0010-0000-0300-0000780A0000}" name="Column2675" dataDxfId="13728"/>
    <tableColumn id="2681" xr3:uid="{00000000-0010-0000-0300-0000790A0000}" name="Column2676" dataDxfId="13727"/>
    <tableColumn id="2682" xr3:uid="{00000000-0010-0000-0300-00007A0A0000}" name="Column2677" dataDxfId="13726"/>
    <tableColumn id="2683" xr3:uid="{00000000-0010-0000-0300-00007B0A0000}" name="Column2678" dataDxfId="13725"/>
    <tableColumn id="2684" xr3:uid="{00000000-0010-0000-0300-00007C0A0000}" name="Column2679" dataDxfId="13724"/>
    <tableColumn id="2685" xr3:uid="{00000000-0010-0000-0300-00007D0A0000}" name="Column2680" dataDxfId="13723"/>
    <tableColumn id="2686" xr3:uid="{00000000-0010-0000-0300-00007E0A0000}" name="Column2681" dataDxfId="13722"/>
    <tableColumn id="2687" xr3:uid="{00000000-0010-0000-0300-00007F0A0000}" name="Column2682" dataDxfId="13721"/>
    <tableColumn id="2688" xr3:uid="{00000000-0010-0000-0300-0000800A0000}" name="Column2683" dataDxfId="13720"/>
    <tableColumn id="2689" xr3:uid="{00000000-0010-0000-0300-0000810A0000}" name="Column2684" dataDxfId="13719"/>
    <tableColumn id="2690" xr3:uid="{00000000-0010-0000-0300-0000820A0000}" name="Column2685" dataDxfId="13718"/>
    <tableColumn id="2691" xr3:uid="{00000000-0010-0000-0300-0000830A0000}" name="Column2686" dataDxfId="13717"/>
    <tableColumn id="2692" xr3:uid="{00000000-0010-0000-0300-0000840A0000}" name="Column2687" dataDxfId="13716"/>
    <tableColumn id="2693" xr3:uid="{00000000-0010-0000-0300-0000850A0000}" name="Column2688" dataDxfId="13715"/>
    <tableColumn id="2694" xr3:uid="{00000000-0010-0000-0300-0000860A0000}" name="Column2689" dataDxfId="13714"/>
    <tableColumn id="2695" xr3:uid="{00000000-0010-0000-0300-0000870A0000}" name="Column2690" dataDxfId="13713"/>
    <tableColumn id="2696" xr3:uid="{00000000-0010-0000-0300-0000880A0000}" name="Column2691" dataDxfId="13712"/>
    <tableColumn id="2697" xr3:uid="{00000000-0010-0000-0300-0000890A0000}" name="Column2692" dataDxfId="13711"/>
    <tableColumn id="2698" xr3:uid="{00000000-0010-0000-0300-00008A0A0000}" name="Column2693" dataDxfId="13710"/>
    <tableColumn id="2699" xr3:uid="{00000000-0010-0000-0300-00008B0A0000}" name="Column2694" dataDxfId="13709"/>
    <tableColumn id="2700" xr3:uid="{00000000-0010-0000-0300-00008C0A0000}" name="Column2695" dataDxfId="13708"/>
    <tableColumn id="2701" xr3:uid="{00000000-0010-0000-0300-00008D0A0000}" name="Column2696" dataDxfId="13707"/>
    <tableColumn id="2702" xr3:uid="{00000000-0010-0000-0300-00008E0A0000}" name="Column2697" dataDxfId="13706"/>
    <tableColumn id="2703" xr3:uid="{00000000-0010-0000-0300-00008F0A0000}" name="Column2698" dataDxfId="13705"/>
    <tableColumn id="2704" xr3:uid="{00000000-0010-0000-0300-0000900A0000}" name="Column2699" dataDxfId="13704"/>
    <tableColumn id="2705" xr3:uid="{00000000-0010-0000-0300-0000910A0000}" name="Column2700" dataDxfId="13703"/>
    <tableColumn id="2706" xr3:uid="{00000000-0010-0000-0300-0000920A0000}" name="Column2701" dataDxfId="13702"/>
    <tableColumn id="2707" xr3:uid="{00000000-0010-0000-0300-0000930A0000}" name="Column2702" dataDxfId="13701"/>
    <tableColumn id="2708" xr3:uid="{00000000-0010-0000-0300-0000940A0000}" name="Column2703" dataDxfId="13700"/>
    <tableColumn id="2709" xr3:uid="{00000000-0010-0000-0300-0000950A0000}" name="Column2704" dataDxfId="13699"/>
    <tableColumn id="2710" xr3:uid="{00000000-0010-0000-0300-0000960A0000}" name="Column2705" dataDxfId="13698"/>
    <tableColumn id="2711" xr3:uid="{00000000-0010-0000-0300-0000970A0000}" name="Column2706" dataDxfId="13697"/>
    <tableColumn id="2712" xr3:uid="{00000000-0010-0000-0300-0000980A0000}" name="Column2707" dataDxfId="13696"/>
    <tableColumn id="2713" xr3:uid="{00000000-0010-0000-0300-0000990A0000}" name="Column2708" dataDxfId="13695"/>
    <tableColumn id="2714" xr3:uid="{00000000-0010-0000-0300-00009A0A0000}" name="Column2709" dataDxfId="13694"/>
    <tableColumn id="2715" xr3:uid="{00000000-0010-0000-0300-00009B0A0000}" name="Column2710" dataDxfId="13693"/>
    <tableColumn id="2716" xr3:uid="{00000000-0010-0000-0300-00009C0A0000}" name="Column2711" dataDxfId="13692"/>
    <tableColumn id="2717" xr3:uid="{00000000-0010-0000-0300-00009D0A0000}" name="Column2712" dataDxfId="13691"/>
    <tableColumn id="2718" xr3:uid="{00000000-0010-0000-0300-00009E0A0000}" name="Column2713" dataDxfId="13690"/>
    <tableColumn id="2719" xr3:uid="{00000000-0010-0000-0300-00009F0A0000}" name="Column2714" dataDxfId="13689"/>
    <tableColumn id="2720" xr3:uid="{00000000-0010-0000-0300-0000A00A0000}" name="Column2715" dataDxfId="13688"/>
    <tableColumn id="2721" xr3:uid="{00000000-0010-0000-0300-0000A10A0000}" name="Column2716" dataDxfId="13687"/>
    <tableColumn id="2722" xr3:uid="{00000000-0010-0000-0300-0000A20A0000}" name="Column2717" dataDxfId="13686"/>
    <tableColumn id="2723" xr3:uid="{00000000-0010-0000-0300-0000A30A0000}" name="Column2718" dataDxfId="13685"/>
    <tableColumn id="2724" xr3:uid="{00000000-0010-0000-0300-0000A40A0000}" name="Column2719" dataDxfId="13684"/>
    <tableColumn id="2725" xr3:uid="{00000000-0010-0000-0300-0000A50A0000}" name="Column2720" dataDxfId="13683"/>
    <tableColumn id="2726" xr3:uid="{00000000-0010-0000-0300-0000A60A0000}" name="Column2721" dataDxfId="13682"/>
    <tableColumn id="2727" xr3:uid="{00000000-0010-0000-0300-0000A70A0000}" name="Column2722" dataDxfId="13681"/>
    <tableColumn id="2728" xr3:uid="{00000000-0010-0000-0300-0000A80A0000}" name="Column2723" dataDxfId="13680"/>
    <tableColumn id="2729" xr3:uid="{00000000-0010-0000-0300-0000A90A0000}" name="Column2724" dataDxfId="13679"/>
    <tableColumn id="2730" xr3:uid="{00000000-0010-0000-0300-0000AA0A0000}" name="Column2725" dataDxfId="13678"/>
    <tableColumn id="2731" xr3:uid="{00000000-0010-0000-0300-0000AB0A0000}" name="Column2726" dataDxfId="13677"/>
    <tableColumn id="2732" xr3:uid="{00000000-0010-0000-0300-0000AC0A0000}" name="Column2727" dataDxfId="13676"/>
    <tableColumn id="2733" xr3:uid="{00000000-0010-0000-0300-0000AD0A0000}" name="Column2728" dataDxfId="13675"/>
    <tableColumn id="2734" xr3:uid="{00000000-0010-0000-0300-0000AE0A0000}" name="Column2729" dataDxfId="13674"/>
    <tableColumn id="2735" xr3:uid="{00000000-0010-0000-0300-0000AF0A0000}" name="Column2730" dataDxfId="13673"/>
    <tableColumn id="2736" xr3:uid="{00000000-0010-0000-0300-0000B00A0000}" name="Column2731" dataDxfId="13672"/>
    <tableColumn id="2737" xr3:uid="{00000000-0010-0000-0300-0000B10A0000}" name="Column2732" dataDxfId="13671"/>
    <tableColumn id="2738" xr3:uid="{00000000-0010-0000-0300-0000B20A0000}" name="Column2733" dataDxfId="13670"/>
    <tableColumn id="2739" xr3:uid="{00000000-0010-0000-0300-0000B30A0000}" name="Column2734" dataDxfId="13669"/>
    <tableColumn id="2740" xr3:uid="{00000000-0010-0000-0300-0000B40A0000}" name="Column2735" dataDxfId="13668"/>
    <tableColumn id="2741" xr3:uid="{00000000-0010-0000-0300-0000B50A0000}" name="Column2736" dataDxfId="13667"/>
    <tableColumn id="2742" xr3:uid="{00000000-0010-0000-0300-0000B60A0000}" name="Column2737" dataDxfId="13666"/>
    <tableColumn id="2743" xr3:uid="{00000000-0010-0000-0300-0000B70A0000}" name="Column2738" dataDxfId="13665"/>
    <tableColumn id="2744" xr3:uid="{00000000-0010-0000-0300-0000B80A0000}" name="Column2739" dataDxfId="13664"/>
    <tableColumn id="2745" xr3:uid="{00000000-0010-0000-0300-0000B90A0000}" name="Column2740" dataDxfId="13663"/>
    <tableColumn id="2746" xr3:uid="{00000000-0010-0000-0300-0000BA0A0000}" name="Column2741" dataDxfId="13662"/>
    <tableColumn id="2747" xr3:uid="{00000000-0010-0000-0300-0000BB0A0000}" name="Column2742" dataDxfId="13661"/>
    <tableColumn id="2748" xr3:uid="{00000000-0010-0000-0300-0000BC0A0000}" name="Column2743" dataDxfId="13660"/>
    <tableColumn id="2749" xr3:uid="{00000000-0010-0000-0300-0000BD0A0000}" name="Column2744" dataDxfId="13659"/>
    <tableColumn id="2750" xr3:uid="{00000000-0010-0000-0300-0000BE0A0000}" name="Column2745" dataDxfId="13658"/>
    <tableColumn id="2751" xr3:uid="{00000000-0010-0000-0300-0000BF0A0000}" name="Column2746" dataDxfId="13657"/>
    <tableColumn id="2752" xr3:uid="{00000000-0010-0000-0300-0000C00A0000}" name="Column2747" dataDxfId="13656"/>
    <tableColumn id="2753" xr3:uid="{00000000-0010-0000-0300-0000C10A0000}" name="Column2748" dataDxfId="13655"/>
    <tableColumn id="2754" xr3:uid="{00000000-0010-0000-0300-0000C20A0000}" name="Column2749" dataDxfId="13654"/>
    <tableColumn id="2755" xr3:uid="{00000000-0010-0000-0300-0000C30A0000}" name="Column2750" dataDxfId="13653"/>
    <tableColumn id="2756" xr3:uid="{00000000-0010-0000-0300-0000C40A0000}" name="Column2751" dataDxfId="13652"/>
    <tableColumn id="2757" xr3:uid="{00000000-0010-0000-0300-0000C50A0000}" name="Column2752" dataDxfId="13651"/>
    <tableColumn id="2758" xr3:uid="{00000000-0010-0000-0300-0000C60A0000}" name="Column2753" dataDxfId="13650"/>
    <tableColumn id="2759" xr3:uid="{00000000-0010-0000-0300-0000C70A0000}" name="Column2754" dataDxfId="13649"/>
    <tableColumn id="2760" xr3:uid="{00000000-0010-0000-0300-0000C80A0000}" name="Column2755" dataDxfId="13648"/>
    <tableColumn id="2761" xr3:uid="{00000000-0010-0000-0300-0000C90A0000}" name="Column2756" dataDxfId="13647"/>
    <tableColumn id="2762" xr3:uid="{00000000-0010-0000-0300-0000CA0A0000}" name="Column2757" dataDxfId="13646"/>
    <tableColumn id="2763" xr3:uid="{00000000-0010-0000-0300-0000CB0A0000}" name="Column2758" dataDxfId="13645"/>
    <tableColumn id="2764" xr3:uid="{00000000-0010-0000-0300-0000CC0A0000}" name="Column2759" dataDxfId="13644"/>
    <tableColumn id="2765" xr3:uid="{00000000-0010-0000-0300-0000CD0A0000}" name="Column2760" dataDxfId="13643"/>
    <tableColumn id="2766" xr3:uid="{00000000-0010-0000-0300-0000CE0A0000}" name="Column2761" dataDxfId="13642"/>
    <tableColumn id="2767" xr3:uid="{00000000-0010-0000-0300-0000CF0A0000}" name="Column2762" dataDxfId="13641"/>
    <tableColumn id="2768" xr3:uid="{00000000-0010-0000-0300-0000D00A0000}" name="Column2763" dataDxfId="13640"/>
    <tableColumn id="2769" xr3:uid="{00000000-0010-0000-0300-0000D10A0000}" name="Column2764" dataDxfId="13639"/>
    <tableColumn id="2770" xr3:uid="{00000000-0010-0000-0300-0000D20A0000}" name="Column2765" dataDxfId="13638"/>
    <tableColumn id="2771" xr3:uid="{00000000-0010-0000-0300-0000D30A0000}" name="Column2766" dataDxfId="13637"/>
    <tableColumn id="2772" xr3:uid="{00000000-0010-0000-0300-0000D40A0000}" name="Column2767" dataDxfId="13636"/>
    <tableColumn id="2773" xr3:uid="{00000000-0010-0000-0300-0000D50A0000}" name="Column2768" dataDxfId="13635"/>
    <tableColumn id="2774" xr3:uid="{00000000-0010-0000-0300-0000D60A0000}" name="Column2769" dataDxfId="13634"/>
    <tableColumn id="2775" xr3:uid="{00000000-0010-0000-0300-0000D70A0000}" name="Column2770" dataDxfId="13633"/>
    <tableColumn id="2776" xr3:uid="{00000000-0010-0000-0300-0000D80A0000}" name="Column2771" dataDxfId="13632"/>
    <tableColumn id="2777" xr3:uid="{00000000-0010-0000-0300-0000D90A0000}" name="Column2772" dataDxfId="13631"/>
    <tableColumn id="2778" xr3:uid="{00000000-0010-0000-0300-0000DA0A0000}" name="Column2773" dataDxfId="13630"/>
    <tableColumn id="2779" xr3:uid="{00000000-0010-0000-0300-0000DB0A0000}" name="Column2774" dataDxfId="13629"/>
    <tableColumn id="2780" xr3:uid="{00000000-0010-0000-0300-0000DC0A0000}" name="Column2775" dataDxfId="13628"/>
    <tableColumn id="2781" xr3:uid="{00000000-0010-0000-0300-0000DD0A0000}" name="Column2776" dataDxfId="13627"/>
    <tableColumn id="2782" xr3:uid="{00000000-0010-0000-0300-0000DE0A0000}" name="Column2777" dataDxfId="13626"/>
    <tableColumn id="2783" xr3:uid="{00000000-0010-0000-0300-0000DF0A0000}" name="Column2778" dataDxfId="13625"/>
    <tableColumn id="2784" xr3:uid="{00000000-0010-0000-0300-0000E00A0000}" name="Column2779" dataDxfId="13624"/>
    <tableColumn id="2785" xr3:uid="{00000000-0010-0000-0300-0000E10A0000}" name="Column2780" dataDxfId="13623"/>
    <tableColumn id="2786" xr3:uid="{00000000-0010-0000-0300-0000E20A0000}" name="Column2781" dataDxfId="13622"/>
    <tableColumn id="2787" xr3:uid="{00000000-0010-0000-0300-0000E30A0000}" name="Column2782" dataDxfId="13621"/>
    <tableColumn id="2788" xr3:uid="{00000000-0010-0000-0300-0000E40A0000}" name="Column2783" dataDxfId="13620"/>
    <tableColumn id="2789" xr3:uid="{00000000-0010-0000-0300-0000E50A0000}" name="Column2784" dataDxfId="13619"/>
    <tableColumn id="2790" xr3:uid="{00000000-0010-0000-0300-0000E60A0000}" name="Column2785" dataDxfId="13618"/>
    <tableColumn id="2791" xr3:uid="{00000000-0010-0000-0300-0000E70A0000}" name="Column2786" dataDxfId="13617"/>
    <tableColumn id="2792" xr3:uid="{00000000-0010-0000-0300-0000E80A0000}" name="Column2787" dataDxfId="13616"/>
    <tableColumn id="2793" xr3:uid="{00000000-0010-0000-0300-0000E90A0000}" name="Column2788" dataDxfId="13615"/>
    <tableColumn id="2794" xr3:uid="{00000000-0010-0000-0300-0000EA0A0000}" name="Column2789" dataDxfId="13614"/>
    <tableColumn id="2795" xr3:uid="{00000000-0010-0000-0300-0000EB0A0000}" name="Column2790" dataDxfId="13613"/>
    <tableColumn id="2796" xr3:uid="{00000000-0010-0000-0300-0000EC0A0000}" name="Column2791" dataDxfId="13612"/>
    <tableColumn id="2797" xr3:uid="{00000000-0010-0000-0300-0000ED0A0000}" name="Column2792" dataDxfId="13611"/>
    <tableColumn id="2798" xr3:uid="{00000000-0010-0000-0300-0000EE0A0000}" name="Column2793" dataDxfId="13610"/>
    <tableColumn id="2799" xr3:uid="{00000000-0010-0000-0300-0000EF0A0000}" name="Column2794" dataDxfId="13609"/>
    <tableColumn id="2800" xr3:uid="{00000000-0010-0000-0300-0000F00A0000}" name="Column2795" dataDxfId="13608"/>
    <tableColumn id="2801" xr3:uid="{00000000-0010-0000-0300-0000F10A0000}" name="Column2796" dataDxfId="13607"/>
    <tableColumn id="2802" xr3:uid="{00000000-0010-0000-0300-0000F20A0000}" name="Column2797" dataDxfId="13606"/>
    <tableColumn id="2803" xr3:uid="{00000000-0010-0000-0300-0000F30A0000}" name="Column2798" dataDxfId="13605"/>
    <tableColumn id="2804" xr3:uid="{00000000-0010-0000-0300-0000F40A0000}" name="Column2799" dataDxfId="13604"/>
    <tableColumn id="2805" xr3:uid="{00000000-0010-0000-0300-0000F50A0000}" name="Column2800" dataDxfId="13603"/>
    <tableColumn id="2806" xr3:uid="{00000000-0010-0000-0300-0000F60A0000}" name="Column2801" dataDxfId="13602"/>
    <tableColumn id="2807" xr3:uid="{00000000-0010-0000-0300-0000F70A0000}" name="Column2802" dataDxfId="13601"/>
    <tableColumn id="2808" xr3:uid="{00000000-0010-0000-0300-0000F80A0000}" name="Column2803" dataDxfId="13600"/>
    <tableColumn id="2809" xr3:uid="{00000000-0010-0000-0300-0000F90A0000}" name="Column2804" dataDxfId="13599"/>
    <tableColumn id="2810" xr3:uid="{00000000-0010-0000-0300-0000FA0A0000}" name="Column2805" dataDxfId="13598"/>
    <tableColumn id="2811" xr3:uid="{00000000-0010-0000-0300-0000FB0A0000}" name="Column2806" dataDxfId="13597"/>
    <tableColumn id="2812" xr3:uid="{00000000-0010-0000-0300-0000FC0A0000}" name="Column2807" dataDxfId="13596"/>
    <tableColumn id="2813" xr3:uid="{00000000-0010-0000-0300-0000FD0A0000}" name="Column2808" dataDxfId="13595"/>
    <tableColumn id="2814" xr3:uid="{00000000-0010-0000-0300-0000FE0A0000}" name="Column2809" dataDxfId="13594"/>
    <tableColumn id="2815" xr3:uid="{00000000-0010-0000-0300-0000FF0A0000}" name="Column2810" dataDxfId="13593"/>
    <tableColumn id="2816" xr3:uid="{00000000-0010-0000-0300-0000000B0000}" name="Column2811" dataDxfId="13592"/>
    <tableColumn id="2817" xr3:uid="{00000000-0010-0000-0300-0000010B0000}" name="Column2812" dataDxfId="13591"/>
    <tableColumn id="2818" xr3:uid="{00000000-0010-0000-0300-0000020B0000}" name="Column2813" dataDxfId="13590"/>
    <tableColumn id="2819" xr3:uid="{00000000-0010-0000-0300-0000030B0000}" name="Column2814" dataDxfId="13589"/>
    <tableColumn id="2820" xr3:uid="{00000000-0010-0000-0300-0000040B0000}" name="Column2815" dataDxfId="13588"/>
    <tableColumn id="2821" xr3:uid="{00000000-0010-0000-0300-0000050B0000}" name="Column2816" dataDxfId="13587"/>
    <tableColumn id="2822" xr3:uid="{00000000-0010-0000-0300-0000060B0000}" name="Column2817" dataDxfId="13586"/>
    <tableColumn id="2823" xr3:uid="{00000000-0010-0000-0300-0000070B0000}" name="Column2818" dataDxfId="13585"/>
    <tableColumn id="2824" xr3:uid="{00000000-0010-0000-0300-0000080B0000}" name="Column2819" dataDxfId="13584"/>
    <tableColumn id="2825" xr3:uid="{00000000-0010-0000-0300-0000090B0000}" name="Column2820" dataDxfId="13583"/>
    <tableColumn id="2826" xr3:uid="{00000000-0010-0000-0300-00000A0B0000}" name="Column2821" dataDxfId="13582"/>
    <tableColumn id="2827" xr3:uid="{00000000-0010-0000-0300-00000B0B0000}" name="Column2822" dataDxfId="13581"/>
    <tableColumn id="2828" xr3:uid="{00000000-0010-0000-0300-00000C0B0000}" name="Column2823" dataDxfId="13580"/>
    <tableColumn id="2829" xr3:uid="{00000000-0010-0000-0300-00000D0B0000}" name="Column2824" dataDxfId="13579"/>
    <tableColumn id="2830" xr3:uid="{00000000-0010-0000-0300-00000E0B0000}" name="Column2825" dataDxfId="13578"/>
    <tableColumn id="2831" xr3:uid="{00000000-0010-0000-0300-00000F0B0000}" name="Column2826" dataDxfId="13577"/>
    <tableColumn id="2832" xr3:uid="{00000000-0010-0000-0300-0000100B0000}" name="Column2827" dataDxfId="13576"/>
    <tableColumn id="2833" xr3:uid="{00000000-0010-0000-0300-0000110B0000}" name="Column2828" dataDxfId="13575"/>
    <tableColumn id="2834" xr3:uid="{00000000-0010-0000-0300-0000120B0000}" name="Column2829" dataDxfId="13574"/>
    <tableColumn id="2835" xr3:uid="{00000000-0010-0000-0300-0000130B0000}" name="Column2830" dataDxfId="13573"/>
    <tableColumn id="2836" xr3:uid="{00000000-0010-0000-0300-0000140B0000}" name="Column2831" dataDxfId="13572"/>
    <tableColumn id="2837" xr3:uid="{00000000-0010-0000-0300-0000150B0000}" name="Column2832" dataDxfId="13571"/>
    <tableColumn id="2838" xr3:uid="{00000000-0010-0000-0300-0000160B0000}" name="Column2833" dataDxfId="13570"/>
    <tableColumn id="2839" xr3:uid="{00000000-0010-0000-0300-0000170B0000}" name="Column2834" dataDxfId="13569"/>
    <tableColumn id="2840" xr3:uid="{00000000-0010-0000-0300-0000180B0000}" name="Column2835" dataDxfId="13568"/>
    <tableColumn id="2841" xr3:uid="{00000000-0010-0000-0300-0000190B0000}" name="Column2836" dataDxfId="13567"/>
    <tableColumn id="2842" xr3:uid="{00000000-0010-0000-0300-00001A0B0000}" name="Column2837" dataDxfId="13566"/>
    <tableColumn id="2843" xr3:uid="{00000000-0010-0000-0300-00001B0B0000}" name="Column2838" dataDxfId="13565"/>
    <tableColumn id="2844" xr3:uid="{00000000-0010-0000-0300-00001C0B0000}" name="Column2839" dataDxfId="13564"/>
    <tableColumn id="2845" xr3:uid="{00000000-0010-0000-0300-00001D0B0000}" name="Column2840" dataDxfId="13563"/>
    <tableColumn id="2846" xr3:uid="{00000000-0010-0000-0300-00001E0B0000}" name="Column2841" dataDxfId="13562"/>
    <tableColumn id="2847" xr3:uid="{00000000-0010-0000-0300-00001F0B0000}" name="Column2842" dataDxfId="13561"/>
    <tableColumn id="2848" xr3:uid="{00000000-0010-0000-0300-0000200B0000}" name="Column2843" dataDxfId="13560"/>
    <tableColumn id="2849" xr3:uid="{00000000-0010-0000-0300-0000210B0000}" name="Column2844" dataDxfId="13559"/>
    <tableColumn id="2850" xr3:uid="{00000000-0010-0000-0300-0000220B0000}" name="Column2845" dataDxfId="13558"/>
    <tableColumn id="2851" xr3:uid="{00000000-0010-0000-0300-0000230B0000}" name="Column2846" dataDxfId="13557"/>
    <tableColumn id="2852" xr3:uid="{00000000-0010-0000-0300-0000240B0000}" name="Column2847" dataDxfId="13556"/>
    <tableColumn id="2853" xr3:uid="{00000000-0010-0000-0300-0000250B0000}" name="Column2848" dataDxfId="13555"/>
    <tableColumn id="2854" xr3:uid="{00000000-0010-0000-0300-0000260B0000}" name="Column2849" dataDxfId="13554"/>
    <tableColumn id="2855" xr3:uid="{00000000-0010-0000-0300-0000270B0000}" name="Column2850" dataDxfId="13553"/>
    <tableColumn id="2856" xr3:uid="{00000000-0010-0000-0300-0000280B0000}" name="Column2851" dataDxfId="13552"/>
    <tableColumn id="2857" xr3:uid="{00000000-0010-0000-0300-0000290B0000}" name="Column2852" dataDxfId="13551"/>
    <tableColumn id="2858" xr3:uid="{00000000-0010-0000-0300-00002A0B0000}" name="Column2853" dataDxfId="13550"/>
    <tableColumn id="2859" xr3:uid="{00000000-0010-0000-0300-00002B0B0000}" name="Column2854" dataDxfId="13549"/>
    <tableColumn id="2860" xr3:uid="{00000000-0010-0000-0300-00002C0B0000}" name="Column2855" dataDxfId="13548"/>
    <tableColumn id="2861" xr3:uid="{00000000-0010-0000-0300-00002D0B0000}" name="Column2856" dataDxfId="13547"/>
    <tableColumn id="2862" xr3:uid="{00000000-0010-0000-0300-00002E0B0000}" name="Column2857" dataDxfId="13546"/>
    <tableColumn id="2863" xr3:uid="{00000000-0010-0000-0300-00002F0B0000}" name="Column2858" dataDxfId="13545"/>
    <tableColumn id="2864" xr3:uid="{00000000-0010-0000-0300-0000300B0000}" name="Column2859" dataDxfId="13544"/>
    <tableColumn id="2865" xr3:uid="{00000000-0010-0000-0300-0000310B0000}" name="Column2860" dataDxfId="13543"/>
    <tableColumn id="2866" xr3:uid="{00000000-0010-0000-0300-0000320B0000}" name="Column2861" dataDxfId="13542"/>
    <tableColumn id="2867" xr3:uid="{00000000-0010-0000-0300-0000330B0000}" name="Column2862" dataDxfId="13541"/>
    <tableColumn id="2868" xr3:uid="{00000000-0010-0000-0300-0000340B0000}" name="Column2863" dataDxfId="13540"/>
    <tableColumn id="2869" xr3:uid="{00000000-0010-0000-0300-0000350B0000}" name="Column2864" dataDxfId="13539"/>
    <tableColumn id="2870" xr3:uid="{00000000-0010-0000-0300-0000360B0000}" name="Column2865" dataDxfId="13538"/>
    <tableColumn id="2871" xr3:uid="{00000000-0010-0000-0300-0000370B0000}" name="Column2866" dataDxfId="13537"/>
    <tableColumn id="2872" xr3:uid="{00000000-0010-0000-0300-0000380B0000}" name="Column2867" dataDxfId="13536"/>
    <tableColumn id="2873" xr3:uid="{00000000-0010-0000-0300-0000390B0000}" name="Column2868" dataDxfId="13535"/>
    <tableColumn id="2874" xr3:uid="{00000000-0010-0000-0300-00003A0B0000}" name="Column2869" dataDxfId="13534"/>
    <tableColumn id="2875" xr3:uid="{00000000-0010-0000-0300-00003B0B0000}" name="Column2870" dataDxfId="13533"/>
    <tableColumn id="2876" xr3:uid="{00000000-0010-0000-0300-00003C0B0000}" name="Column2871" dataDxfId="13532"/>
    <tableColumn id="2877" xr3:uid="{00000000-0010-0000-0300-00003D0B0000}" name="Column2872" dataDxfId="13531"/>
    <tableColumn id="2878" xr3:uid="{00000000-0010-0000-0300-00003E0B0000}" name="Column2873" dataDxfId="13530"/>
    <tableColumn id="2879" xr3:uid="{00000000-0010-0000-0300-00003F0B0000}" name="Column2874" dataDxfId="13529"/>
    <tableColumn id="2880" xr3:uid="{00000000-0010-0000-0300-0000400B0000}" name="Column2875" dataDxfId="13528"/>
    <tableColumn id="2881" xr3:uid="{00000000-0010-0000-0300-0000410B0000}" name="Column2876" dataDxfId="13527"/>
    <tableColumn id="2882" xr3:uid="{00000000-0010-0000-0300-0000420B0000}" name="Column2877" dataDxfId="13526"/>
    <tableColumn id="2883" xr3:uid="{00000000-0010-0000-0300-0000430B0000}" name="Column2878" dataDxfId="13525"/>
    <tableColumn id="2884" xr3:uid="{00000000-0010-0000-0300-0000440B0000}" name="Column2879" dataDxfId="13524"/>
    <tableColumn id="2885" xr3:uid="{00000000-0010-0000-0300-0000450B0000}" name="Column2880" dataDxfId="13523"/>
    <tableColumn id="2886" xr3:uid="{00000000-0010-0000-0300-0000460B0000}" name="Column2881" dataDxfId="13522"/>
    <tableColumn id="2887" xr3:uid="{00000000-0010-0000-0300-0000470B0000}" name="Column2882" dataDxfId="13521"/>
    <tableColumn id="2888" xr3:uid="{00000000-0010-0000-0300-0000480B0000}" name="Column2883" dataDxfId="13520"/>
    <tableColumn id="2889" xr3:uid="{00000000-0010-0000-0300-0000490B0000}" name="Column2884" dataDxfId="13519"/>
    <tableColumn id="2890" xr3:uid="{00000000-0010-0000-0300-00004A0B0000}" name="Column2885" dataDxfId="13518"/>
    <tableColumn id="2891" xr3:uid="{00000000-0010-0000-0300-00004B0B0000}" name="Column2886" dataDxfId="13517"/>
    <tableColumn id="2892" xr3:uid="{00000000-0010-0000-0300-00004C0B0000}" name="Column2887" dataDxfId="13516"/>
    <tableColumn id="2893" xr3:uid="{00000000-0010-0000-0300-00004D0B0000}" name="Column2888" dataDxfId="13515"/>
    <tableColumn id="2894" xr3:uid="{00000000-0010-0000-0300-00004E0B0000}" name="Column2889" dataDxfId="13514"/>
    <tableColumn id="2895" xr3:uid="{00000000-0010-0000-0300-00004F0B0000}" name="Column2890" dataDxfId="13513"/>
    <tableColumn id="2896" xr3:uid="{00000000-0010-0000-0300-0000500B0000}" name="Column2891" dataDxfId="13512"/>
    <tableColumn id="2897" xr3:uid="{00000000-0010-0000-0300-0000510B0000}" name="Column2892" dataDxfId="13511"/>
    <tableColumn id="2898" xr3:uid="{00000000-0010-0000-0300-0000520B0000}" name="Column2893" dataDxfId="13510"/>
    <tableColumn id="2899" xr3:uid="{00000000-0010-0000-0300-0000530B0000}" name="Column2894" dataDxfId="13509"/>
    <tableColumn id="2900" xr3:uid="{00000000-0010-0000-0300-0000540B0000}" name="Column2895" dataDxfId="13508"/>
    <tableColumn id="2901" xr3:uid="{00000000-0010-0000-0300-0000550B0000}" name="Column2896" dataDxfId="13507"/>
    <tableColumn id="2902" xr3:uid="{00000000-0010-0000-0300-0000560B0000}" name="Column2897" dataDxfId="13506"/>
    <tableColumn id="2903" xr3:uid="{00000000-0010-0000-0300-0000570B0000}" name="Column2898" dataDxfId="13505"/>
    <tableColumn id="2904" xr3:uid="{00000000-0010-0000-0300-0000580B0000}" name="Column2899" dataDxfId="13504"/>
    <tableColumn id="2905" xr3:uid="{00000000-0010-0000-0300-0000590B0000}" name="Column2900" dataDxfId="13503"/>
    <tableColumn id="2906" xr3:uid="{00000000-0010-0000-0300-00005A0B0000}" name="Column2901" dataDxfId="13502"/>
    <tableColumn id="2907" xr3:uid="{00000000-0010-0000-0300-00005B0B0000}" name="Column2902" dataDxfId="13501"/>
    <tableColumn id="2908" xr3:uid="{00000000-0010-0000-0300-00005C0B0000}" name="Column2903" dataDxfId="13500"/>
    <tableColumn id="2909" xr3:uid="{00000000-0010-0000-0300-00005D0B0000}" name="Column2904" dataDxfId="13499"/>
    <tableColumn id="2910" xr3:uid="{00000000-0010-0000-0300-00005E0B0000}" name="Column2905" dataDxfId="13498"/>
    <tableColumn id="2911" xr3:uid="{00000000-0010-0000-0300-00005F0B0000}" name="Column2906" dataDxfId="13497"/>
    <tableColumn id="2912" xr3:uid="{00000000-0010-0000-0300-0000600B0000}" name="Column2907" dataDxfId="13496"/>
    <tableColumn id="2913" xr3:uid="{00000000-0010-0000-0300-0000610B0000}" name="Column2908" dataDxfId="13495"/>
    <tableColumn id="2914" xr3:uid="{00000000-0010-0000-0300-0000620B0000}" name="Column2909" dataDxfId="13494"/>
    <tableColumn id="2915" xr3:uid="{00000000-0010-0000-0300-0000630B0000}" name="Column2910" dataDxfId="13493"/>
    <tableColumn id="2916" xr3:uid="{00000000-0010-0000-0300-0000640B0000}" name="Column2911" dataDxfId="13492"/>
    <tableColumn id="2917" xr3:uid="{00000000-0010-0000-0300-0000650B0000}" name="Column2912" dataDxfId="13491"/>
    <tableColumn id="2918" xr3:uid="{00000000-0010-0000-0300-0000660B0000}" name="Column2913" dataDxfId="13490"/>
    <tableColumn id="2919" xr3:uid="{00000000-0010-0000-0300-0000670B0000}" name="Column2914" dataDxfId="13489"/>
    <tableColumn id="2920" xr3:uid="{00000000-0010-0000-0300-0000680B0000}" name="Column2915" dataDxfId="13488"/>
    <tableColumn id="2921" xr3:uid="{00000000-0010-0000-0300-0000690B0000}" name="Column2916" dataDxfId="13487"/>
    <tableColumn id="2922" xr3:uid="{00000000-0010-0000-0300-00006A0B0000}" name="Column2917" dataDxfId="13486"/>
    <tableColumn id="2923" xr3:uid="{00000000-0010-0000-0300-00006B0B0000}" name="Column2918" dataDxfId="13485"/>
    <tableColumn id="2924" xr3:uid="{00000000-0010-0000-0300-00006C0B0000}" name="Column2919" dataDxfId="13484"/>
    <tableColumn id="2925" xr3:uid="{00000000-0010-0000-0300-00006D0B0000}" name="Column2920" dataDxfId="13483"/>
    <tableColumn id="2926" xr3:uid="{00000000-0010-0000-0300-00006E0B0000}" name="Column2921" dataDxfId="13482"/>
    <tableColumn id="2927" xr3:uid="{00000000-0010-0000-0300-00006F0B0000}" name="Column2922" dataDxfId="13481"/>
    <tableColumn id="2928" xr3:uid="{00000000-0010-0000-0300-0000700B0000}" name="Column2923" dataDxfId="13480"/>
    <tableColumn id="2929" xr3:uid="{00000000-0010-0000-0300-0000710B0000}" name="Column2924" dataDxfId="13479"/>
    <tableColumn id="2930" xr3:uid="{00000000-0010-0000-0300-0000720B0000}" name="Column2925" dataDxfId="13478"/>
    <tableColumn id="2931" xr3:uid="{00000000-0010-0000-0300-0000730B0000}" name="Column2926" dataDxfId="13477"/>
    <tableColumn id="2932" xr3:uid="{00000000-0010-0000-0300-0000740B0000}" name="Column2927" dataDxfId="13476"/>
    <tableColumn id="2933" xr3:uid="{00000000-0010-0000-0300-0000750B0000}" name="Column2928" dataDxfId="13475"/>
    <tableColumn id="2934" xr3:uid="{00000000-0010-0000-0300-0000760B0000}" name="Column2929" dataDxfId="13474"/>
    <tableColumn id="2935" xr3:uid="{00000000-0010-0000-0300-0000770B0000}" name="Column2930" dataDxfId="13473"/>
    <tableColumn id="2936" xr3:uid="{00000000-0010-0000-0300-0000780B0000}" name="Column2931" dataDxfId="13472"/>
    <tableColumn id="2937" xr3:uid="{00000000-0010-0000-0300-0000790B0000}" name="Column2932" dataDxfId="13471"/>
    <tableColumn id="2938" xr3:uid="{00000000-0010-0000-0300-00007A0B0000}" name="Column2933" dataDxfId="13470"/>
    <tableColumn id="2939" xr3:uid="{00000000-0010-0000-0300-00007B0B0000}" name="Column2934" dataDxfId="13469"/>
    <tableColumn id="2940" xr3:uid="{00000000-0010-0000-0300-00007C0B0000}" name="Column2935" dataDxfId="13468"/>
    <tableColumn id="2941" xr3:uid="{00000000-0010-0000-0300-00007D0B0000}" name="Column2936" dataDxfId="13467"/>
    <tableColumn id="2942" xr3:uid="{00000000-0010-0000-0300-00007E0B0000}" name="Column2937" dataDxfId="13466"/>
    <tableColumn id="2943" xr3:uid="{00000000-0010-0000-0300-00007F0B0000}" name="Column2938" dataDxfId="13465"/>
    <tableColumn id="2944" xr3:uid="{00000000-0010-0000-0300-0000800B0000}" name="Column2939" dataDxfId="13464"/>
    <tableColumn id="2945" xr3:uid="{00000000-0010-0000-0300-0000810B0000}" name="Column2940" dataDxfId="13463"/>
    <tableColumn id="2946" xr3:uid="{00000000-0010-0000-0300-0000820B0000}" name="Column2941" dataDxfId="13462"/>
    <tableColumn id="2947" xr3:uid="{00000000-0010-0000-0300-0000830B0000}" name="Column2942" dataDxfId="13461"/>
    <tableColumn id="2948" xr3:uid="{00000000-0010-0000-0300-0000840B0000}" name="Column2943" dataDxfId="13460"/>
    <tableColumn id="2949" xr3:uid="{00000000-0010-0000-0300-0000850B0000}" name="Column2944" dataDxfId="13459"/>
    <tableColumn id="2950" xr3:uid="{00000000-0010-0000-0300-0000860B0000}" name="Column2945" dataDxfId="13458"/>
    <tableColumn id="2951" xr3:uid="{00000000-0010-0000-0300-0000870B0000}" name="Column2946" dataDxfId="13457"/>
    <tableColumn id="2952" xr3:uid="{00000000-0010-0000-0300-0000880B0000}" name="Column2947" dataDxfId="13456"/>
    <tableColumn id="2953" xr3:uid="{00000000-0010-0000-0300-0000890B0000}" name="Column2948" dataDxfId="13455"/>
    <tableColumn id="2954" xr3:uid="{00000000-0010-0000-0300-00008A0B0000}" name="Column2949" dataDxfId="13454"/>
    <tableColumn id="2955" xr3:uid="{00000000-0010-0000-0300-00008B0B0000}" name="Column2950" dataDxfId="13453"/>
    <tableColumn id="2956" xr3:uid="{00000000-0010-0000-0300-00008C0B0000}" name="Column2951" dataDxfId="13452"/>
    <tableColumn id="2957" xr3:uid="{00000000-0010-0000-0300-00008D0B0000}" name="Column2952" dataDxfId="13451"/>
    <tableColumn id="2958" xr3:uid="{00000000-0010-0000-0300-00008E0B0000}" name="Column2953" dataDxfId="13450"/>
    <tableColumn id="2959" xr3:uid="{00000000-0010-0000-0300-00008F0B0000}" name="Column2954" dataDxfId="13449"/>
    <tableColumn id="2960" xr3:uid="{00000000-0010-0000-0300-0000900B0000}" name="Column2955" dataDxfId="13448"/>
    <tableColumn id="2961" xr3:uid="{00000000-0010-0000-0300-0000910B0000}" name="Column2956" dataDxfId="13447"/>
    <tableColumn id="2962" xr3:uid="{00000000-0010-0000-0300-0000920B0000}" name="Column2957" dataDxfId="13446"/>
    <tableColumn id="2963" xr3:uid="{00000000-0010-0000-0300-0000930B0000}" name="Column2958" dataDxfId="13445"/>
    <tableColumn id="2964" xr3:uid="{00000000-0010-0000-0300-0000940B0000}" name="Column2959" dataDxfId="13444"/>
    <tableColumn id="2965" xr3:uid="{00000000-0010-0000-0300-0000950B0000}" name="Column2960" dataDxfId="13443"/>
    <tableColumn id="2966" xr3:uid="{00000000-0010-0000-0300-0000960B0000}" name="Column2961" dataDxfId="13442"/>
    <tableColumn id="2967" xr3:uid="{00000000-0010-0000-0300-0000970B0000}" name="Column2962" dataDxfId="13441"/>
    <tableColumn id="2968" xr3:uid="{00000000-0010-0000-0300-0000980B0000}" name="Column2963" dataDxfId="13440"/>
    <tableColumn id="2969" xr3:uid="{00000000-0010-0000-0300-0000990B0000}" name="Column2964" dataDxfId="13439"/>
    <tableColumn id="2970" xr3:uid="{00000000-0010-0000-0300-00009A0B0000}" name="Column2965" dataDxfId="13438"/>
    <tableColumn id="2971" xr3:uid="{00000000-0010-0000-0300-00009B0B0000}" name="Column2966" dataDxfId="13437"/>
    <tableColumn id="2972" xr3:uid="{00000000-0010-0000-0300-00009C0B0000}" name="Column2967" dataDxfId="13436"/>
    <tableColumn id="2973" xr3:uid="{00000000-0010-0000-0300-00009D0B0000}" name="Column2968" dataDxfId="13435"/>
    <tableColumn id="2974" xr3:uid="{00000000-0010-0000-0300-00009E0B0000}" name="Column2969" dataDxfId="13434"/>
    <tableColumn id="2975" xr3:uid="{00000000-0010-0000-0300-00009F0B0000}" name="Column2970" dataDxfId="13433"/>
    <tableColumn id="2976" xr3:uid="{00000000-0010-0000-0300-0000A00B0000}" name="Column2971" dataDxfId="13432"/>
    <tableColumn id="2977" xr3:uid="{00000000-0010-0000-0300-0000A10B0000}" name="Column2972" dataDxfId="13431"/>
    <tableColumn id="2978" xr3:uid="{00000000-0010-0000-0300-0000A20B0000}" name="Column2973" dataDxfId="13430"/>
    <tableColumn id="2979" xr3:uid="{00000000-0010-0000-0300-0000A30B0000}" name="Column2974" dataDxfId="13429"/>
    <tableColumn id="2980" xr3:uid="{00000000-0010-0000-0300-0000A40B0000}" name="Column2975" dataDxfId="13428"/>
    <tableColumn id="2981" xr3:uid="{00000000-0010-0000-0300-0000A50B0000}" name="Column2976" dataDxfId="13427"/>
    <tableColumn id="2982" xr3:uid="{00000000-0010-0000-0300-0000A60B0000}" name="Column2977" dataDxfId="13426"/>
    <tableColumn id="2983" xr3:uid="{00000000-0010-0000-0300-0000A70B0000}" name="Column2978" dataDxfId="13425"/>
    <tableColumn id="2984" xr3:uid="{00000000-0010-0000-0300-0000A80B0000}" name="Column2979" dataDxfId="13424"/>
    <tableColumn id="2985" xr3:uid="{00000000-0010-0000-0300-0000A90B0000}" name="Column2980" dataDxfId="13423"/>
    <tableColumn id="2986" xr3:uid="{00000000-0010-0000-0300-0000AA0B0000}" name="Column2981" dataDxfId="13422"/>
    <tableColumn id="2987" xr3:uid="{00000000-0010-0000-0300-0000AB0B0000}" name="Column2982" dataDxfId="13421"/>
    <tableColumn id="2988" xr3:uid="{00000000-0010-0000-0300-0000AC0B0000}" name="Column2983" dataDxfId="13420"/>
    <tableColumn id="2989" xr3:uid="{00000000-0010-0000-0300-0000AD0B0000}" name="Column2984" dataDxfId="13419"/>
    <tableColumn id="2990" xr3:uid="{00000000-0010-0000-0300-0000AE0B0000}" name="Column2985" dataDxfId="13418"/>
    <tableColumn id="2991" xr3:uid="{00000000-0010-0000-0300-0000AF0B0000}" name="Column2986" dataDxfId="13417"/>
    <tableColumn id="2992" xr3:uid="{00000000-0010-0000-0300-0000B00B0000}" name="Column2987" dataDxfId="13416"/>
    <tableColumn id="2993" xr3:uid="{00000000-0010-0000-0300-0000B10B0000}" name="Column2988" dataDxfId="13415"/>
    <tableColumn id="2994" xr3:uid="{00000000-0010-0000-0300-0000B20B0000}" name="Column2989" dataDxfId="13414"/>
    <tableColumn id="2995" xr3:uid="{00000000-0010-0000-0300-0000B30B0000}" name="Column2990" dataDxfId="13413"/>
    <tableColumn id="2996" xr3:uid="{00000000-0010-0000-0300-0000B40B0000}" name="Column2991" dataDxfId="13412"/>
    <tableColumn id="2997" xr3:uid="{00000000-0010-0000-0300-0000B50B0000}" name="Column2992" dataDxfId="13411"/>
    <tableColumn id="2998" xr3:uid="{00000000-0010-0000-0300-0000B60B0000}" name="Column2993" dataDxfId="13410"/>
    <tableColumn id="2999" xr3:uid="{00000000-0010-0000-0300-0000B70B0000}" name="Column2994" dataDxfId="13409"/>
    <tableColumn id="3000" xr3:uid="{00000000-0010-0000-0300-0000B80B0000}" name="Column2995" dataDxfId="13408"/>
    <tableColumn id="3001" xr3:uid="{00000000-0010-0000-0300-0000B90B0000}" name="Column2996" dataDxfId="13407"/>
    <tableColumn id="3002" xr3:uid="{00000000-0010-0000-0300-0000BA0B0000}" name="Column2997" dataDxfId="13406"/>
    <tableColumn id="3003" xr3:uid="{00000000-0010-0000-0300-0000BB0B0000}" name="Column2998" dataDxfId="13405"/>
    <tableColumn id="3004" xr3:uid="{00000000-0010-0000-0300-0000BC0B0000}" name="Column2999" dataDxfId="13404"/>
    <tableColumn id="3005" xr3:uid="{00000000-0010-0000-0300-0000BD0B0000}" name="Column3000" dataDxfId="13403"/>
    <tableColumn id="3006" xr3:uid="{00000000-0010-0000-0300-0000BE0B0000}" name="Column3001" dataDxfId="13402"/>
    <tableColumn id="3007" xr3:uid="{00000000-0010-0000-0300-0000BF0B0000}" name="Column3002" dataDxfId="13401"/>
    <tableColumn id="3008" xr3:uid="{00000000-0010-0000-0300-0000C00B0000}" name="Column3003" dataDxfId="13400"/>
    <tableColumn id="3009" xr3:uid="{00000000-0010-0000-0300-0000C10B0000}" name="Column3004" dataDxfId="13399"/>
    <tableColumn id="3010" xr3:uid="{00000000-0010-0000-0300-0000C20B0000}" name="Column3005" dataDxfId="13398"/>
    <tableColumn id="3011" xr3:uid="{00000000-0010-0000-0300-0000C30B0000}" name="Column3006" dataDxfId="13397"/>
    <tableColumn id="3012" xr3:uid="{00000000-0010-0000-0300-0000C40B0000}" name="Column3007" dataDxfId="13396"/>
    <tableColumn id="3013" xr3:uid="{00000000-0010-0000-0300-0000C50B0000}" name="Column3008" dataDxfId="13395"/>
    <tableColumn id="3014" xr3:uid="{00000000-0010-0000-0300-0000C60B0000}" name="Column3009" dataDxfId="13394"/>
    <tableColumn id="3015" xr3:uid="{00000000-0010-0000-0300-0000C70B0000}" name="Column3010" dataDxfId="13393"/>
    <tableColumn id="3016" xr3:uid="{00000000-0010-0000-0300-0000C80B0000}" name="Column3011" dataDxfId="13392"/>
    <tableColumn id="3017" xr3:uid="{00000000-0010-0000-0300-0000C90B0000}" name="Column3012" dataDxfId="13391"/>
    <tableColumn id="3018" xr3:uid="{00000000-0010-0000-0300-0000CA0B0000}" name="Column3013" dataDxfId="13390"/>
    <tableColumn id="3019" xr3:uid="{00000000-0010-0000-0300-0000CB0B0000}" name="Column3014" dataDxfId="13389"/>
    <tableColumn id="3020" xr3:uid="{00000000-0010-0000-0300-0000CC0B0000}" name="Column3015" dataDxfId="13388"/>
    <tableColumn id="3021" xr3:uid="{00000000-0010-0000-0300-0000CD0B0000}" name="Column3016" dataDxfId="13387"/>
    <tableColumn id="3022" xr3:uid="{00000000-0010-0000-0300-0000CE0B0000}" name="Column3017" dataDxfId="13386"/>
    <tableColumn id="3023" xr3:uid="{00000000-0010-0000-0300-0000CF0B0000}" name="Column3018" dataDxfId="13385"/>
    <tableColumn id="3024" xr3:uid="{00000000-0010-0000-0300-0000D00B0000}" name="Column3019" dataDxfId="13384"/>
    <tableColumn id="3025" xr3:uid="{00000000-0010-0000-0300-0000D10B0000}" name="Column3020" dataDxfId="13383"/>
    <tableColumn id="3026" xr3:uid="{00000000-0010-0000-0300-0000D20B0000}" name="Column3021" dataDxfId="13382"/>
    <tableColumn id="3027" xr3:uid="{00000000-0010-0000-0300-0000D30B0000}" name="Column3022" dataDxfId="13381"/>
    <tableColumn id="3028" xr3:uid="{00000000-0010-0000-0300-0000D40B0000}" name="Column3023" dataDxfId="13380"/>
    <tableColumn id="3029" xr3:uid="{00000000-0010-0000-0300-0000D50B0000}" name="Column3024" dataDxfId="13379"/>
    <tableColumn id="3030" xr3:uid="{00000000-0010-0000-0300-0000D60B0000}" name="Column3025" dataDxfId="13378"/>
    <tableColumn id="3031" xr3:uid="{00000000-0010-0000-0300-0000D70B0000}" name="Column3026" dataDxfId="13377"/>
    <tableColumn id="3032" xr3:uid="{00000000-0010-0000-0300-0000D80B0000}" name="Column3027" dataDxfId="13376"/>
    <tableColumn id="3033" xr3:uid="{00000000-0010-0000-0300-0000D90B0000}" name="Column3028" dataDxfId="13375"/>
    <tableColumn id="3034" xr3:uid="{00000000-0010-0000-0300-0000DA0B0000}" name="Column3029" dataDxfId="13374"/>
    <tableColumn id="3035" xr3:uid="{00000000-0010-0000-0300-0000DB0B0000}" name="Column3030" dataDxfId="13373"/>
    <tableColumn id="3036" xr3:uid="{00000000-0010-0000-0300-0000DC0B0000}" name="Column3031" dataDxfId="13372"/>
    <tableColumn id="3037" xr3:uid="{00000000-0010-0000-0300-0000DD0B0000}" name="Column3032" dataDxfId="13371"/>
    <tableColumn id="3038" xr3:uid="{00000000-0010-0000-0300-0000DE0B0000}" name="Column3033" dataDxfId="13370"/>
    <tableColumn id="3039" xr3:uid="{00000000-0010-0000-0300-0000DF0B0000}" name="Column3034" dataDxfId="13369"/>
    <tableColumn id="3040" xr3:uid="{00000000-0010-0000-0300-0000E00B0000}" name="Column3035" dataDxfId="13368"/>
    <tableColumn id="3041" xr3:uid="{00000000-0010-0000-0300-0000E10B0000}" name="Column3036" dataDxfId="13367"/>
    <tableColumn id="3042" xr3:uid="{00000000-0010-0000-0300-0000E20B0000}" name="Column3037" dataDxfId="13366"/>
    <tableColumn id="3043" xr3:uid="{00000000-0010-0000-0300-0000E30B0000}" name="Column3038" dataDxfId="13365"/>
    <tableColumn id="3044" xr3:uid="{00000000-0010-0000-0300-0000E40B0000}" name="Column3039" dataDxfId="13364"/>
    <tableColumn id="3045" xr3:uid="{00000000-0010-0000-0300-0000E50B0000}" name="Column3040" dataDxfId="13363"/>
    <tableColumn id="3046" xr3:uid="{00000000-0010-0000-0300-0000E60B0000}" name="Column3041" dataDxfId="13362"/>
    <tableColumn id="3047" xr3:uid="{00000000-0010-0000-0300-0000E70B0000}" name="Column3042" dataDxfId="13361"/>
    <tableColumn id="3048" xr3:uid="{00000000-0010-0000-0300-0000E80B0000}" name="Column3043" dataDxfId="13360"/>
    <tableColumn id="3049" xr3:uid="{00000000-0010-0000-0300-0000E90B0000}" name="Column3044" dataDxfId="13359"/>
    <tableColumn id="3050" xr3:uid="{00000000-0010-0000-0300-0000EA0B0000}" name="Column3045" dataDxfId="13358"/>
    <tableColumn id="3051" xr3:uid="{00000000-0010-0000-0300-0000EB0B0000}" name="Column3046" dataDxfId="13357"/>
    <tableColumn id="3052" xr3:uid="{00000000-0010-0000-0300-0000EC0B0000}" name="Column3047" dataDxfId="13356"/>
    <tableColumn id="3053" xr3:uid="{00000000-0010-0000-0300-0000ED0B0000}" name="Column3048" dataDxfId="13355"/>
    <tableColumn id="3054" xr3:uid="{00000000-0010-0000-0300-0000EE0B0000}" name="Column3049" dataDxfId="13354"/>
    <tableColumn id="3055" xr3:uid="{00000000-0010-0000-0300-0000EF0B0000}" name="Column3050" dataDxfId="13353"/>
    <tableColumn id="3056" xr3:uid="{00000000-0010-0000-0300-0000F00B0000}" name="Column3051" dataDxfId="13352"/>
    <tableColumn id="3057" xr3:uid="{00000000-0010-0000-0300-0000F10B0000}" name="Column3052" dataDxfId="13351"/>
    <tableColumn id="3058" xr3:uid="{00000000-0010-0000-0300-0000F20B0000}" name="Column3053" dataDxfId="13350"/>
    <tableColumn id="3059" xr3:uid="{00000000-0010-0000-0300-0000F30B0000}" name="Column3054" dataDxfId="13349"/>
    <tableColumn id="3060" xr3:uid="{00000000-0010-0000-0300-0000F40B0000}" name="Column3055" dataDxfId="13348"/>
    <tableColumn id="3061" xr3:uid="{00000000-0010-0000-0300-0000F50B0000}" name="Column3056" dataDxfId="13347"/>
    <tableColumn id="3062" xr3:uid="{00000000-0010-0000-0300-0000F60B0000}" name="Column3057" dataDxfId="13346"/>
    <tableColumn id="3063" xr3:uid="{00000000-0010-0000-0300-0000F70B0000}" name="Column3058" dataDxfId="13345"/>
    <tableColumn id="3064" xr3:uid="{00000000-0010-0000-0300-0000F80B0000}" name="Column3059" dataDxfId="13344"/>
    <tableColumn id="3065" xr3:uid="{00000000-0010-0000-0300-0000F90B0000}" name="Column3060" dataDxfId="13343"/>
    <tableColumn id="3066" xr3:uid="{00000000-0010-0000-0300-0000FA0B0000}" name="Column3061" dataDxfId="13342"/>
    <tableColumn id="3067" xr3:uid="{00000000-0010-0000-0300-0000FB0B0000}" name="Column3062" dataDxfId="13341"/>
    <tableColumn id="3068" xr3:uid="{00000000-0010-0000-0300-0000FC0B0000}" name="Column3063" dataDxfId="13340"/>
    <tableColumn id="3069" xr3:uid="{00000000-0010-0000-0300-0000FD0B0000}" name="Column3064" dataDxfId="13339"/>
    <tableColumn id="3070" xr3:uid="{00000000-0010-0000-0300-0000FE0B0000}" name="Column3065" dataDxfId="13338"/>
    <tableColumn id="3071" xr3:uid="{00000000-0010-0000-0300-0000FF0B0000}" name="Column3066" dataDxfId="13337"/>
    <tableColumn id="3072" xr3:uid="{00000000-0010-0000-0300-0000000C0000}" name="Column3067" dataDxfId="13336"/>
    <tableColumn id="3073" xr3:uid="{00000000-0010-0000-0300-0000010C0000}" name="Column3068" dataDxfId="13335"/>
    <tableColumn id="3074" xr3:uid="{00000000-0010-0000-0300-0000020C0000}" name="Column3069" dataDxfId="13334"/>
    <tableColumn id="3075" xr3:uid="{00000000-0010-0000-0300-0000030C0000}" name="Column3070" dataDxfId="13333"/>
    <tableColumn id="3076" xr3:uid="{00000000-0010-0000-0300-0000040C0000}" name="Column3071" dataDxfId="13332"/>
    <tableColumn id="3077" xr3:uid="{00000000-0010-0000-0300-0000050C0000}" name="Column3072" dataDxfId="13331"/>
    <tableColumn id="3078" xr3:uid="{00000000-0010-0000-0300-0000060C0000}" name="Column3073" dataDxfId="13330"/>
    <tableColumn id="3079" xr3:uid="{00000000-0010-0000-0300-0000070C0000}" name="Column3074" dataDxfId="13329"/>
    <tableColumn id="3080" xr3:uid="{00000000-0010-0000-0300-0000080C0000}" name="Column3075" dataDxfId="13328"/>
    <tableColumn id="3081" xr3:uid="{00000000-0010-0000-0300-0000090C0000}" name="Column3076" dataDxfId="13327"/>
    <tableColumn id="3082" xr3:uid="{00000000-0010-0000-0300-00000A0C0000}" name="Column3077" dataDxfId="13326"/>
    <tableColumn id="3083" xr3:uid="{00000000-0010-0000-0300-00000B0C0000}" name="Column3078" dataDxfId="13325"/>
    <tableColumn id="3084" xr3:uid="{00000000-0010-0000-0300-00000C0C0000}" name="Column3079" dataDxfId="13324"/>
    <tableColumn id="3085" xr3:uid="{00000000-0010-0000-0300-00000D0C0000}" name="Column3080" dataDxfId="13323"/>
    <tableColumn id="3086" xr3:uid="{00000000-0010-0000-0300-00000E0C0000}" name="Column3081" dataDxfId="13322"/>
    <tableColumn id="3087" xr3:uid="{00000000-0010-0000-0300-00000F0C0000}" name="Column3082" dataDxfId="13321"/>
    <tableColumn id="3088" xr3:uid="{00000000-0010-0000-0300-0000100C0000}" name="Column3083" dataDxfId="13320"/>
    <tableColumn id="3089" xr3:uid="{00000000-0010-0000-0300-0000110C0000}" name="Column3084" dataDxfId="13319"/>
    <tableColumn id="3090" xr3:uid="{00000000-0010-0000-0300-0000120C0000}" name="Column3085" dataDxfId="13318"/>
    <tableColumn id="3091" xr3:uid="{00000000-0010-0000-0300-0000130C0000}" name="Column3086" dataDxfId="13317"/>
    <tableColumn id="3092" xr3:uid="{00000000-0010-0000-0300-0000140C0000}" name="Column3087" dataDxfId="13316"/>
    <tableColumn id="3093" xr3:uid="{00000000-0010-0000-0300-0000150C0000}" name="Column3088" dataDxfId="13315"/>
    <tableColumn id="3094" xr3:uid="{00000000-0010-0000-0300-0000160C0000}" name="Column3089" dataDxfId="13314"/>
    <tableColumn id="3095" xr3:uid="{00000000-0010-0000-0300-0000170C0000}" name="Column3090" dataDxfId="13313"/>
    <tableColumn id="3096" xr3:uid="{00000000-0010-0000-0300-0000180C0000}" name="Column3091" dataDxfId="13312"/>
    <tableColumn id="3097" xr3:uid="{00000000-0010-0000-0300-0000190C0000}" name="Column3092" dataDxfId="13311"/>
    <tableColumn id="3098" xr3:uid="{00000000-0010-0000-0300-00001A0C0000}" name="Column3093" dataDxfId="13310"/>
    <tableColumn id="3099" xr3:uid="{00000000-0010-0000-0300-00001B0C0000}" name="Column3094" dataDxfId="13309"/>
    <tableColumn id="3100" xr3:uid="{00000000-0010-0000-0300-00001C0C0000}" name="Column3095" dataDxfId="13308"/>
    <tableColumn id="3101" xr3:uid="{00000000-0010-0000-0300-00001D0C0000}" name="Column3096" dataDxfId="13307"/>
    <tableColumn id="3102" xr3:uid="{00000000-0010-0000-0300-00001E0C0000}" name="Column3097" dataDxfId="13306"/>
    <tableColumn id="3103" xr3:uid="{00000000-0010-0000-0300-00001F0C0000}" name="Column3098" dataDxfId="13305"/>
    <tableColumn id="3104" xr3:uid="{00000000-0010-0000-0300-0000200C0000}" name="Column3099" dataDxfId="13304"/>
    <tableColumn id="3105" xr3:uid="{00000000-0010-0000-0300-0000210C0000}" name="Column3100" dataDxfId="13303"/>
    <tableColumn id="3106" xr3:uid="{00000000-0010-0000-0300-0000220C0000}" name="Column3101" dataDxfId="13302"/>
    <tableColumn id="3107" xr3:uid="{00000000-0010-0000-0300-0000230C0000}" name="Column3102" dataDxfId="13301"/>
    <tableColumn id="3108" xr3:uid="{00000000-0010-0000-0300-0000240C0000}" name="Column3103" dataDxfId="13300"/>
    <tableColumn id="3109" xr3:uid="{00000000-0010-0000-0300-0000250C0000}" name="Column3104" dataDxfId="13299"/>
    <tableColumn id="3110" xr3:uid="{00000000-0010-0000-0300-0000260C0000}" name="Column3105" dataDxfId="13298"/>
    <tableColumn id="3111" xr3:uid="{00000000-0010-0000-0300-0000270C0000}" name="Column3106" dataDxfId="13297"/>
    <tableColumn id="3112" xr3:uid="{00000000-0010-0000-0300-0000280C0000}" name="Column3107" dataDxfId="13296"/>
    <tableColumn id="3113" xr3:uid="{00000000-0010-0000-0300-0000290C0000}" name="Column3108" dataDxfId="13295"/>
    <tableColumn id="3114" xr3:uid="{00000000-0010-0000-0300-00002A0C0000}" name="Column3109" dataDxfId="13294"/>
    <tableColumn id="3115" xr3:uid="{00000000-0010-0000-0300-00002B0C0000}" name="Column3110" dataDxfId="13293"/>
    <tableColumn id="3116" xr3:uid="{00000000-0010-0000-0300-00002C0C0000}" name="Column3111" dataDxfId="13292"/>
    <tableColumn id="3117" xr3:uid="{00000000-0010-0000-0300-00002D0C0000}" name="Column3112" dataDxfId="13291"/>
    <tableColumn id="3118" xr3:uid="{00000000-0010-0000-0300-00002E0C0000}" name="Column3113" dataDxfId="13290"/>
    <tableColumn id="3119" xr3:uid="{00000000-0010-0000-0300-00002F0C0000}" name="Column3114" dataDxfId="13289"/>
    <tableColumn id="3120" xr3:uid="{00000000-0010-0000-0300-0000300C0000}" name="Column3115" dataDxfId="13288"/>
    <tableColumn id="3121" xr3:uid="{00000000-0010-0000-0300-0000310C0000}" name="Column3116" dataDxfId="13287"/>
    <tableColumn id="3122" xr3:uid="{00000000-0010-0000-0300-0000320C0000}" name="Column3117" dataDxfId="13286"/>
    <tableColumn id="3123" xr3:uid="{00000000-0010-0000-0300-0000330C0000}" name="Column3118" dataDxfId="13285"/>
    <tableColumn id="3124" xr3:uid="{00000000-0010-0000-0300-0000340C0000}" name="Column3119" dataDxfId="13284"/>
    <tableColumn id="3125" xr3:uid="{00000000-0010-0000-0300-0000350C0000}" name="Column3120" dataDxfId="13283"/>
    <tableColumn id="3126" xr3:uid="{00000000-0010-0000-0300-0000360C0000}" name="Column3121" dataDxfId="13282"/>
    <tableColumn id="3127" xr3:uid="{00000000-0010-0000-0300-0000370C0000}" name="Column3122" dataDxfId="13281"/>
    <tableColumn id="3128" xr3:uid="{00000000-0010-0000-0300-0000380C0000}" name="Column3123" dataDxfId="13280"/>
    <tableColumn id="3129" xr3:uid="{00000000-0010-0000-0300-0000390C0000}" name="Column3124" dataDxfId="13279"/>
    <tableColumn id="3130" xr3:uid="{00000000-0010-0000-0300-00003A0C0000}" name="Column3125" dataDxfId="13278"/>
    <tableColumn id="3131" xr3:uid="{00000000-0010-0000-0300-00003B0C0000}" name="Column3126" dataDxfId="13277"/>
    <tableColumn id="3132" xr3:uid="{00000000-0010-0000-0300-00003C0C0000}" name="Column3127" dataDxfId="13276"/>
    <tableColumn id="3133" xr3:uid="{00000000-0010-0000-0300-00003D0C0000}" name="Column3128" dataDxfId="13275"/>
    <tableColumn id="3134" xr3:uid="{00000000-0010-0000-0300-00003E0C0000}" name="Column3129" dataDxfId="13274"/>
    <tableColumn id="3135" xr3:uid="{00000000-0010-0000-0300-00003F0C0000}" name="Column3130" dataDxfId="13273"/>
    <tableColumn id="3136" xr3:uid="{00000000-0010-0000-0300-0000400C0000}" name="Column3131" dataDxfId="13272"/>
    <tableColumn id="3137" xr3:uid="{00000000-0010-0000-0300-0000410C0000}" name="Column3132" dataDxfId="13271"/>
    <tableColumn id="3138" xr3:uid="{00000000-0010-0000-0300-0000420C0000}" name="Column3133" dataDxfId="13270"/>
    <tableColumn id="3139" xr3:uid="{00000000-0010-0000-0300-0000430C0000}" name="Column3134" dataDxfId="13269"/>
    <tableColumn id="3140" xr3:uid="{00000000-0010-0000-0300-0000440C0000}" name="Column3135" dataDxfId="13268"/>
    <tableColumn id="3141" xr3:uid="{00000000-0010-0000-0300-0000450C0000}" name="Column3136" dataDxfId="13267"/>
    <tableColumn id="3142" xr3:uid="{00000000-0010-0000-0300-0000460C0000}" name="Column3137" dataDxfId="13266"/>
    <tableColumn id="3143" xr3:uid="{00000000-0010-0000-0300-0000470C0000}" name="Column3138" dataDxfId="13265"/>
    <tableColumn id="3144" xr3:uid="{00000000-0010-0000-0300-0000480C0000}" name="Column3139" dataDxfId="13264"/>
    <tableColumn id="3145" xr3:uid="{00000000-0010-0000-0300-0000490C0000}" name="Column3140" dataDxfId="13263"/>
    <tableColumn id="3146" xr3:uid="{00000000-0010-0000-0300-00004A0C0000}" name="Column3141" dataDxfId="13262"/>
    <tableColumn id="3147" xr3:uid="{00000000-0010-0000-0300-00004B0C0000}" name="Column3142" dataDxfId="13261"/>
    <tableColumn id="3148" xr3:uid="{00000000-0010-0000-0300-00004C0C0000}" name="Column3143" dataDxfId="13260"/>
    <tableColumn id="3149" xr3:uid="{00000000-0010-0000-0300-00004D0C0000}" name="Column3144" dataDxfId="13259"/>
    <tableColumn id="3150" xr3:uid="{00000000-0010-0000-0300-00004E0C0000}" name="Column3145" dataDxfId="13258"/>
    <tableColumn id="3151" xr3:uid="{00000000-0010-0000-0300-00004F0C0000}" name="Column3146" dataDxfId="13257"/>
    <tableColumn id="3152" xr3:uid="{00000000-0010-0000-0300-0000500C0000}" name="Column3147" dataDxfId="13256"/>
    <tableColumn id="3153" xr3:uid="{00000000-0010-0000-0300-0000510C0000}" name="Column3148" dataDxfId="13255"/>
    <tableColumn id="3154" xr3:uid="{00000000-0010-0000-0300-0000520C0000}" name="Column3149" dataDxfId="13254"/>
    <tableColumn id="3155" xr3:uid="{00000000-0010-0000-0300-0000530C0000}" name="Column3150" dataDxfId="13253"/>
    <tableColumn id="3156" xr3:uid="{00000000-0010-0000-0300-0000540C0000}" name="Column3151" dataDxfId="13252"/>
    <tableColumn id="3157" xr3:uid="{00000000-0010-0000-0300-0000550C0000}" name="Column3152" dataDxfId="13251"/>
    <tableColumn id="3158" xr3:uid="{00000000-0010-0000-0300-0000560C0000}" name="Column3153" dataDxfId="13250"/>
    <tableColumn id="3159" xr3:uid="{00000000-0010-0000-0300-0000570C0000}" name="Column3154" dataDxfId="13249"/>
    <tableColumn id="3160" xr3:uid="{00000000-0010-0000-0300-0000580C0000}" name="Column3155" dataDxfId="13248"/>
    <tableColumn id="3161" xr3:uid="{00000000-0010-0000-0300-0000590C0000}" name="Column3156" dataDxfId="13247"/>
    <tableColumn id="3162" xr3:uid="{00000000-0010-0000-0300-00005A0C0000}" name="Column3157" dataDxfId="13246"/>
    <tableColumn id="3163" xr3:uid="{00000000-0010-0000-0300-00005B0C0000}" name="Column3158" dataDxfId="13245"/>
    <tableColumn id="3164" xr3:uid="{00000000-0010-0000-0300-00005C0C0000}" name="Column3159" dataDxfId="13244"/>
    <tableColumn id="3165" xr3:uid="{00000000-0010-0000-0300-00005D0C0000}" name="Column3160" dataDxfId="13243"/>
    <tableColumn id="3166" xr3:uid="{00000000-0010-0000-0300-00005E0C0000}" name="Column3161" dataDxfId="13242"/>
    <tableColumn id="3167" xr3:uid="{00000000-0010-0000-0300-00005F0C0000}" name="Column3162" dataDxfId="13241"/>
    <tableColumn id="3168" xr3:uid="{00000000-0010-0000-0300-0000600C0000}" name="Column3163" dataDxfId="13240"/>
    <tableColumn id="3169" xr3:uid="{00000000-0010-0000-0300-0000610C0000}" name="Column3164" dataDxfId="13239"/>
    <tableColumn id="3170" xr3:uid="{00000000-0010-0000-0300-0000620C0000}" name="Column3165" dataDxfId="13238"/>
    <tableColumn id="3171" xr3:uid="{00000000-0010-0000-0300-0000630C0000}" name="Column3166" dataDxfId="13237"/>
    <tableColumn id="3172" xr3:uid="{00000000-0010-0000-0300-0000640C0000}" name="Column3167" dataDxfId="13236"/>
    <tableColumn id="3173" xr3:uid="{00000000-0010-0000-0300-0000650C0000}" name="Column3168" dataDxfId="13235"/>
    <tableColumn id="3174" xr3:uid="{00000000-0010-0000-0300-0000660C0000}" name="Column3169" dataDxfId="13234"/>
    <tableColumn id="3175" xr3:uid="{00000000-0010-0000-0300-0000670C0000}" name="Column3170" dataDxfId="13233"/>
    <tableColumn id="3176" xr3:uid="{00000000-0010-0000-0300-0000680C0000}" name="Column3171" dataDxfId="13232"/>
    <tableColumn id="3177" xr3:uid="{00000000-0010-0000-0300-0000690C0000}" name="Column3172" dataDxfId="13231"/>
    <tableColumn id="3178" xr3:uid="{00000000-0010-0000-0300-00006A0C0000}" name="Column3173" dataDxfId="13230"/>
    <tableColumn id="3179" xr3:uid="{00000000-0010-0000-0300-00006B0C0000}" name="Column3174" dataDxfId="13229"/>
    <tableColumn id="3180" xr3:uid="{00000000-0010-0000-0300-00006C0C0000}" name="Column3175" dataDxfId="13228"/>
    <tableColumn id="3181" xr3:uid="{00000000-0010-0000-0300-00006D0C0000}" name="Column3176" dataDxfId="13227"/>
    <tableColumn id="3182" xr3:uid="{00000000-0010-0000-0300-00006E0C0000}" name="Column3177" dataDxfId="13226"/>
    <tableColumn id="3183" xr3:uid="{00000000-0010-0000-0300-00006F0C0000}" name="Column3178" dataDxfId="13225"/>
    <tableColumn id="3184" xr3:uid="{00000000-0010-0000-0300-0000700C0000}" name="Column3179" dataDxfId="13224"/>
    <tableColumn id="3185" xr3:uid="{00000000-0010-0000-0300-0000710C0000}" name="Column3180" dataDxfId="13223"/>
    <tableColumn id="3186" xr3:uid="{00000000-0010-0000-0300-0000720C0000}" name="Column3181" dataDxfId="13222"/>
    <tableColumn id="3187" xr3:uid="{00000000-0010-0000-0300-0000730C0000}" name="Column3182" dataDxfId="13221"/>
    <tableColumn id="3188" xr3:uid="{00000000-0010-0000-0300-0000740C0000}" name="Column3183" dataDxfId="13220"/>
    <tableColumn id="3189" xr3:uid="{00000000-0010-0000-0300-0000750C0000}" name="Column3184" dataDxfId="13219"/>
    <tableColumn id="3190" xr3:uid="{00000000-0010-0000-0300-0000760C0000}" name="Column3185" dataDxfId="13218"/>
    <tableColumn id="3191" xr3:uid="{00000000-0010-0000-0300-0000770C0000}" name="Column3186" dataDxfId="13217"/>
    <tableColumn id="3192" xr3:uid="{00000000-0010-0000-0300-0000780C0000}" name="Column3187" dataDxfId="13216"/>
    <tableColumn id="3193" xr3:uid="{00000000-0010-0000-0300-0000790C0000}" name="Column3188" dataDxfId="13215"/>
    <tableColumn id="3194" xr3:uid="{00000000-0010-0000-0300-00007A0C0000}" name="Column3189" dataDxfId="13214"/>
    <tableColumn id="3195" xr3:uid="{00000000-0010-0000-0300-00007B0C0000}" name="Column3190" dataDxfId="13213"/>
    <tableColumn id="3196" xr3:uid="{00000000-0010-0000-0300-00007C0C0000}" name="Column3191" dataDxfId="13212"/>
    <tableColumn id="3197" xr3:uid="{00000000-0010-0000-0300-00007D0C0000}" name="Column3192" dataDxfId="13211"/>
    <tableColumn id="3198" xr3:uid="{00000000-0010-0000-0300-00007E0C0000}" name="Column3193" dataDxfId="13210"/>
    <tableColumn id="3199" xr3:uid="{00000000-0010-0000-0300-00007F0C0000}" name="Column3194" dataDxfId="13209"/>
    <tableColumn id="3200" xr3:uid="{00000000-0010-0000-0300-0000800C0000}" name="Column3195" dataDxfId="13208"/>
    <tableColumn id="3201" xr3:uid="{00000000-0010-0000-0300-0000810C0000}" name="Column3196" dataDxfId="13207"/>
    <tableColumn id="3202" xr3:uid="{00000000-0010-0000-0300-0000820C0000}" name="Column3197" dataDxfId="13206"/>
    <tableColumn id="3203" xr3:uid="{00000000-0010-0000-0300-0000830C0000}" name="Column3198" dataDxfId="13205"/>
    <tableColumn id="3204" xr3:uid="{00000000-0010-0000-0300-0000840C0000}" name="Column3199" dataDxfId="13204"/>
    <tableColumn id="3205" xr3:uid="{00000000-0010-0000-0300-0000850C0000}" name="Column3200" dataDxfId="13203"/>
    <tableColumn id="3206" xr3:uid="{00000000-0010-0000-0300-0000860C0000}" name="Column3201" dataDxfId="13202"/>
    <tableColumn id="3207" xr3:uid="{00000000-0010-0000-0300-0000870C0000}" name="Column3202" dataDxfId="13201"/>
    <tableColumn id="3208" xr3:uid="{00000000-0010-0000-0300-0000880C0000}" name="Column3203" dataDxfId="13200"/>
    <tableColumn id="3209" xr3:uid="{00000000-0010-0000-0300-0000890C0000}" name="Column3204" dataDxfId="13199"/>
    <tableColumn id="3210" xr3:uid="{00000000-0010-0000-0300-00008A0C0000}" name="Column3205" dataDxfId="13198"/>
    <tableColumn id="3211" xr3:uid="{00000000-0010-0000-0300-00008B0C0000}" name="Column3206" dataDxfId="13197"/>
    <tableColumn id="3212" xr3:uid="{00000000-0010-0000-0300-00008C0C0000}" name="Column3207" dataDxfId="13196"/>
    <tableColumn id="3213" xr3:uid="{00000000-0010-0000-0300-00008D0C0000}" name="Column3208" dataDxfId="13195"/>
    <tableColumn id="3214" xr3:uid="{00000000-0010-0000-0300-00008E0C0000}" name="Column3209" dataDxfId="13194"/>
    <tableColumn id="3215" xr3:uid="{00000000-0010-0000-0300-00008F0C0000}" name="Column3210" dataDxfId="13193"/>
    <tableColumn id="3216" xr3:uid="{00000000-0010-0000-0300-0000900C0000}" name="Column3211" dataDxfId="13192"/>
    <tableColumn id="3217" xr3:uid="{00000000-0010-0000-0300-0000910C0000}" name="Column3212" dataDxfId="13191"/>
    <tableColumn id="3218" xr3:uid="{00000000-0010-0000-0300-0000920C0000}" name="Column3213" dataDxfId="13190"/>
    <tableColumn id="3219" xr3:uid="{00000000-0010-0000-0300-0000930C0000}" name="Column3214" dataDxfId="13189"/>
    <tableColumn id="3220" xr3:uid="{00000000-0010-0000-0300-0000940C0000}" name="Column3215" dataDxfId="13188"/>
    <tableColumn id="3221" xr3:uid="{00000000-0010-0000-0300-0000950C0000}" name="Column3216" dataDxfId="13187"/>
    <tableColumn id="3222" xr3:uid="{00000000-0010-0000-0300-0000960C0000}" name="Column3217" dataDxfId="13186"/>
    <tableColumn id="3223" xr3:uid="{00000000-0010-0000-0300-0000970C0000}" name="Column3218" dataDxfId="13185"/>
    <tableColumn id="3224" xr3:uid="{00000000-0010-0000-0300-0000980C0000}" name="Column3219" dataDxfId="13184"/>
    <tableColumn id="3225" xr3:uid="{00000000-0010-0000-0300-0000990C0000}" name="Column3220" dataDxfId="13183"/>
    <tableColumn id="3226" xr3:uid="{00000000-0010-0000-0300-00009A0C0000}" name="Column3221" dataDxfId="13182"/>
    <tableColumn id="3227" xr3:uid="{00000000-0010-0000-0300-00009B0C0000}" name="Column3222" dataDxfId="13181"/>
    <tableColumn id="3228" xr3:uid="{00000000-0010-0000-0300-00009C0C0000}" name="Column3223" dataDxfId="13180"/>
    <tableColumn id="3229" xr3:uid="{00000000-0010-0000-0300-00009D0C0000}" name="Column3224" dataDxfId="13179"/>
    <tableColumn id="3230" xr3:uid="{00000000-0010-0000-0300-00009E0C0000}" name="Column3225" dataDxfId="13178"/>
    <tableColumn id="3231" xr3:uid="{00000000-0010-0000-0300-00009F0C0000}" name="Column3226" dataDxfId="13177"/>
    <tableColumn id="3232" xr3:uid="{00000000-0010-0000-0300-0000A00C0000}" name="Column3227" dataDxfId="13176"/>
    <tableColumn id="3233" xr3:uid="{00000000-0010-0000-0300-0000A10C0000}" name="Column3228" dataDxfId="13175"/>
    <tableColumn id="3234" xr3:uid="{00000000-0010-0000-0300-0000A20C0000}" name="Column3229" dataDxfId="13174"/>
    <tableColumn id="3235" xr3:uid="{00000000-0010-0000-0300-0000A30C0000}" name="Column3230" dataDxfId="13173"/>
    <tableColumn id="3236" xr3:uid="{00000000-0010-0000-0300-0000A40C0000}" name="Column3231" dataDxfId="13172"/>
    <tableColumn id="3237" xr3:uid="{00000000-0010-0000-0300-0000A50C0000}" name="Column3232" dataDxfId="13171"/>
    <tableColumn id="3238" xr3:uid="{00000000-0010-0000-0300-0000A60C0000}" name="Column3233" dataDxfId="13170"/>
    <tableColumn id="3239" xr3:uid="{00000000-0010-0000-0300-0000A70C0000}" name="Column3234" dataDxfId="13169"/>
    <tableColumn id="3240" xr3:uid="{00000000-0010-0000-0300-0000A80C0000}" name="Column3235" dataDxfId="13168"/>
    <tableColumn id="3241" xr3:uid="{00000000-0010-0000-0300-0000A90C0000}" name="Column3236" dataDxfId="13167"/>
    <tableColumn id="3242" xr3:uid="{00000000-0010-0000-0300-0000AA0C0000}" name="Column3237" dataDxfId="13166"/>
    <tableColumn id="3243" xr3:uid="{00000000-0010-0000-0300-0000AB0C0000}" name="Column3238" dataDxfId="13165"/>
    <tableColumn id="3244" xr3:uid="{00000000-0010-0000-0300-0000AC0C0000}" name="Column3239" dataDxfId="13164"/>
    <tableColumn id="3245" xr3:uid="{00000000-0010-0000-0300-0000AD0C0000}" name="Column3240" dataDxfId="13163"/>
    <tableColumn id="3246" xr3:uid="{00000000-0010-0000-0300-0000AE0C0000}" name="Column3241" dataDxfId="13162"/>
    <tableColumn id="3247" xr3:uid="{00000000-0010-0000-0300-0000AF0C0000}" name="Column3242" dataDxfId="13161"/>
    <tableColumn id="3248" xr3:uid="{00000000-0010-0000-0300-0000B00C0000}" name="Column3243" dataDxfId="13160"/>
    <tableColumn id="3249" xr3:uid="{00000000-0010-0000-0300-0000B10C0000}" name="Column3244" dataDxfId="13159"/>
    <tableColumn id="3250" xr3:uid="{00000000-0010-0000-0300-0000B20C0000}" name="Column3245" dataDxfId="13158"/>
    <tableColumn id="3251" xr3:uid="{00000000-0010-0000-0300-0000B30C0000}" name="Column3246" dataDxfId="13157"/>
    <tableColumn id="3252" xr3:uid="{00000000-0010-0000-0300-0000B40C0000}" name="Column3247" dataDxfId="13156"/>
    <tableColumn id="3253" xr3:uid="{00000000-0010-0000-0300-0000B50C0000}" name="Column3248" dataDxfId="13155"/>
    <tableColumn id="3254" xr3:uid="{00000000-0010-0000-0300-0000B60C0000}" name="Column3249" dataDxfId="13154"/>
    <tableColumn id="3255" xr3:uid="{00000000-0010-0000-0300-0000B70C0000}" name="Column3250" dataDxfId="13153"/>
    <tableColumn id="3256" xr3:uid="{00000000-0010-0000-0300-0000B80C0000}" name="Column3251" dataDxfId="13152"/>
    <tableColumn id="3257" xr3:uid="{00000000-0010-0000-0300-0000B90C0000}" name="Column3252" dataDxfId="13151"/>
    <tableColumn id="3258" xr3:uid="{00000000-0010-0000-0300-0000BA0C0000}" name="Column3253" dataDxfId="13150"/>
    <tableColumn id="3259" xr3:uid="{00000000-0010-0000-0300-0000BB0C0000}" name="Column3254" dataDxfId="13149"/>
    <tableColumn id="3260" xr3:uid="{00000000-0010-0000-0300-0000BC0C0000}" name="Column3255" dataDxfId="13148"/>
    <tableColumn id="3261" xr3:uid="{00000000-0010-0000-0300-0000BD0C0000}" name="Column3256" dataDxfId="13147"/>
    <tableColumn id="3262" xr3:uid="{00000000-0010-0000-0300-0000BE0C0000}" name="Column3257" dataDxfId="13146"/>
    <tableColumn id="3263" xr3:uid="{00000000-0010-0000-0300-0000BF0C0000}" name="Column3258" dataDxfId="13145"/>
    <tableColumn id="3264" xr3:uid="{00000000-0010-0000-0300-0000C00C0000}" name="Column3259" dataDxfId="13144"/>
    <tableColumn id="3265" xr3:uid="{00000000-0010-0000-0300-0000C10C0000}" name="Column3260" dataDxfId="13143"/>
    <tableColumn id="3266" xr3:uid="{00000000-0010-0000-0300-0000C20C0000}" name="Column3261" dataDxfId="13142"/>
    <tableColumn id="3267" xr3:uid="{00000000-0010-0000-0300-0000C30C0000}" name="Column3262" dataDxfId="13141"/>
    <tableColumn id="3268" xr3:uid="{00000000-0010-0000-0300-0000C40C0000}" name="Column3263" dataDxfId="13140"/>
    <tableColumn id="3269" xr3:uid="{00000000-0010-0000-0300-0000C50C0000}" name="Column3264" dataDxfId="13139"/>
    <tableColumn id="3270" xr3:uid="{00000000-0010-0000-0300-0000C60C0000}" name="Column3265" dataDxfId="13138"/>
    <tableColumn id="3271" xr3:uid="{00000000-0010-0000-0300-0000C70C0000}" name="Column3266" dataDxfId="13137"/>
    <tableColumn id="3272" xr3:uid="{00000000-0010-0000-0300-0000C80C0000}" name="Column3267" dataDxfId="13136"/>
    <tableColumn id="3273" xr3:uid="{00000000-0010-0000-0300-0000C90C0000}" name="Column3268" dataDxfId="13135"/>
    <tableColumn id="3274" xr3:uid="{00000000-0010-0000-0300-0000CA0C0000}" name="Column3269" dataDxfId="13134"/>
    <tableColumn id="3275" xr3:uid="{00000000-0010-0000-0300-0000CB0C0000}" name="Column3270" dataDxfId="13133"/>
    <tableColumn id="3276" xr3:uid="{00000000-0010-0000-0300-0000CC0C0000}" name="Column3271" dataDxfId="13132"/>
    <tableColumn id="3277" xr3:uid="{00000000-0010-0000-0300-0000CD0C0000}" name="Column3272" dataDxfId="13131"/>
    <tableColumn id="3278" xr3:uid="{00000000-0010-0000-0300-0000CE0C0000}" name="Column3273" dataDxfId="13130"/>
    <tableColumn id="3279" xr3:uid="{00000000-0010-0000-0300-0000CF0C0000}" name="Column3274" dataDxfId="13129"/>
    <tableColumn id="3280" xr3:uid="{00000000-0010-0000-0300-0000D00C0000}" name="Column3275" dataDxfId="13128"/>
    <tableColumn id="3281" xr3:uid="{00000000-0010-0000-0300-0000D10C0000}" name="Column3276" dataDxfId="13127"/>
    <tableColumn id="3282" xr3:uid="{00000000-0010-0000-0300-0000D20C0000}" name="Column3277" dataDxfId="13126"/>
    <tableColumn id="3283" xr3:uid="{00000000-0010-0000-0300-0000D30C0000}" name="Column3278" dataDxfId="13125"/>
    <tableColumn id="3284" xr3:uid="{00000000-0010-0000-0300-0000D40C0000}" name="Column3279" dataDxfId="13124"/>
    <tableColumn id="3285" xr3:uid="{00000000-0010-0000-0300-0000D50C0000}" name="Column3280" dataDxfId="13123"/>
    <tableColumn id="3286" xr3:uid="{00000000-0010-0000-0300-0000D60C0000}" name="Column3281" dataDxfId="13122"/>
    <tableColumn id="3287" xr3:uid="{00000000-0010-0000-0300-0000D70C0000}" name="Column3282" dataDxfId="13121"/>
    <tableColumn id="3288" xr3:uid="{00000000-0010-0000-0300-0000D80C0000}" name="Column3283" dataDxfId="13120"/>
    <tableColumn id="3289" xr3:uid="{00000000-0010-0000-0300-0000D90C0000}" name="Column3284" dataDxfId="13119"/>
    <tableColumn id="3290" xr3:uid="{00000000-0010-0000-0300-0000DA0C0000}" name="Column3285" dataDxfId="13118"/>
    <tableColumn id="3291" xr3:uid="{00000000-0010-0000-0300-0000DB0C0000}" name="Column3286" dataDxfId="13117"/>
    <tableColumn id="3292" xr3:uid="{00000000-0010-0000-0300-0000DC0C0000}" name="Column3287" dataDxfId="13116"/>
    <tableColumn id="3293" xr3:uid="{00000000-0010-0000-0300-0000DD0C0000}" name="Column3288" dataDxfId="13115"/>
    <tableColumn id="3294" xr3:uid="{00000000-0010-0000-0300-0000DE0C0000}" name="Column3289" dataDxfId="13114"/>
    <tableColumn id="3295" xr3:uid="{00000000-0010-0000-0300-0000DF0C0000}" name="Column3290" dataDxfId="13113"/>
    <tableColumn id="3296" xr3:uid="{00000000-0010-0000-0300-0000E00C0000}" name="Column3291" dataDxfId="13112"/>
    <tableColumn id="3297" xr3:uid="{00000000-0010-0000-0300-0000E10C0000}" name="Column3292" dataDxfId="13111"/>
    <tableColumn id="3298" xr3:uid="{00000000-0010-0000-0300-0000E20C0000}" name="Column3293" dataDxfId="13110"/>
    <tableColumn id="3299" xr3:uid="{00000000-0010-0000-0300-0000E30C0000}" name="Column3294" dataDxfId="13109"/>
    <tableColumn id="3300" xr3:uid="{00000000-0010-0000-0300-0000E40C0000}" name="Column3295" dataDxfId="13108"/>
    <tableColumn id="3301" xr3:uid="{00000000-0010-0000-0300-0000E50C0000}" name="Column3296" dataDxfId="13107"/>
    <tableColumn id="3302" xr3:uid="{00000000-0010-0000-0300-0000E60C0000}" name="Column3297" dataDxfId="13106"/>
    <tableColumn id="3303" xr3:uid="{00000000-0010-0000-0300-0000E70C0000}" name="Column3298" dataDxfId="13105"/>
    <tableColumn id="3304" xr3:uid="{00000000-0010-0000-0300-0000E80C0000}" name="Column3299" dataDxfId="13104"/>
    <tableColumn id="3305" xr3:uid="{00000000-0010-0000-0300-0000E90C0000}" name="Column3300" dataDxfId="13103"/>
    <tableColumn id="3306" xr3:uid="{00000000-0010-0000-0300-0000EA0C0000}" name="Column3301" dataDxfId="13102"/>
    <tableColumn id="3307" xr3:uid="{00000000-0010-0000-0300-0000EB0C0000}" name="Column3302" dataDxfId="13101"/>
    <tableColumn id="3308" xr3:uid="{00000000-0010-0000-0300-0000EC0C0000}" name="Column3303" dataDxfId="13100"/>
    <tableColumn id="3309" xr3:uid="{00000000-0010-0000-0300-0000ED0C0000}" name="Column3304" dataDxfId="13099"/>
    <tableColumn id="3310" xr3:uid="{00000000-0010-0000-0300-0000EE0C0000}" name="Column3305" dataDxfId="13098"/>
    <tableColumn id="3311" xr3:uid="{00000000-0010-0000-0300-0000EF0C0000}" name="Column3306" dataDxfId="13097"/>
    <tableColumn id="3312" xr3:uid="{00000000-0010-0000-0300-0000F00C0000}" name="Column3307" dataDxfId="13096"/>
    <tableColumn id="3313" xr3:uid="{00000000-0010-0000-0300-0000F10C0000}" name="Column3308" dataDxfId="13095"/>
    <tableColumn id="3314" xr3:uid="{00000000-0010-0000-0300-0000F20C0000}" name="Column3309" dataDxfId="13094"/>
    <tableColumn id="3315" xr3:uid="{00000000-0010-0000-0300-0000F30C0000}" name="Column3310" dataDxfId="13093"/>
    <tableColumn id="3316" xr3:uid="{00000000-0010-0000-0300-0000F40C0000}" name="Column3311" dataDxfId="13092"/>
    <tableColumn id="3317" xr3:uid="{00000000-0010-0000-0300-0000F50C0000}" name="Column3312" dataDxfId="13091"/>
    <tableColumn id="3318" xr3:uid="{00000000-0010-0000-0300-0000F60C0000}" name="Column3313" dataDxfId="13090"/>
    <tableColumn id="3319" xr3:uid="{00000000-0010-0000-0300-0000F70C0000}" name="Column3314" dataDxfId="13089"/>
    <tableColumn id="3320" xr3:uid="{00000000-0010-0000-0300-0000F80C0000}" name="Column3315" dataDxfId="13088"/>
    <tableColumn id="3321" xr3:uid="{00000000-0010-0000-0300-0000F90C0000}" name="Column3316" dataDxfId="13087"/>
    <tableColumn id="3322" xr3:uid="{00000000-0010-0000-0300-0000FA0C0000}" name="Column3317" dataDxfId="13086"/>
    <tableColumn id="3323" xr3:uid="{00000000-0010-0000-0300-0000FB0C0000}" name="Column3318" dataDxfId="13085"/>
    <tableColumn id="3324" xr3:uid="{00000000-0010-0000-0300-0000FC0C0000}" name="Column3319" dataDxfId="13084"/>
    <tableColumn id="3325" xr3:uid="{00000000-0010-0000-0300-0000FD0C0000}" name="Column3320" dataDxfId="13083"/>
    <tableColumn id="3326" xr3:uid="{00000000-0010-0000-0300-0000FE0C0000}" name="Column3321" dataDxfId="13082"/>
    <tableColumn id="3327" xr3:uid="{00000000-0010-0000-0300-0000FF0C0000}" name="Column3322" dataDxfId="13081"/>
    <tableColumn id="3328" xr3:uid="{00000000-0010-0000-0300-0000000D0000}" name="Column3323" dataDxfId="13080"/>
    <tableColumn id="3329" xr3:uid="{00000000-0010-0000-0300-0000010D0000}" name="Column3324" dataDxfId="13079"/>
    <tableColumn id="3330" xr3:uid="{00000000-0010-0000-0300-0000020D0000}" name="Column3325" dataDxfId="13078"/>
    <tableColumn id="3331" xr3:uid="{00000000-0010-0000-0300-0000030D0000}" name="Column3326" dataDxfId="13077"/>
    <tableColumn id="3332" xr3:uid="{00000000-0010-0000-0300-0000040D0000}" name="Column3327" dataDxfId="13076"/>
    <tableColumn id="3333" xr3:uid="{00000000-0010-0000-0300-0000050D0000}" name="Column3328" dataDxfId="13075"/>
    <tableColumn id="3334" xr3:uid="{00000000-0010-0000-0300-0000060D0000}" name="Column3329" dataDxfId="13074"/>
    <tableColumn id="3335" xr3:uid="{00000000-0010-0000-0300-0000070D0000}" name="Column3330" dataDxfId="13073"/>
    <tableColumn id="3336" xr3:uid="{00000000-0010-0000-0300-0000080D0000}" name="Column3331" dataDxfId="13072"/>
    <tableColumn id="3337" xr3:uid="{00000000-0010-0000-0300-0000090D0000}" name="Column3332" dataDxfId="13071"/>
    <tableColumn id="3338" xr3:uid="{00000000-0010-0000-0300-00000A0D0000}" name="Column3333" dataDxfId="13070"/>
    <tableColumn id="3339" xr3:uid="{00000000-0010-0000-0300-00000B0D0000}" name="Column3334" dataDxfId="13069"/>
    <tableColumn id="3340" xr3:uid="{00000000-0010-0000-0300-00000C0D0000}" name="Column3335" dataDxfId="13068"/>
    <tableColumn id="3341" xr3:uid="{00000000-0010-0000-0300-00000D0D0000}" name="Column3336" dataDxfId="13067"/>
    <tableColumn id="3342" xr3:uid="{00000000-0010-0000-0300-00000E0D0000}" name="Column3337" dataDxfId="13066"/>
    <tableColumn id="3343" xr3:uid="{00000000-0010-0000-0300-00000F0D0000}" name="Column3338" dataDxfId="13065"/>
    <tableColumn id="3344" xr3:uid="{00000000-0010-0000-0300-0000100D0000}" name="Column3339" dataDxfId="13064"/>
    <tableColumn id="3345" xr3:uid="{00000000-0010-0000-0300-0000110D0000}" name="Column3340" dataDxfId="13063"/>
    <tableColumn id="3346" xr3:uid="{00000000-0010-0000-0300-0000120D0000}" name="Column3341" dataDxfId="13062"/>
    <tableColumn id="3347" xr3:uid="{00000000-0010-0000-0300-0000130D0000}" name="Column3342" dataDxfId="13061"/>
    <tableColumn id="3348" xr3:uid="{00000000-0010-0000-0300-0000140D0000}" name="Column3343" dataDxfId="13060"/>
    <tableColumn id="3349" xr3:uid="{00000000-0010-0000-0300-0000150D0000}" name="Column3344" dataDxfId="13059"/>
    <tableColumn id="3350" xr3:uid="{00000000-0010-0000-0300-0000160D0000}" name="Column3345" dataDxfId="13058"/>
    <tableColumn id="3351" xr3:uid="{00000000-0010-0000-0300-0000170D0000}" name="Column3346" dataDxfId="13057"/>
    <tableColumn id="3352" xr3:uid="{00000000-0010-0000-0300-0000180D0000}" name="Column3347" dataDxfId="13056"/>
    <tableColumn id="3353" xr3:uid="{00000000-0010-0000-0300-0000190D0000}" name="Column3348" dataDxfId="13055"/>
    <tableColumn id="3354" xr3:uid="{00000000-0010-0000-0300-00001A0D0000}" name="Column3349" dataDxfId="13054"/>
    <tableColumn id="3355" xr3:uid="{00000000-0010-0000-0300-00001B0D0000}" name="Column3350" dataDxfId="13053"/>
    <tableColumn id="3356" xr3:uid="{00000000-0010-0000-0300-00001C0D0000}" name="Column3351" dataDxfId="13052"/>
    <tableColumn id="3357" xr3:uid="{00000000-0010-0000-0300-00001D0D0000}" name="Column3352" dataDxfId="13051"/>
    <tableColumn id="3358" xr3:uid="{00000000-0010-0000-0300-00001E0D0000}" name="Column3353" dataDxfId="13050"/>
    <tableColumn id="3359" xr3:uid="{00000000-0010-0000-0300-00001F0D0000}" name="Column3354" dataDxfId="13049"/>
    <tableColumn id="3360" xr3:uid="{00000000-0010-0000-0300-0000200D0000}" name="Column3355" dataDxfId="13048"/>
    <tableColumn id="3361" xr3:uid="{00000000-0010-0000-0300-0000210D0000}" name="Column3356" dataDxfId="13047"/>
    <tableColumn id="3362" xr3:uid="{00000000-0010-0000-0300-0000220D0000}" name="Column3357" dataDxfId="13046"/>
    <tableColumn id="3363" xr3:uid="{00000000-0010-0000-0300-0000230D0000}" name="Column3358" dataDxfId="13045"/>
    <tableColumn id="3364" xr3:uid="{00000000-0010-0000-0300-0000240D0000}" name="Column3359" dataDxfId="13044"/>
    <tableColumn id="3365" xr3:uid="{00000000-0010-0000-0300-0000250D0000}" name="Column3360" dataDxfId="13043"/>
    <tableColumn id="3366" xr3:uid="{00000000-0010-0000-0300-0000260D0000}" name="Column3361" dataDxfId="13042"/>
    <tableColumn id="3367" xr3:uid="{00000000-0010-0000-0300-0000270D0000}" name="Column3362" dataDxfId="13041"/>
    <tableColumn id="3368" xr3:uid="{00000000-0010-0000-0300-0000280D0000}" name="Column3363" dataDxfId="13040"/>
    <tableColumn id="3369" xr3:uid="{00000000-0010-0000-0300-0000290D0000}" name="Column3364" dataDxfId="13039"/>
    <tableColumn id="3370" xr3:uid="{00000000-0010-0000-0300-00002A0D0000}" name="Column3365" dataDxfId="13038"/>
    <tableColumn id="3371" xr3:uid="{00000000-0010-0000-0300-00002B0D0000}" name="Column3366" dataDxfId="13037"/>
    <tableColumn id="3372" xr3:uid="{00000000-0010-0000-0300-00002C0D0000}" name="Column3367" dataDxfId="13036"/>
    <tableColumn id="3373" xr3:uid="{00000000-0010-0000-0300-00002D0D0000}" name="Column3368" dataDxfId="13035"/>
    <tableColumn id="3374" xr3:uid="{00000000-0010-0000-0300-00002E0D0000}" name="Column3369" dataDxfId="13034"/>
    <tableColumn id="3375" xr3:uid="{00000000-0010-0000-0300-00002F0D0000}" name="Column3370" dataDxfId="13033"/>
    <tableColumn id="3376" xr3:uid="{00000000-0010-0000-0300-0000300D0000}" name="Column3371" dataDxfId="13032"/>
    <tableColumn id="3377" xr3:uid="{00000000-0010-0000-0300-0000310D0000}" name="Column3372" dataDxfId="13031"/>
    <tableColumn id="3378" xr3:uid="{00000000-0010-0000-0300-0000320D0000}" name="Column3373" dataDxfId="13030"/>
    <tableColumn id="3379" xr3:uid="{00000000-0010-0000-0300-0000330D0000}" name="Column3374" dataDxfId="13029"/>
    <tableColumn id="3380" xr3:uid="{00000000-0010-0000-0300-0000340D0000}" name="Column3375" dataDxfId="13028"/>
    <tableColumn id="3381" xr3:uid="{00000000-0010-0000-0300-0000350D0000}" name="Column3376" dataDxfId="13027"/>
    <tableColumn id="3382" xr3:uid="{00000000-0010-0000-0300-0000360D0000}" name="Column3377" dataDxfId="13026"/>
    <tableColumn id="3383" xr3:uid="{00000000-0010-0000-0300-0000370D0000}" name="Column3378" dataDxfId="13025"/>
    <tableColumn id="3384" xr3:uid="{00000000-0010-0000-0300-0000380D0000}" name="Column3379" dataDxfId="13024"/>
    <tableColumn id="3385" xr3:uid="{00000000-0010-0000-0300-0000390D0000}" name="Column3380" dataDxfId="13023"/>
    <tableColumn id="3386" xr3:uid="{00000000-0010-0000-0300-00003A0D0000}" name="Column3381" dataDxfId="13022"/>
    <tableColumn id="3387" xr3:uid="{00000000-0010-0000-0300-00003B0D0000}" name="Column3382" dataDxfId="13021"/>
    <tableColumn id="3388" xr3:uid="{00000000-0010-0000-0300-00003C0D0000}" name="Column3383" dataDxfId="13020"/>
    <tableColumn id="3389" xr3:uid="{00000000-0010-0000-0300-00003D0D0000}" name="Column3384" dataDxfId="13019"/>
    <tableColumn id="3390" xr3:uid="{00000000-0010-0000-0300-00003E0D0000}" name="Column3385" dataDxfId="13018"/>
    <tableColumn id="3391" xr3:uid="{00000000-0010-0000-0300-00003F0D0000}" name="Column3386" dataDxfId="13017"/>
    <tableColumn id="3392" xr3:uid="{00000000-0010-0000-0300-0000400D0000}" name="Column3387" dataDxfId="13016"/>
    <tableColumn id="3393" xr3:uid="{00000000-0010-0000-0300-0000410D0000}" name="Column3388" dataDxfId="13015"/>
    <tableColumn id="3394" xr3:uid="{00000000-0010-0000-0300-0000420D0000}" name="Column3389" dataDxfId="13014"/>
    <tableColumn id="3395" xr3:uid="{00000000-0010-0000-0300-0000430D0000}" name="Column3390" dataDxfId="13013"/>
    <tableColumn id="3396" xr3:uid="{00000000-0010-0000-0300-0000440D0000}" name="Column3391" dataDxfId="13012"/>
    <tableColumn id="3397" xr3:uid="{00000000-0010-0000-0300-0000450D0000}" name="Column3392" dataDxfId="13011"/>
    <tableColumn id="3398" xr3:uid="{00000000-0010-0000-0300-0000460D0000}" name="Column3393" dataDxfId="13010"/>
    <tableColumn id="3399" xr3:uid="{00000000-0010-0000-0300-0000470D0000}" name="Column3394" dataDxfId="13009"/>
    <tableColumn id="3400" xr3:uid="{00000000-0010-0000-0300-0000480D0000}" name="Column3395" dataDxfId="13008"/>
    <tableColumn id="3401" xr3:uid="{00000000-0010-0000-0300-0000490D0000}" name="Column3396" dataDxfId="13007"/>
    <tableColumn id="3402" xr3:uid="{00000000-0010-0000-0300-00004A0D0000}" name="Column3397" dataDxfId="13006"/>
    <tableColumn id="3403" xr3:uid="{00000000-0010-0000-0300-00004B0D0000}" name="Column3398" dataDxfId="13005"/>
    <tableColumn id="3404" xr3:uid="{00000000-0010-0000-0300-00004C0D0000}" name="Column3399" dataDxfId="13004"/>
    <tableColumn id="3405" xr3:uid="{00000000-0010-0000-0300-00004D0D0000}" name="Column3400" dataDxfId="13003"/>
    <tableColumn id="3406" xr3:uid="{00000000-0010-0000-0300-00004E0D0000}" name="Column3401" dataDxfId="13002"/>
    <tableColumn id="3407" xr3:uid="{00000000-0010-0000-0300-00004F0D0000}" name="Column3402" dataDxfId="13001"/>
    <tableColumn id="3408" xr3:uid="{00000000-0010-0000-0300-0000500D0000}" name="Column3403" dataDxfId="13000"/>
    <tableColumn id="3409" xr3:uid="{00000000-0010-0000-0300-0000510D0000}" name="Column3404" dataDxfId="12999"/>
    <tableColumn id="3410" xr3:uid="{00000000-0010-0000-0300-0000520D0000}" name="Column3405" dataDxfId="12998"/>
    <tableColumn id="3411" xr3:uid="{00000000-0010-0000-0300-0000530D0000}" name="Column3406" dataDxfId="12997"/>
    <tableColumn id="3412" xr3:uid="{00000000-0010-0000-0300-0000540D0000}" name="Column3407" dataDxfId="12996"/>
    <tableColumn id="3413" xr3:uid="{00000000-0010-0000-0300-0000550D0000}" name="Column3408" dataDxfId="12995"/>
    <tableColumn id="3414" xr3:uid="{00000000-0010-0000-0300-0000560D0000}" name="Column3409" dataDxfId="12994"/>
    <tableColumn id="3415" xr3:uid="{00000000-0010-0000-0300-0000570D0000}" name="Column3410" dataDxfId="12993"/>
    <tableColumn id="3416" xr3:uid="{00000000-0010-0000-0300-0000580D0000}" name="Column3411" dataDxfId="12992"/>
    <tableColumn id="3417" xr3:uid="{00000000-0010-0000-0300-0000590D0000}" name="Column3412" dataDxfId="12991"/>
    <tableColumn id="3418" xr3:uid="{00000000-0010-0000-0300-00005A0D0000}" name="Column3413" dataDxfId="12990"/>
    <tableColumn id="3419" xr3:uid="{00000000-0010-0000-0300-00005B0D0000}" name="Column3414" dataDxfId="12989"/>
    <tableColumn id="3420" xr3:uid="{00000000-0010-0000-0300-00005C0D0000}" name="Column3415" dataDxfId="12988"/>
    <tableColumn id="3421" xr3:uid="{00000000-0010-0000-0300-00005D0D0000}" name="Column3416" dataDxfId="12987"/>
    <tableColumn id="3422" xr3:uid="{00000000-0010-0000-0300-00005E0D0000}" name="Column3417" dataDxfId="12986"/>
    <tableColumn id="3423" xr3:uid="{00000000-0010-0000-0300-00005F0D0000}" name="Column3418" dataDxfId="12985"/>
    <tableColumn id="3424" xr3:uid="{00000000-0010-0000-0300-0000600D0000}" name="Column3419" dataDxfId="12984"/>
    <tableColumn id="3425" xr3:uid="{00000000-0010-0000-0300-0000610D0000}" name="Column3420" dataDxfId="12983"/>
    <tableColumn id="3426" xr3:uid="{00000000-0010-0000-0300-0000620D0000}" name="Column3421" dataDxfId="12982"/>
    <tableColumn id="3427" xr3:uid="{00000000-0010-0000-0300-0000630D0000}" name="Column3422" dataDxfId="12981"/>
    <tableColumn id="3428" xr3:uid="{00000000-0010-0000-0300-0000640D0000}" name="Column3423" dataDxfId="12980"/>
    <tableColumn id="3429" xr3:uid="{00000000-0010-0000-0300-0000650D0000}" name="Column3424" dataDxfId="12979"/>
    <tableColumn id="3430" xr3:uid="{00000000-0010-0000-0300-0000660D0000}" name="Column3425" dataDxfId="12978"/>
    <tableColumn id="3431" xr3:uid="{00000000-0010-0000-0300-0000670D0000}" name="Column3426" dataDxfId="12977"/>
    <tableColumn id="3432" xr3:uid="{00000000-0010-0000-0300-0000680D0000}" name="Column3427" dataDxfId="12976"/>
    <tableColumn id="3433" xr3:uid="{00000000-0010-0000-0300-0000690D0000}" name="Column3428" dataDxfId="12975"/>
    <tableColumn id="3434" xr3:uid="{00000000-0010-0000-0300-00006A0D0000}" name="Column3429" dataDxfId="12974"/>
    <tableColumn id="3435" xr3:uid="{00000000-0010-0000-0300-00006B0D0000}" name="Column3430" dataDxfId="12973"/>
    <tableColumn id="3436" xr3:uid="{00000000-0010-0000-0300-00006C0D0000}" name="Column3431" dataDxfId="12972"/>
    <tableColumn id="3437" xr3:uid="{00000000-0010-0000-0300-00006D0D0000}" name="Column3432" dataDxfId="12971"/>
    <tableColumn id="3438" xr3:uid="{00000000-0010-0000-0300-00006E0D0000}" name="Column3433" dataDxfId="12970"/>
    <tableColumn id="3439" xr3:uid="{00000000-0010-0000-0300-00006F0D0000}" name="Column3434" dataDxfId="12969"/>
    <tableColumn id="3440" xr3:uid="{00000000-0010-0000-0300-0000700D0000}" name="Column3435" dataDxfId="12968"/>
    <tableColumn id="3441" xr3:uid="{00000000-0010-0000-0300-0000710D0000}" name="Column3436" dataDxfId="12967"/>
    <tableColumn id="3442" xr3:uid="{00000000-0010-0000-0300-0000720D0000}" name="Column3437" dataDxfId="12966"/>
    <tableColumn id="3443" xr3:uid="{00000000-0010-0000-0300-0000730D0000}" name="Column3438" dataDxfId="12965"/>
    <tableColumn id="3444" xr3:uid="{00000000-0010-0000-0300-0000740D0000}" name="Column3439" dataDxfId="12964"/>
    <tableColumn id="3445" xr3:uid="{00000000-0010-0000-0300-0000750D0000}" name="Column3440" dataDxfId="12963"/>
    <tableColumn id="3446" xr3:uid="{00000000-0010-0000-0300-0000760D0000}" name="Column3441" dataDxfId="12962"/>
    <tableColumn id="3447" xr3:uid="{00000000-0010-0000-0300-0000770D0000}" name="Column3442" dataDxfId="12961"/>
    <tableColumn id="3448" xr3:uid="{00000000-0010-0000-0300-0000780D0000}" name="Column3443" dataDxfId="12960"/>
    <tableColumn id="3449" xr3:uid="{00000000-0010-0000-0300-0000790D0000}" name="Column3444" dataDxfId="12959"/>
    <tableColumn id="3450" xr3:uid="{00000000-0010-0000-0300-00007A0D0000}" name="Column3445" dataDxfId="12958"/>
    <tableColumn id="3451" xr3:uid="{00000000-0010-0000-0300-00007B0D0000}" name="Column3446" dataDxfId="12957"/>
    <tableColumn id="3452" xr3:uid="{00000000-0010-0000-0300-00007C0D0000}" name="Column3447" dataDxfId="12956"/>
    <tableColumn id="3453" xr3:uid="{00000000-0010-0000-0300-00007D0D0000}" name="Column3448" dataDxfId="12955"/>
    <tableColumn id="3454" xr3:uid="{00000000-0010-0000-0300-00007E0D0000}" name="Column3449" dataDxfId="12954"/>
    <tableColumn id="3455" xr3:uid="{00000000-0010-0000-0300-00007F0D0000}" name="Column3450" dataDxfId="12953"/>
    <tableColumn id="3456" xr3:uid="{00000000-0010-0000-0300-0000800D0000}" name="Column3451" dataDxfId="12952"/>
    <tableColumn id="3457" xr3:uid="{00000000-0010-0000-0300-0000810D0000}" name="Column3452" dataDxfId="12951"/>
    <tableColumn id="3458" xr3:uid="{00000000-0010-0000-0300-0000820D0000}" name="Column3453" dataDxfId="12950"/>
    <tableColumn id="3459" xr3:uid="{00000000-0010-0000-0300-0000830D0000}" name="Column3454" dataDxfId="12949"/>
    <tableColumn id="3460" xr3:uid="{00000000-0010-0000-0300-0000840D0000}" name="Column3455" dataDxfId="12948"/>
    <tableColumn id="3461" xr3:uid="{00000000-0010-0000-0300-0000850D0000}" name="Column3456" dataDxfId="12947"/>
    <tableColumn id="3462" xr3:uid="{00000000-0010-0000-0300-0000860D0000}" name="Column3457" dataDxfId="12946"/>
    <tableColumn id="3463" xr3:uid="{00000000-0010-0000-0300-0000870D0000}" name="Column3458" dataDxfId="12945"/>
    <tableColumn id="3464" xr3:uid="{00000000-0010-0000-0300-0000880D0000}" name="Column3459" dataDxfId="12944"/>
    <tableColumn id="3465" xr3:uid="{00000000-0010-0000-0300-0000890D0000}" name="Column3460" dataDxfId="12943"/>
    <tableColumn id="3466" xr3:uid="{00000000-0010-0000-0300-00008A0D0000}" name="Column3461" dataDxfId="12942"/>
    <tableColumn id="3467" xr3:uid="{00000000-0010-0000-0300-00008B0D0000}" name="Column3462" dataDxfId="12941"/>
    <tableColumn id="3468" xr3:uid="{00000000-0010-0000-0300-00008C0D0000}" name="Column3463" dataDxfId="12940"/>
    <tableColumn id="3469" xr3:uid="{00000000-0010-0000-0300-00008D0D0000}" name="Column3464" dataDxfId="12939"/>
    <tableColumn id="3470" xr3:uid="{00000000-0010-0000-0300-00008E0D0000}" name="Column3465" dataDxfId="12938"/>
    <tableColumn id="3471" xr3:uid="{00000000-0010-0000-0300-00008F0D0000}" name="Column3466" dataDxfId="12937"/>
    <tableColumn id="3472" xr3:uid="{00000000-0010-0000-0300-0000900D0000}" name="Column3467" dataDxfId="12936"/>
    <tableColumn id="3473" xr3:uid="{00000000-0010-0000-0300-0000910D0000}" name="Column3468" dataDxfId="12935"/>
    <tableColumn id="3474" xr3:uid="{00000000-0010-0000-0300-0000920D0000}" name="Column3469" dataDxfId="12934"/>
    <tableColumn id="3475" xr3:uid="{00000000-0010-0000-0300-0000930D0000}" name="Column3470" dataDxfId="12933"/>
    <tableColumn id="3476" xr3:uid="{00000000-0010-0000-0300-0000940D0000}" name="Column3471" dataDxfId="12932"/>
    <tableColumn id="3477" xr3:uid="{00000000-0010-0000-0300-0000950D0000}" name="Column3472" dataDxfId="12931"/>
    <tableColumn id="3478" xr3:uid="{00000000-0010-0000-0300-0000960D0000}" name="Column3473" dataDxfId="12930"/>
    <tableColumn id="3479" xr3:uid="{00000000-0010-0000-0300-0000970D0000}" name="Column3474" dataDxfId="12929"/>
    <tableColumn id="3480" xr3:uid="{00000000-0010-0000-0300-0000980D0000}" name="Column3475" dataDxfId="12928"/>
    <tableColumn id="3481" xr3:uid="{00000000-0010-0000-0300-0000990D0000}" name="Column3476" dataDxfId="12927"/>
    <tableColumn id="3482" xr3:uid="{00000000-0010-0000-0300-00009A0D0000}" name="Column3477" dataDxfId="12926"/>
    <tableColumn id="3483" xr3:uid="{00000000-0010-0000-0300-00009B0D0000}" name="Column3478" dataDxfId="12925"/>
    <tableColumn id="3484" xr3:uid="{00000000-0010-0000-0300-00009C0D0000}" name="Column3479" dataDxfId="12924"/>
    <tableColumn id="3485" xr3:uid="{00000000-0010-0000-0300-00009D0D0000}" name="Column3480" dataDxfId="12923"/>
    <tableColumn id="3486" xr3:uid="{00000000-0010-0000-0300-00009E0D0000}" name="Column3481" dataDxfId="12922"/>
    <tableColumn id="3487" xr3:uid="{00000000-0010-0000-0300-00009F0D0000}" name="Column3482" dataDxfId="12921"/>
    <tableColumn id="3488" xr3:uid="{00000000-0010-0000-0300-0000A00D0000}" name="Column3483" dataDxfId="12920"/>
    <tableColumn id="3489" xr3:uid="{00000000-0010-0000-0300-0000A10D0000}" name="Column3484" dataDxfId="12919"/>
    <tableColumn id="3490" xr3:uid="{00000000-0010-0000-0300-0000A20D0000}" name="Column3485" dataDxfId="12918"/>
    <tableColumn id="3491" xr3:uid="{00000000-0010-0000-0300-0000A30D0000}" name="Column3486" dataDxfId="12917"/>
    <tableColumn id="3492" xr3:uid="{00000000-0010-0000-0300-0000A40D0000}" name="Column3487" dataDxfId="12916"/>
    <tableColumn id="3493" xr3:uid="{00000000-0010-0000-0300-0000A50D0000}" name="Column3488" dataDxfId="12915"/>
    <tableColumn id="3494" xr3:uid="{00000000-0010-0000-0300-0000A60D0000}" name="Column3489" dataDxfId="12914"/>
    <tableColumn id="3495" xr3:uid="{00000000-0010-0000-0300-0000A70D0000}" name="Column3490" dataDxfId="12913"/>
    <tableColumn id="3496" xr3:uid="{00000000-0010-0000-0300-0000A80D0000}" name="Column3491" dataDxfId="12912"/>
    <tableColumn id="3497" xr3:uid="{00000000-0010-0000-0300-0000A90D0000}" name="Column3492" dataDxfId="12911"/>
    <tableColumn id="3498" xr3:uid="{00000000-0010-0000-0300-0000AA0D0000}" name="Column3493" dataDxfId="12910"/>
    <tableColumn id="3499" xr3:uid="{00000000-0010-0000-0300-0000AB0D0000}" name="Column3494" dataDxfId="12909"/>
    <tableColumn id="3500" xr3:uid="{00000000-0010-0000-0300-0000AC0D0000}" name="Column3495" dataDxfId="12908"/>
    <tableColumn id="3501" xr3:uid="{00000000-0010-0000-0300-0000AD0D0000}" name="Column3496" dataDxfId="12907"/>
    <tableColumn id="3502" xr3:uid="{00000000-0010-0000-0300-0000AE0D0000}" name="Column3497" dataDxfId="12906"/>
    <tableColumn id="3503" xr3:uid="{00000000-0010-0000-0300-0000AF0D0000}" name="Column3498" dataDxfId="12905"/>
    <tableColumn id="3504" xr3:uid="{00000000-0010-0000-0300-0000B00D0000}" name="Column3499" dataDxfId="12904"/>
    <tableColumn id="3505" xr3:uid="{00000000-0010-0000-0300-0000B10D0000}" name="Column3500" dataDxfId="12903"/>
    <tableColumn id="3506" xr3:uid="{00000000-0010-0000-0300-0000B20D0000}" name="Column3501" dataDxfId="12902"/>
    <tableColumn id="3507" xr3:uid="{00000000-0010-0000-0300-0000B30D0000}" name="Column3502" dataDxfId="12901"/>
    <tableColumn id="3508" xr3:uid="{00000000-0010-0000-0300-0000B40D0000}" name="Column3503" dataDxfId="12900"/>
    <tableColumn id="3509" xr3:uid="{00000000-0010-0000-0300-0000B50D0000}" name="Column3504" dataDxfId="12899"/>
    <tableColumn id="3510" xr3:uid="{00000000-0010-0000-0300-0000B60D0000}" name="Column3505" dataDxfId="12898"/>
    <tableColumn id="3511" xr3:uid="{00000000-0010-0000-0300-0000B70D0000}" name="Column3506" dataDxfId="12897"/>
    <tableColumn id="3512" xr3:uid="{00000000-0010-0000-0300-0000B80D0000}" name="Column3507" dataDxfId="12896"/>
    <tableColumn id="3513" xr3:uid="{00000000-0010-0000-0300-0000B90D0000}" name="Column3508" dataDxfId="12895"/>
    <tableColumn id="3514" xr3:uid="{00000000-0010-0000-0300-0000BA0D0000}" name="Column3509" dataDxfId="12894"/>
    <tableColumn id="3515" xr3:uid="{00000000-0010-0000-0300-0000BB0D0000}" name="Column3510" dataDxfId="12893"/>
    <tableColumn id="3516" xr3:uid="{00000000-0010-0000-0300-0000BC0D0000}" name="Column3511" dataDxfId="12892"/>
    <tableColumn id="3517" xr3:uid="{00000000-0010-0000-0300-0000BD0D0000}" name="Column3512" dataDxfId="12891"/>
    <tableColumn id="3518" xr3:uid="{00000000-0010-0000-0300-0000BE0D0000}" name="Column3513" dataDxfId="12890"/>
    <tableColumn id="3519" xr3:uid="{00000000-0010-0000-0300-0000BF0D0000}" name="Column3514" dataDxfId="12889"/>
    <tableColumn id="3520" xr3:uid="{00000000-0010-0000-0300-0000C00D0000}" name="Column3515" dataDxfId="12888"/>
    <tableColumn id="3521" xr3:uid="{00000000-0010-0000-0300-0000C10D0000}" name="Column3516" dataDxfId="12887"/>
    <tableColumn id="3522" xr3:uid="{00000000-0010-0000-0300-0000C20D0000}" name="Column3517" dataDxfId="12886"/>
    <tableColumn id="3523" xr3:uid="{00000000-0010-0000-0300-0000C30D0000}" name="Column3518" dataDxfId="12885"/>
    <tableColumn id="3524" xr3:uid="{00000000-0010-0000-0300-0000C40D0000}" name="Column3519" dataDxfId="12884"/>
    <tableColumn id="3525" xr3:uid="{00000000-0010-0000-0300-0000C50D0000}" name="Column3520" dataDxfId="12883"/>
    <tableColumn id="3526" xr3:uid="{00000000-0010-0000-0300-0000C60D0000}" name="Column3521" dataDxfId="12882"/>
    <tableColumn id="3527" xr3:uid="{00000000-0010-0000-0300-0000C70D0000}" name="Column3522" dataDxfId="12881"/>
    <tableColumn id="3528" xr3:uid="{00000000-0010-0000-0300-0000C80D0000}" name="Column3523" dataDxfId="12880"/>
    <tableColumn id="3529" xr3:uid="{00000000-0010-0000-0300-0000C90D0000}" name="Column3524" dataDxfId="12879"/>
    <tableColumn id="3530" xr3:uid="{00000000-0010-0000-0300-0000CA0D0000}" name="Column3525" dataDxfId="12878"/>
    <tableColumn id="3531" xr3:uid="{00000000-0010-0000-0300-0000CB0D0000}" name="Column3526" dataDxfId="12877"/>
    <tableColumn id="3532" xr3:uid="{00000000-0010-0000-0300-0000CC0D0000}" name="Column3527" dataDxfId="12876"/>
    <tableColumn id="3533" xr3:uid="{00000000-0010-0000-0300-0000CD0D0000}" name="Column3528" dataDxfId="12875"/>
    <tableColumn id="3534" xr3:uid="{00000000-0010-0000-0300-0000CE0D0000}" name="Column3529" dataDxfId="12874"/>
    <tableColumn id="3535" xr3:uid="{00000000-0010-0000-0300-0000CF0D0000}" name="Column3530" dataDxfId="12873"/>
    <tableColumn id="3536" xr3:uid="{00000000-0010-0000-0300-0000D00D0000}" name="Column3531" dataDxfId="12872"/>
    <tableColumn id="3537" xr3:uid="{00000000-0010-0000-0300-0000D10D0000}" name="Column3532" dataDxfId="12871"/>
    <tableColumn id="3538" xr3:uid="{00000000-0010-0000-0300-0000D20D0000}" name="Column3533" dataDxfId="12870"/>
    <tableColumn id="3539" xr3:uid="{00000000-0010-0000-0300-0000D30D0000}" name="Column3534" dataDxfId="12869"/>
    <tableColumn id="3540" xr3:uid="{00000000-0010-0000-0300-0000D40D0000}" name="Column3535" dataDxfId="12868"/>
    <tableColumn id="3541" xr3:uid="{00000000-0010-0000-0300-0000D50D0000}" name="Column3536" dataDxfId="12867"/>
    <tableColumn id="3542" xr3:uid="{00000000-0010-0000-0300-0000D60D0000}" name="Column3537" dataDxfId="12866"/>
    <tableColumn id="3543" xr3:uid="{00000000-0010-0000-0300-0000D70D0000}" name="Column3538" dataDxfId="12865"/>
    <tableColumn id="3544" xr3:uid="{00000000-0010-0000-0300-0000D80D0000}" name="Column3539" dataDxfId="12864"/>
    <tableColumn id="3545" xr3:uid="{00000000-0010-0000-0300-0000D90D0000}" name="Column3540" dataDxfId="12863"/>
    <tableColumn id="3546" xr3:uid="{00000000-0010-0000-0300-0000DA0D0000}" name="Column3541" dataDxfId="12862"/>
    <tableColumn id="3547" xr3:uid="{00000000-0010-0000-0300-0000DB0D0000}" name="Column3542" dataDxfId="12861"/>
    <tableColumn id="3548" xr3:uid="{00000000-0010-0000-0300-0000DC0D0000}" name="Column3543" dataDxfId="12860"/>
    <tableColumn id="3549" xr3:uid="{00000000-0010-0000-0300-0000DD0D0000}" name="Column3544" dataDxfId="12859"/>
    <tableColumn id="3550" xr3:uid="{00000000-0010-0000-0300-0000DE0D0000}" name="Column3545" dataDxfId="12858"/>
    <tableColumn id="3551" xr3:uid="{00000000-0010-0000-0300-0000DF0D0000}" name="Column3546" dataDxfId="12857"/>
    <tableColumn id="3552" xr3:uid="{00000000-0010-0000-0300-0000E00D0000}" name="Column3547" dataDxfId="12856"/>
    <tableColumn id="3553" xr3:uid="{00000000-0010-0000-0300-0000E10D0000}" name="Column3548" dataDxfId="12855"/>
    <tableColumn id="3554" xr3:uid="{00000000-0010-0000-0300-0000E20D0000}" name="Column3549" dataDxfId="12854"/>
    <tableColumn id="3555" xr3:uid="{00000000-0010-0000-0300-0000E30D0000}" name="Column3550" dataDxfId="12853"/>
    <tableColumn id="3556" xr3:uid="{00000000-0010-0000-0300-0000E40D0000}" name="Column3551" dataDxfId="12852"/>
    <tableColumn id="3557" xr3:uid="{00000000-0010-0000-0300-0000E50D0000}" name="Column3552" dataDxfId="12851"/>
    <tableColumn id="3558" xr3:uid="{00000000-0010-0000-0300-0000E60D0000}" name="Column3553" dataDxfId="12850"/>
    <tableColumn id="3559" xr3:uid="{00000000-0010-0000-0300-0000E70D0000}" name="Column3554" dataDxfId="12849"/>
    <tableColumn id="3560" xr3:uid="{00000000-0010-0000-0300-0000E80D0000}" name="Column3555" dataDxfId="12848"/>
    <tableColumn id="3561" xr3:uid="{00000000-0010-0000-0300-0000E90D0000}" name="Column3556" dataDxfId="12847"/>
    <tableColumn id="3562" xr3:uid="{00000000-0010-0000-0300-0000EA0D0000}" name="Column3557" dataDxfId="12846"/>
    <tableColumn id="3563" xr3:uid="{00000000-0010-0000-0300-0000EB0D0000}" name="Column3558" dataDxfId="12845"/>
    <tableColumn id="3564" xr3:uid="{00000000-0010-0000-0300-0000EC0D0000}" name="Column3559" dataDxfId="12844"/>
    <tableColumn id="3565" xr3:uid="{00000000-0010-0000-0300-0000ED0D0000}" name="Column3560" dataDxfId="12843"/>
    <tableColumn id="3566" xr3:uid="{00000000-0010-0000-0300-0000EE0D0000}" name="Column3561" dataDxfId="12842"/>
    <tableColumn id="3567" xr3:uid="{00000000-0010-0000-0300-0000EF0D0000}" name="Column3562" dataDxfId="12841"/>
    <tableColumn id="3568" xr3:uid="{00000000-0010-0000-0300-0000F00D0000}" name="Column3563" dataDxfId="12840"/>
    <tableColumn id="3569" xr3:uid="{00000000-0010-0000-0300-0000F10D0000}" name="Column3564" dataDxfId="12839"/>
    <tableColumn id="3570" xr3:uid="{00000000-0010-0000-0300-0000F20D0000}" name="Column3565" dataDxfId="12838"/>
    <tableColumn id="3571" xr3:uid="{00000000-0010-0000-0300-0000F30D0000}" name="Column3566" dataDxfId="12837"/>
    <tableColumn id="3572" xr3:uid="{00000000-0010-0000-0300-0000F40D0000}" name="Column3567" dataDxfId="12836"/>
    <tableColumn id="3573" xr3:uid="{00000000-0010-0000-0300-0000F50D0000}" name="Column3568" dataDxfId="12835"/>
    <tableColumn id="3574" xr3:uid="{00000000-0010-0000-0300-0000F60D0000}" name="Column3569" dataDxfId="12834"/>
    <tableColumn id="3575" xr3:uid="{00000000-0010-0000-0300-0000F70D0000}" name="Column3570" dataDxfId="12833"/>
    <tableColumn id="3576" xr3:uid="{00000000-0010-0000-0300-0000F80D0000}" name="Column3571" dataDxfId="12832"/>
    <tableColumn id="3577" xr3:uid="{00000000-0010-0000-0300-0000F90D0000}" name="Column3572" dataDxfId="12831"/>
    <tableColumn id="3578" xr3:uid="{00000000-0010-0000-0300-0000FA0D0000}" name="Column3573" dataDxfId="12830"/>
    <tableColumn id="3579" xr3:uid="{00000000-0010-0000-0300-0000FB0D0000}" name="Column3574" dataDxfId="12829"/>
    <tableColumn id="3580" xr3:uid="{00000000-0010-0000-0300-0000FC0D0000}" name="Column3575" dataDxfId="12828"/>
    <tableColumn id="3581" xr3:uid="{00000000-0010-0000-0300-0000FD0D0000}" name="Column3576" dataDxfId="12827"/>
    <tableColumn id="3582" xr3:uid="{00000000-0010-0000-0300-0000FE0D0000}" name="Column3577" dataDxfId="12826"/>
    <tableColumn id="3583" xr3:uid="{00000000-0010-0000-0300-0000FF0D0000}" name="Column3578" dataDxfId="12825"/>
    <tableColumn id="3584" xr3:uid="{00000000-0010-0000-0300-0000000E0000}" name="Column3579" dataDxfId="12824"/>
    <tableColumn id="3585" xr3:uid="{00000000-0010-0000-0300-0000010E0000}" name="Column3580" dataDxfId="12823"/>
    <tableColumn id="3586" xr3:uid="{00000000-0010-0000-0300-0000020E0000}" name="Column3581" dataDxfId="12822"/>
    <tableColumn id="3587" xr3:uid="{00000000-0010-0000-0300-0000030E0000}" name="Column3582" dataDxfId="12821"/>
    <tableColumn id="3588" xr3:uid="{00000000-0010-0000-0300-0000040E0000}" name="Column3583" dataDxfId="12820"/>
    <tableColumn id="3589" xr3:uid="{00000000-0010-0000-0300-0000050E0000}" name="Column3584" dataDxfId="12819"/>
    <tableColumn id="3590" xr3:uid="{00000000-0010-0000-0300-0000060E0000}" name="Column3585" dataDxfId="12818"/>
    <tableColumn id="3591" xr3:uid="{00000000-0010-0000-0300-0000070E0000}" name="Column3586" dataDxfId="12817"/>
    <tableColumn id="3592" xr3:uid="{00000000-0010-0000-0300-0000080E0000}" name="Column3587" dataDxfId="12816"/>
    <tableColumn id="3593" xr3:uid="{00000000-0010-0000-0300-0000090E0000}" name="Column3588" dataDxfId="12815"/>
    <tableColumn id="3594" xr3:uid="{00000000-0010-0000-0300-00000A0E0000}" name="Column3589" dataDxfId="12814"/>
    <tableColumn id="3595" xr3:uid="{00000000-0010-0000-0300-00000B0E0000}" name="Column3590" dataDxfId="12813"/>
    <tableColumn id="3596" xr3:uid="{00000000-0010-0000-0300-00000C0E0000}" name="Column3591" dataDxfId="12812"/>
    <tableColumn id="3597" xr3:uid="{00000000-0010-0000-0300-00000D0E0000}" name="Column3592" dataDxfId="12811"/>
    <tableColumn id="3598" xr3:uid="{00000000-0010-0000-0300-00000E0E0000}" name="Column3593" dataDxfId="12810"/>
    <tableColumn id="3599" xr3:uid="{00000000-0010-0000-0300-00000F0E0000}" name="Column3594" dataDxfId="12809"/>
    <tableColumn id="3600" xr3:uid="{00000000-0010-0000-0300-0000100E0000}" name="Column3595" dataDxfId="12808"/>
    <tableColumn id="3601" xr3:uid="{00000000-0010-0000-0300-0000110E0000}" name="Column3596" dataDxfId="12807"/>
    <tableColumn id="3602" xr3:uid="{00000000-0010-0000-0300-0000120E0000}" name="Column3597" dataDxfId="12806"/>
    <tableColumn id="3603" xr3:uid="{00000000-0010-0000-0300-0000130E0000}" name="Column3598" dataDxfId="12805"/>
    <tableColumn id="3604" xr3:uid="{00000000-0010-0000-0300-0000140E0000}" name="Column3599" dataDxfId="12804"/>
    <tableColumn id="3605" xr3:uid="{00000000-0010-0000-0300-0000150E0000}" name="Column3600" dataDxfId="12803"/>
    <tableColumn id="3606" xr3:uid="{00000000-0010-0000-0300-0000160E0000}" name="Column3601" dataDxfId="12802"/>
    <tableColumn id="3607" xr3:uid="{00000000-0010-0000-0300-0000170E0000}" name="Column3602" dataDxfId="12801"/>
    <tableColumn id="3608" xr3:uid="{00000000-0010-0000-0300-0000180E0000}" name="Column3603" dataDxfId="12800"/>
    <tableColumn id="3609" xr3:uid="{00000000-0010-0000-0300-0000190E0000}" name="Column3604" dataDxfId="12799"/>
    <tableColumn id="3610" xr3:uid="{00000000-0010-0000-0300-00001A0E0000}" name="Column3605" dataDxfId="12798"/>
    <tableColumn id="3611" xr3:uid="{00000000-0010-0000-0300-00001B0E0000}" name="Column3606" dataDxfId="12797"/>
    <tableColumn id="3612" xr3:uid="{00000000-0010-0000-0300-00001C0E0000}" name="Column3607" dataDxfId="12796"/>
    <tableColumn id="3613" xr3:uid="{00000000-0010-0000-0300-00001D0E0000}" name="Column3608" dataDxfId="12795"/>
    <tableColumn id="3614" xr3:uid="{00000000-0010-0000-0300-00001E0E0000}" name="Column3609" dataDxfId="12794"/>
    <tableColumn id="3615" xr3:uid="{00000000-0010-0000-0300-00001F0E0000}" name="Column3610" dataDxfId="12793"/>
    <tableColumn id="3616" xr3:uid="{00000000-0010-0000-0300-0000200E0000}" name="Column3611" dataDxfId="12792"/>
    <tableColumn id="3617" xr3:uid="{00000000-0010-0000-0300-0000210E0000}" name="Column3612" dataDxfId="12791"/>
    <tableColumn id="3618" xr3:uid="{00000000-0010-0000-0300-0000220E0000}" name="Column3613" dataDxfId="12790"/>
    <tableColumn id="3619" xr3:uid="{00000000-0010-0000-0300-0000230E0000}" name="Column3614" dataDxfId="12789"/>
    <tableColumn id="3620" xr3:uid="{00000000-0010-0000-0300-0000240E0000}" name="Column3615" dataDxfId="12788"/>
    <tableColumn id="3621" xr3:uid="{00000000-0010-0000-0300-0000250E0000}" name="Column3616" dataDxfId="12787"/>
    <tableColumn id="3622" xr3:uid="{00000000-0010-0000-0300-0000260E0000}" name="Column3617" dataDxfId="12786"/>
    <tableColumn id="3623" xr3:uid="{00000000-0010-0000-0300-0000270E0000}" name="Column3618" dataDxfId="12785"/>
    <tableColumn id="3624" xr3:uid="{00000000-0010-0000-0300-0000280E0000}" name="Column3619" dataDxfId="12784"/>
    <tableColumn id="3625" xr3:uid="{00000000-0010-0000-0300-0000290E0000}" name="Column3620" dataDxfId="12783"/>
    <tableColumn id="3626" xr3:uid="{00000000-0010-0000-0300-00002A0E0000}" name="Column3621" dataDxfId="12782"/>
    <tableColumn id="3627" xr3:uid="{00000000-0010-0000-0300-00002B0E0000}" name="Column3622" dataDxfId="12781"/>
    <tableColumn id="3628" xr3:uid="{00000000-0010-0000-0300-00002C0E0000}" name="Column3623" dataDxfId="12780"/>
    <tableColumn id="3629" xr3:uid="{00000000-0010-0000-0300-00002D0E0000}" name="Column3624" dataDxfId="12779"/>
    <tableColumn id="3630" xr3:uid="{00000000-0010-0000-0300-00002E0E0000}" name="Column3625" dataDxfId="12778"/>
    <tableColumn id="3631" xr3:uid="{00000000-0010-0000-0300-00002F0E0000}" name="Column3626" dataDxfId="12777"/>
    <tableColumn id="3632" xr3:uid="{00000000-0010-0000-0300-0000300E0000}" name="Column3627" dataDxfId="12776"/>
    <tableColumn id="3633" xr3:uid="{00000000-0010-0000-0300-0000310E0000}" name="Column3628" dataDxfId="12775"/>
    <tableColumn id="3634" xr3:uid="{00000000-0010-0000-0300-0000320E0000}" name="Column3629" dataDxfId="12774"/>
    <tableColumn id="3635" xr3:uid="{00000000-0010-0000-0300-0000330E0000}" name="Column3630" dataDxfId="12773"/>
    <tableColumn id="3636" xr3:uid="{00000000-0010-0000-0300-0000340E0000}" name="Column3631" dataDxfId="12772"/>
    <tableColumn id="3637" xr3:uid="{00000000-0010-0000-0300-0000350E0000}" name="Column3632" dataDxfId="12771"/>
    <tableColumn id="3638" xr3:uid="{00000000-0010-0000-0300-0000360E0000}" name="Column3633" dataDxfId="12770"/>
    <tableColumn id="3639" xr3:uid="{00000000-0010-0000-0300-0000370E0000}" name="Column3634" dataDxfId="12769"/>
    <tableColumn id="3640" xr3:uid="{00000000-0010-0000-0300-0000380E0000}" name="Column3635" dataDxfId="12768"/>
    <tableColumn id="3641" xr3:uid="{00000000-0010-0000-0300-0000390E0000}" name="Column3636" dataDxfId="12767"/>
    <tableColumn id="3642" xr3:uid="{00000000-0010-0000-0300-00003A0E0000}" name="Column3637" dataDxfId="12766"/>
    <tableColumn id="3643" xr3:uid="{00000000-0010-0000-0300-00003B0E0000}" name="Column3638" dataDxfId="12765"/>
    <tableColumn id="3644" xr3:uid="{00000000-0010-0000-0300-00003C0E0000}" name="Column3639" dataDxfId="12764"/>
    <tableColumn id="3645" xr3:uid="{00000000-0010-0000-0300-00003D0E0000}" name="Column3640" dataDxfId="12763"/>
    <tableColumn id="3646" xr3:uid="{00000000-0010-0000-0300-00003E0E0000}" name="Column3641" dataDxfId="12762"/>
    <tableColumn id="3647" xr3:uid="{00000000-0010-0000-0300-00003F0E0000}" name="Column3642" dataDxfId="12761"/>
    <tableColumn id="3648" xr3:uid="{00000000-0010-0000-0300-0000400E0000}" name="Column3643" dataDxfId="12760"/>
    <tableColumn id="3649" xr3:uid="{00000000-0010-0000-0300-0000410E0000}" name="Column3644" dataDxfId="12759"/>
    <tableColumn id="3650" xr3:uid="{00000000-0010-0000-0300-0000420E0000}" name="Column3645" dataDxfId="12758"/>
    <tableColumn id="3651" xr3:uid="{00000000-0010-0000-0300-0000430E0000}" name="Column3646" dataDxfId="12757"/>
    <tableColumn id="3652" xr3:uid="{00000000-0010-0000-0300-0000440E0000}" name="Column3647" dataDxfId="12756"/>
    <tableColumn id="3653" xr3:uid="{00000000-0010-0000-0300-0000450E0000}" name="Column3648" dataDxfId="12755"/>
    <tableColumn id="3654" xr3:uid="{00000000-0010-0000-0300-0000460E0000}" name="Column3649" dataDxfId="12754"/>
    <tableColumn id="3655" xr3:uid="{00000000-0010-0000-0300-0000470E0000}" name="Column3650" dataDxfId="12753"/>
    <tableColumn id="3656" xr3:uid="{00000000-0010-0000-0300-0000480E0000}" name="Column3651" dataDxfId="12752"/>
    <tableColumn id="3657" xr3:uid="{00000000-0010-0000-0300-0000490E0000}" name="Column3652" dataDxfId="12751"/>
    <tableColumn id="3658" xr3:uid="{00000000-0010-0000-0300-00004A0E0000}" name="Column3653" dataDxfId="12750"/>
    <tableColumn id="3659" xr3:uid="{00000000-0010-0000-0300-00004B0E0000}" name="Column3654" dataDxfId="12749"/>
    <tableColumn id="3660" xr3:uid="{00000000-0010-0000-0300-00004C0E0000}" name="Column3655" dataDxfId="12748"/>
    <tableColumn id="3661" xr3:uid="{00000000-0010-0000-0300-00004D0E0000}" name="Column3656" dataDxfId="12747"/>
    <tableColumn id="3662" xr3:uid="{00000000-0010-0000-0300-00004E0E0000}" name="Column3657" dataDxfId="12746"/>
    <tableColumn id="3663" xr3:uid="{00000000-0010-0000-0300-00004F0E0000}" name="Column3658" dataDxfId="12745"/>
    <tableColumn id="3664" xr3:uid="{00000000-0010-0000-0300-0000500E0000}" name="Column3659" dataDxfId="12744"/>
    <tableColumn id="3665" xr3:uid="{00000000-0010-0000-0300-0000510E0000}" name="Column3660" dataDxfId="12743"/>
    <tableColumn id="3666" xr3:uid="{00000000-0010-0000-0300-0000520E0000}" name="Column3661" dataDxfId="12742"/>
    <tableColumn id="3667" xr3:uid="{00000000-0010-0000-0300-0000530E0000}" name="Column3662" dataDxfId="12741"/>
    <tableColumn id="3668" xr3:uid="{00000000-0010-0000-0300-0000540E0000}" name="Column3663" dataDxfId="12740"/>
    <tableColumn id="3669" xr3:uid="{00000000-0010-0000-0300-0000550E0000}" name="Column3664" dataDxfId="12739"/>
    <tableColumn id="3670" xr3:uid="{00000000-0010-0000-0300-0000560E0000}" name="Column3665" dataDxfId="12738"/>
    <tableColumn id="3671" xr3:uid="{00000000-0010-0000-0300-0000570E0000}" name="Column3666" dataDxfId="12737"/>
    <tableColumn id="3672" xr3:uid="{00000000-0010-0000-0300-0000580E0000}" name="Column3667" dataDxfId="12736"/>
    <tableColumn id="3673" xr3:uid="{00000000-0010-0000-0300-0000590E0000}" name="Column3668" dataDxfId="12735"/>
    <tableColumn id="3674" xr3:uid="{00000000-0010-0000-0300-00005A0E0000}" name="Column3669" dataDxfId="12734"/>
    <tableColumn id="3675" xr3:uid="{00000000-0010-0000-0300-00005B0E0000}" name="Column3670" dataDxfId="12733"/>
    <tableColumn id="3676" xr3:uid="{00000000-0010-0000-0300-00005C0E0000}" name="Column3671" dataDxfId="12732"/>
    <tableColumn id="3677" xr3:uid="{00000000-0010-0000-0300-00005D0E0000}" name="Column3672" dataDxfId="12731"/>
    <tableColumn id="3678" xr3:uid="{00000000-0010-0000-0300-00005E0E0000}" name="Column3673" dataDxfId="12730"/>
    <tableColumn id="3679" xr3:uid="{00000000-0010-0000-0300-00005F0E0000}" name="Column3674" dataDxfId="12729"/>
    <tableColumn id="3680" xr3:uid="{00000000-0010-0000-0300-0000600E0000}" name="Column3675" dataDxfId="12728"/>
    <tableColumn id="3681" xr3:uid="{00000000-0010-0000-0300-0000610E0000}" name="Column3676" dataDxfId="12727"/>
    <tableColumn id="3682" xr3:uid="{00000000-0010-0000-0300-0000620E0000}" name="Column3677" dataDxfId="12726"/>
    <tableColumn id="3683" xr3:uid="{00000000-0010-0000-0300-0000630E0000}" name="Column3678" dataDxfId="12725"/>
    <tableColumn id="3684" xr3:uid="{00000000-0010-0000-0300-0000640E0000}" name="Column3679" dataDxfId="12724"/>
    <tableColumn id="3685" xr3:uid="{00000000-0010-0000-0300-0000650E0000}" name="Column3680" dataDxfId="12723"/>
    <tableColumn id="3686" xr3:uid="{00000000-0010-0000-0300-0000660E0000}" name="Column3681" dataDxfId="12722"/>
    <tableColumn id="3687" xr3:uid="{00000000-0010-0000-0300-0000670E0000}" name="Column3682" dataDxfId="12721"/>
    <tableColumn id="3688" xr3:uid="{00000000-0010-0000-0300-0000680E0000}" name="Column3683" dataDxfId="12720"/>
    <tableColumn id="3689" xr3:uid="{00000000-0010-0000-0300-0000690E0000}" name="Column3684" dataDxfId="12719"/>
    <tableColumn id="3690" xr3:uid="{00000000-0010-0000-0300-00006A0E0000}" name="Column3685" dataDxfId="12718"/>
    <tableColumn id="3691" xr3:uid="{00000000-0010-0000-0300-00006B0E0000}" name="Column3686" dataDxfId="12717"/>
    <tableColumn id="3692" xr3:uid="{00000000-0010-0000-0300-00006C0E0000}" name="Column3687" dataDxfId="12716"/>
    <tableColumn id="3693" xr3:uid="{00000000-0010-0000-0300-00006D0E0000}" name="Column3688" dataDxfId="12715"/>
    <tableColumn id="3694" xr3:uid="{00000000-0010-0000-0300-00006E0E0000}" name="Column3689" dataDxfId="12714"/>
    <tableColumn id="3695" xr3:uid="{00000000-0010-0000-0300-00006F0E0000}" name="Column3690" dataDxfId="12713"/>
    <tableColumn id="3696" xr3:uid="{00000000-0010-0000-0300-0000700E0000}" name="Column3691" dataDxfId="12712"/>
    <tableColumn id="3697" xr3:uid="{00000000-0010-0000-0300-0000710E0000}" name="Column3692" dataDxfId="12711"/>
    <tableColumn id="3698" xr3:uid="{00000000-0010-0000-0300-0000720E0000}" name="Column3693" dataDxfId="12710"/>
    <tableColumn id="3699" xr3:uid="{00000000-0010-0000-0300-0000730E0000}" name="Column3694" dataDxfId="12709"/>
    <tableColumn id="3700" xr3:uid="{00000000-0010-0000-0300-0000740E0000}" name="Column3695" dataDxfId="12708"/>
    <tableColumn id="3701" xr3:uid="{00000000-0010-0000-0300-0000750E0000}" name="Column3696" dataDxfId="12707"/>
    <tableColumn id="3702" xr3:uid="{00000000-0010-0000-0300-0000760E0000}" name="Column3697" dataDxfId="12706"/>
    <tableColumn id="3703" xr3:uid="{00000000-0010-0000-0300-0000770E0000}" name="Column3698" dataDxfId="12705"/>
    <tableColumn id="3704" xr3:uid="{00000000-0010-0000-0300-0000780E0000}" name="Column3699" dataDxfId="12704"/>
    <tableColumn id="3705" xr3:uid="{00000000-0010-0000-0300-0000790E0000}" name="Column3700" dataDxfId="12703"/>
    <tableColumn id="3706" xr3:uid="{00000000-0010-0000-0300-00007A0E0000}" name="Column3701" dataDxfId="12702"/>
    <tableColumn id="3707" xr3:uid="{00000000-0010-0000-0300-00007B0E0000}" name="Column3702" dataDxfId="12701"/>
    <tableColumn id="3708" xr3:uid="{00000000-0010-0000-0300-00007C0E0000}" name="Column3703" dataDxfId="12700"/>
    <tableColumn id="3709" xr3:uid="{00000000-0010-0000-0300-00007D0E0000}" name="Column3704" dataDxfId="12699"/>
    <tableColumn id="3710" xr3:uid="{00000000-0010-0000-0300-00007E0E0000}" name="Column3705" dataDxfId="12698"/>
    <tableColumn id="3711" xr3:uid="{00000000-0010-0000-0300-00007F0E0000}" name="Column3706" dataDxfId="12697"/>
    <tableColumn id="3712" xr3:uid="{00000000-0010-0000-0300-0000800E0000}" name="Column3707" dataDxfId="12696"/>
    <tableColumn id="3713" xr3:uid="{00000000-0010-0000-0300-0000810E0000}" name="Column3708" dataDxfId="12695"/>
    <tableColumn id="3714" xr3:uid="{00000000-0010-0000-0300-0000820E0000}" name="Column3709" dataDxfId="12694"/>
    <tableColumn id="3715" xr3:uid="{00000000-0010-0000-0300-0000830E0000}" name="Column3710" dataDxfId="12693"/>
    <tableColumn id="3716" xr3:uid="{00000000-0010-0000-0300-0000840E0000}" name="Column3711" dataDxfId="12692"/>
    <tableColumn id="3717" xr3:uid="{00000000-0010-0000-0300-0000850E0000}" name="Column3712" dataDxfId="12691"/>
    <tableColumn id="3718" xr3:uid="{00000000-0010-0000-0300-0000860E0000}" name="Column3713" dataDxfId="12690"/>
    <tableColumn id="3719" xr3:uid="{00000000-0010-0000-0300-0000870E0000}" name="Column3714" dataDxfId="12689"/>
    <tableColumn id="3720" xr3:uid="{00000000-0010-0000-0300-0000880E0000}" name="Column3715" dataDxfId="12688"/>
    <tableColumn id="3721" xr3:uid="{00000000-0010-0000-0300-0000890E0000}" name="Column3716" dataDxfId="12687"/>
    <tableColumn id="3722" xr3:uid="{00000000-0010-0000-0300-00008A0E0000}" name="Column3717" dataDxfId="12686"/>
    <tableColumn id="3723" xr3:uid="{00000000-0010-0000-0300-00008B0E0000}" name="Column3718" dataDxfId="12685"/>
    <tableColumn id="3724" xr3:uid="{00000000-0010-0000-0300-00008C0E0000}" name="Column3719" dataDxfId="12684"/>
    <tableColumn id="3725" xr3:uid="{00000000-0010-0000-0300-00008D0E0000}" name="Column3720" dataDxfId="12683"/>
    <tableColumn id="3726" xr3:uid="{00000000-0010-0000-0300-00008E0E0000}" name="Column3721" dataDxfId="12682"/>
    <tableColumn id="3727" xr3:uid="{00000000-0010-0000-0300-00008F0E0000}" name="Column3722" dataDxfId="12681"/>
    <tableColumn id="3728" xr3:uid="{00000000-0010-0000-0300-0000900E0000}" name="Column3723" dataDxfId="12680"/>
    <tableColumn id="3729" xr3:uid="{00000000-0010-0000-0300-0000910E0000}" name="Column3724" dataDxfId="12679"/>
    <tableColumn id="3730" xr3:uid="{00000000-0010-0000-0300-0000920E0000}" name="Column3725" dataDxfId="12678"/>
    <tableColumn id="3731" xr3:uid="{00000000-0010-0000-0300-0000930E0000}" name="Column3726" dataDxfId="12677"/>
    <tableColumn id="3732" xr3:uid="{00000000-0010-0000-0300-0000940E0000}" name="Column3727" dataDxfId="12676"/>
    <tableColumn id="3733" xr3:uid="{00000000-0010-0000-0300-0000950E0000}" name="Column3728" dataDxfId="12675"/>
    <tableColumn id="3734" xr3:uid="{00000000-0010-0000-0300-0000960E0000}" name="Column3729" dataDxfId="12674"/>
    <tableColumn id="3735" xr3:uid="{00000000-0010-0000-0300-0000970E0000}" name="Column3730" dataDxfId="12673"/>
    <tableColumn id="3736" xr3:uid="{00000000-0010-0000-0300-0000980E0000}" name="Column3731" dataDxfId="12672"/>
    <tableColumn id="3737" xr3:uid="{00000000-0010-0000-0300-0000990E0000}" name="Column3732" dataDxfId="12671"/>
    <tableColumn id="3738" xr3:uid="{00000000-0010-0000-0300-00009A0E0000}" name="Column3733" dataDxfId="12670"/>
    <tableColumn id="3739" xr3:uid="{00000000-0010-0000-0300-00009B0E0000}" name="Column3734" dataDxfId="12669"/>
    <tableColumn id="3740" xr3:uid="{00000000-0010-0000-0300-00009C0E0000}" name="Column3735" dataDxfId="12668"/>
    <tableColumn id="3741" xr3:uid="{00000000-0010-0000-0300-00009D0E0000}" name="Column3736" dataDxfId="12667"/>
    <tableColumn id="3742" xr3:uid="{00000000-0010-0000-0300-00009E0E0000}" name="Column3737" dataDxfId="12666"/>
    <tableColumn id="3743" xr3:uid="{00000000-0010-0000-0300-00009F0E0000}" name="Column3738" dataDxfId="12665"/>
    <tableColumn id="3744" xr3:uid="{00000000-0010-0000-0300-0000A00E0000}" name="Column3739" dataDxfId="12664"/>
    <tableColumn id="3745" xr3:uid="{00000000-0010-0000-0300-0000A10E0000}" name="Column3740" dataDxfId="12663"/>
    <tableColumn id="3746" xr3:uid="{00000000-0010-0000-0300-0000A20E0000}" name="Column3741" dataDxfId="12662"/>
    <tableColumn id="3747" xr3:uid="{00000000-0010-0000-0300-0000A30E0000}" name="Column3742" dataDxfId="12661"/>
    <tableColumn id="3748" xr3:uid="{00000000-0010-0000-0300-0000A40E0000}" name="Column3743" dataDxfId="12660"/>
    <tableColumn id="3749" xr3:uid="{00000000-0010-0000-0300-0000A50E0000}" name="Column3744" dataDxfId="12659"/>
    <tableColumn id="3750" xr3:uid="{00000000-0010-0000-0300-0000A60E0000}" name="Column3745" dataDxfId="12658"/>
    <tableColumn id="3751" xr3:uid="{00000000-0010-0000-0300-0000A70E0000}" name="Column3746" dataDxfId="12657"/>
    <tableColumn id="3752" xr3:uid="{00000000-0010-0000-0300-0000A80E0000}" name="Column3747" dataDxfId="12656"/>
    <tableColumn id="3753" xr3:uid="{00000000-0010-0000-0300-0000A90E0000}" name="Column3748" dataDxfId="12655"/>
    <tableColumn id="3754" xr3:uid="{00000000-0010-0000-0300-0000AA0E0000}" name="Column3749" dataDxfId="12654"/>
    <tableColumn id="3755" xr3:uid="{00000000-0010-0000-0300-0000AB0E0000}" name="Column3750" dataDxfId="12653"/>
    <tableColumn id="3756" xr3:uid="{00000000-0010-0000-0300-0000AC0E0000}" name="Column3751" dataDxfId="12652"/>
    <tableColumn id="3757" xr3:uid="{00000000-0010-0000-0300-0000AD0E0000}" name="Column3752" dataDxfId="12651"/>
    <tableColumn id="3758" xr3:uid="{00000000-0010-0000-0300-0000AE0E0000}" name="Column3753" dataDxfId="12650"/>
    <tableColumn id="3759" xr3:uid="{00000000-0010-0000-0300-0000AF0E0000}" name="Column3754" dataDxfId="12649"/>
    <tableColumn id="3760" xr3:uid="{00000000-0010-0000-0300-0000B00E0000}" name="Column3755" dataDxfId="12648"/>
    <tableColumn id="3761" xr3:uid="{00000000-0010-0000-0300-0000B10E0000}" name="Column3756" dataDxfId="12647"/>
    <tableColumn id="3762" xr3:uid="{00000000-0010-0000-0300-0000B20E0000}" name="Column3757" dataDxfId="12646"/>
    <tableColumn id="3763" xr3:uid="{00000000-0010-0000-0300-0000B30E0000}" name="Column3758" dataDxfId="12645"/>
    <tableColumn id="3764" xr3:uid="{00000000-0010-0000-0300-0000B40E0000}" name="Column3759" dataDxfId="12644"/>
    <tableColumn id="3765" xr3:uid="{00000000-0010-0000-0300-0000B50E0000}" name="Column3760" dataDxfId="12643"/>
    <tableColumn id="3766" xr3:uid="{00000000-0010-0000-0300-0000B60E0000}" name="Column3761" dataDxfId="12642"/>
    <tableColumn id="3767" xr3:uid="{00000000-0010-0000-0300-0000B70E0000}" name="Column3762" dataDxfId="12641"/>
    <tableColumn id="3768" xr3:uid="{00000000-0010-0000-0300-0000B80E0000}" name="Column3763" dataDxfId="12640"/>
    <tableColumn id="3769" xr3:uid="{00000000-0010-0000-0300-0000B90E0000}" name="Column3764" dataDxfId="12639"/>
    <tableColumn id="3770" xr3:uid="{00000000-0010-0000-0300-0000BA0E0000}" name="Column3765" dataDxfId="12638"/>
    <tableColumn id="3771" xr3:uid="{00000000-0010-0000-0300-0000BB0E0000}" name="Column3766" dataDxfId="12637"/>
    <tableColumn id="3772" xr3:uid="{00000000-0010-0000-0300-0000BC0E0000}" name="Column3767" dataDxfId="12636"/>
    <tableColumn id="3773" xr3:uid="{00000000-0010-0000-0300-0000BD0E0000}" name="Column3768" dataDxfId="12635"/>
    <tableColumn id="3774" xr3:uid="{00000000-0010-0000-0300-0000BE0E0000}" name="Column3769" dataDxfId="12634"/>
    <tableColumn id="3775" xr3:uid="{00000000-0010-0000-0300-0000BF0E0000}" name="Column3770" dataDxfId="12633"/>
    <tableColumn id="3776" xr3:uid="{00000000-0010-0000-0300-0000C00E0000}" name="Column3771" dataDxfId="12632"/>
    <tableColumn id="3777" xr3:uid="{00000000-0010-0000-0300-0000C10E0000}" name="Column3772" dataDxfId="12631"/>
    <tableColumn id="3778" xr3:uid="{00000000-0010-0000-0300-0000C20E0000}" name="Column3773" dataDxfId="12630"/>
    <tableColumn id="3779" xr3:uid="{00000000-0010-0000-0300-0000C30E0000}" name="Column3774" dataDxfId="12629"/>
    <tableColumn id="3780" xr3:uid="{00000000-0010-0000-0300-0000C40E0000}" name="Column3775" dataDxfId="12628"/>
    <tableColumn id="3781" xr3:uid="{00000000-0010-0000-0300-0000C50E0000}" name="Column3776" dataDxfId="12627"/>
    <tableColumn id="3782" xr3:uid="{00000000-0010-0000-0300-0000C60E0000}" name="Column3777" dataDxfId="12626"/>
    <tableColumn id="3783" xr3:uid="{00000000-0010-0000-0300-0000C70E0000}" name="Column3778" dataDxfId="12625"/>
    <tableColumn id="3784" xr3:uid="{00000000-0010-0000-0300-0000C80E0000}" name="Column3779" dataDxfId="12624"/>
    <tableColumn id="3785" xr3:uid="{00000000-0010-0000-0300-0000C90E0000}" name="Column3780" dataDxfId="12623"/>
    <tableColumn id="3786" xr3:uid="{00000000-0010-0000-0300-0000CA0E0000}" name="Column3781" dataDxfId="12622"/>
    <tableColumn id="3787" xr3:uid="{00000000-0010-0000-0300-0000CB0E0000}" name="Column3782" dataDxfId="12621"/>
    <tableColumn id="3788" xr3:uid="{00000000-0010-0000-0300-0000CC0E0000}" name="Column3783" dataDxfId="12620"/>
    <tableColumn id="3789" xr3:uid="{00000000-0010-0000-0300-0000CD0E0000}" name="Column3784" dataDxfId="12619"/>
    <tableColumn id="3790" xr3:uid="{00000000-0010-0000-0300-0000CE0E0000}" name="Column3785" dataDxfId="12618"/>
    <tableColumn id="3791" xr3:uid="{00000000-0010-0000-0300-0000CF0E0000}" name="Column3786" dataDxfId="12617"/>
    <tableColumn id="3792" xr3:uid="{00000000-0010-0000-0300-0000D00E0000}" name="Column3787" dataDxfId="12616"/>
    <tableColumn id="3793" xr3:uid="{00000000-0010-0000-0300-0000D10E0000}" name="Column3788" dataDxfId="12615"/>
    <tableColumn id="3794" xr3:uid="{00000000-0010-0000-0300-0000D20E0000}" name="Column3789" dataDxfId="12614"/>
    <tableColumn id="3795" xr3:uid="{00000000-0010-0000-0300-0000D30E0000}" name="Column3790" dataDxfId="12613"/>
    <tableColumn id="3796" xr3:uid="{00000000-0010-0000-0300-0000D40E0000}" name="Column3791" dataDxfId="12612"/>
    <tableColumn id="3797" xr3:uid="{00000000-0010-0000-0300-0000D50E0000}" name="Column3792" dataDxfId="12611"/>
    <tableColumn id="3798" xr3:uid="{00000000-0010-0000-0300-0000D60E0000}" name="Column3793" dataDxfId="12610"/>
    <tableColumn id="3799" xr3:uid="{00000000-0010-0000-0300-0000D70E0000}" name="Column3794" dataDxfId="12609"/>
    <tableColumn id="3800" xr3:uid="{00000000-0010-0000-0300-0000D80E0000}" name="Column3795" dataDxfId="12608"/>
    <tableColumn id="3801" xr3:uid="{00000000-0010-0000-0300-0000D90E0000}" name="Column3796" dataDxfId="12607"/>
    <tableColumn id="3802" xr3:uid="{00000000-0010-0000-0300-0000DA0E0000}" name="Column3797" dataDxfId="12606"/>
    <tableColumn id="3803" xr3:uid="{00000000-0010-0000-0300-0000DB0E0000}" name="Column3798" dataDxfId="12605"/>
    <tableColumn id="3804" xr3:uid="{00000000-0010-0000-0300-0000DC0E0000}" name="Column3799" dataDxfId="12604"/>
    <tableColumn id="3805" xr3:uid="{00000000-0010-0000-0300-0000DD0E0000}" name="Column3800" dataDxfId="12603"/>
    <tableColumn id="3806" xr3:uid="{00000000-0010-0000-0300-0000DE0E0000}" name="Column3801" dataDxfId="12602"/>
    <tableColumn id="3807" xr3:uid="{00000000-0010-0000-0300-0000DF0E0000}" name="Column3802" dataDxfId="12601"/>
    <tableColumn id="3808" xr3:uid="{00000000-0010-0000-0300-0000E00E0000}" name="Column3803" dataDxfId="12600"/>
    <tableColumn id="3809" xr3:uid="{00000000-0010-0000-0300-0000E10E0000}" name="Column3804" dataDxfId="12599"/>
    <tableColumn id="3810" xr3:uid="{00000000-0010-0000-0300-0000E20E0000}" name="Column3805" dataDxfId="12598"/>
    <tableColumn id="3811" xr3:uid="{00000000-0010-0000-0300-0000E30E0000}" name="Column3806" dataDxfId="12597"/>
    <tableColumn id="3812" xr3:uid="{00000000-0010-0000-0300-0000E40E0000}" name="Column3807" dataDxfId="12596"/>
    <tableColumn id="3813" xr3:uid="{00000000-0010-0000-0300-0000E50E0000}" name="Column3808" dataDxfId="12595"/>
    <tableColumn id="3814" xr3:uid="{00000000-0010-0000-0300-0000E60E0000}" name="Column3809" dataDxfId="12594"/>
    <tableColumn id="3815" xr3:uid="{00000000-0010-0000-0300-0000E70E0000}" name="Column3810" dataDxfId="12593"/>
    <tableColumn id="3816" xr3:uid="{00000000-0010-0000-0300-0000E80E0000}" name="Column3811" dataDxfId="12592"/>
    <tableColumn id="3817" xr3:uid="{00000000-0010-0000-0300-0000E90E0000}" name="Column3812" dataDxfId="12591"/>
    <tableColumn id="3818" xr3:uid="{00000000-0010-0000-0300-0000EA0E0000}" name="Column3813" dataDxfId="12590"/>
    <tableColumn id="3819" xr3:uid="{00000000-0010-0000-0300-0000EB0E0000}" name="Column3814" dataDxfId="12589"/>
    <tableColumn id="3820" xr3:uid="{00000000-0010-0000-0300-0000EC0E0000}" name="Column3815" dataDxfId="12588"/>
    <tableColumn id="3821" xr3:uid="{00000000-0010-0000-0300-0000ED0E0000}" name="Column3816" dataDxfId="12587"/>
    <tableColumn id="3822" xr3:uid="{00000000-0010-0000-0300-0000EE0E0000}" name="Column3817" dataDxfId="12586"/>
    <tableColumn id="3823" xr3:uid="{00000000-0010-0000-0300-0000EF0E0000}" name="Column3818" dataDxfId="12585"/>
    <tableColumn id="3824" xr3:uid="{00000000-0010-0000-0300-0000F00E0000}" name="Column3819" dataDxfId="12584"/>
    <tableColumn id="3825" xr3:uid="{00000000-0010-0000-0300-0000F10E0000}" name="Column3820" dataDxfId="12583"/>
    <tableColumn id="3826" xr3:uid="{00000000-0010-0000-0300-0000F20E0000}" name="Column3821" dataDxfId="12582"/>
    <tableColumn id="3827" xr3:uid="{00000000-0010-0000-0300-0000F30E0000}" name="Column3822" dataDxfId="12581"/>
    <tableColumn id="3828" xr3:uid="{00000000-0010-0000-0300-0000F40E0000}" name="Column3823" dataDxfId="12580"/>
    <tableColumn id="3829" xr3:uid="{00000000-0010-0000-0300-0000F50E0000}" name="Column3824" dataDxfId="12579"/>
    <tableColumn id="3830" xr3:uid="{00000000-0010-0000-0300-0000F60E0000}" name="Column3825" dataDxfId="12578"/>
    <tableColumn id="3831" xr3:uid="{00000000-0010-0000-0300-0000F70E0000}" name="Column3826" dataDxfId="12577"/>
    <tableColumn id="3832" xr3:uid="{00000000-0010-0000-0300-0000F80E0000}" name="Column3827" dataDxfId="12576"/>
    <tableColumn id="3833" xr3:uid="{00000000-0010-0000-0300-0000F90E0000}" name="Column3828" dataDxfId="12575"/>
    <tableColumn id="3834" xr3:uid="{00000000-0010-0000-0300-0000FA0E0000}" name="Column3829" dataDxfId="12574"/>
    <tableColumn id="3835" xr3:uid="{00000000-0010-0000-0300-0000FB0E0000}" name="Column3830" dataDxfId="12573"/>
    <tableColumn id="3836" xr3:uid="{00000000-0010-0000-0300-0000FC0E0000}" name="Column3831" dataDxfId="12572"/>
    <tableColumn id="3837" xr3:uid="{00000000-0010-0000-0300-0000FD0E0000}" name="Column3832" dataDxfId="12571"/>
    <tableColumn id="3838" xr3:uid="{00000000-0010-0000-0300-0000FE0E0000}" name="Column3833" dataDxfId="12570"/>
    <tableColumn id="3839" xr3:uid="{00000000-0010-0000-0300-0000FF0E0000}" name="Column3834" dataDxfId="12569"/>
    <tableColumn id="3840" xr3:uid="{00000000-0010-0000-0300-0000000F0000}" name="Column3835" dataDxfId="12568"/>
    <tableColumn id="3841" xr3:uid="{00000000-0010-0000-0300-0000010F0000}" name="Column3836" dataDxfId="12567"/>
    <tableColumn id="3842" xr3:uid="{00000000-0010-0000-0300-0000020F0000}" name="Column3837" dataDxfId="12566"/>
    <tableColumn id="3843" xr3:uid="{00000000-0010-0000-0300-0000030F0000}" name="Column3838" dataDxfId="12565"/>
    <tableColumn id="3844" xr3:uid="{00000000-0010-0000-0300-0000040F0000}" name="Column3839" dataDxfId="12564"/>
    <tableColumn id="3845" xr3:uid="{00000000-0010-0000-0300-0000050F0000}" name="Column3840" dataDxfId="12563"/>
    <tableColumn id="3846" xr3:uid="{00000000-0010-0000-0300-0000060F0000}" name="Column3841" dataDxfId="12562"/>
    <tableColumn id="3847" xr3:uid="{00000000-0010-0000-0300-0000070F0000}" name="Column3842" dataDxfId="12561"/>
    <tableColumn id="3848" xr3:uid="{00000000-0010-0000-0300-0000080F0000}" name="Column3843" dataDxfId="12560"/>
    <tableColumn id="3849" xr3:uid="{00000000-0010-0000-0300-0000090F0000}" name="Column3844" dataDxfId="12559"/>
    <tableColumn id="3850" xr3:uid="{00000000-0010-0000-0300-00000A0F0000}" name="Column3845" dataDxfId="12558"/>
    <tableColumn id="3851" xr3:uid="{00000000-0010-0000-0300-00000B0F0000}" name="Column3846" dataDxfId="12557"/>
    <tableColumn id="3852" xr3:uid="{00000000-0010-0000-0300-00000C0F0000}" name="Column3847" dataDxfId="12556"/>
    <tableColumn id="3853" xr3:uid="{00000000-0010-0000-0300-00000D0F0000}" name="Column3848" dataDxfId="12555"/>
    <tableColumn id="3854" xr3:uid="{00000000-0010-0000-0300-00000E0F0000}" name="Column3849" dataDxfId="12554"/>
    <tableColumn id="3855" xr3:uid="{00000000-0010-0000-0300-00000F0F0000}" name="Column3850" dataDxfId="12553"/>
    <tableColumn id="3856" xr3:uid="{00000000-0010-0000-0300-0000100F0000}" name="Column3851" dataDxfId="12552"/>
    <tableColumn id="3857" xr3:uid="{00000000-0010-0000-0300-0000110F0000}" name="Column3852" dataDxfId="12551"/>
    <tableColumn id="3858" xr3:uid="{00000000-0010-0000-0300-0000120F0000}" name="Column3853" dataDxfId="12550"/>
    <tableColumn id="3859" xr3:uid="{00000000-0010-0000-0300-0000130F0000}" name="Column3854" dataDxfId="12549"/>
    <tableColumn id="3860" xr3:uid="{00000000-0010-0000-0300-0000140F0000}" name="Column3855" dataDxfId="12548"/>
    <tableColumn id="3861" xr3:uid="{00000000-0010-0000-0300-0000150F0000}" name="Column3856" dataDxfId="12547"/>
    <tableColumn id="3862" xr3:uid="{00000000-0010-0000-0300-0000160F0000}" name="Column3857" dataDxfId="12546"/>
    <tableColumn id="3863" xr3:uid="{00000000-0010-0000-0300-0000170F0000}" name="Column3858" dataDxfId="12545"/>
    <tableColumn id="3864" xr3:uid="{00000000-0010-0000-0300-0000180F0000}" name="Column3859" dataDxfId="12544"/>
    <tableColumn id="3865" xr3:uid="{00000000-0010-0000-0300-0000190F0000}" name="Column3860" dataDxfId="12543"/>
    <tableColumn id="3866" xr3:uid="{00000000-0010-0000-0300-00001A0F0000}" name="Column3861" dataDxfId="12542"/>
    <tableColumn id="3867" xr3:uid="{00000000-0010-0000-0300-00001B0F0000}" name="Column3862" dataDxfId="12541"/>
    <tableColumn id="3868" xr3:uid="{00000000-0010-0000-0300-00001C0F0000}" name="Column3863" dataDxfId="12540"/>
    <tableColumn id="3869" xr3:uid="{00000000-0010-0000-0300-00001D0F0000}" name="Column3864" dataDxfId="12539"/>
    <tableColumn id="3870" xr3:uid="{00000000-0010-0000-0300-00001E0F0000}" name="Column3865" dataDxfId="12538"/>
    <tableColumn id="3871" xr3:uid="{00000000-0010-0000-0300-00001F0F0000}" name="Column3866" dataDxfId="12537"/>
    <tableColumn id="3872" xr3:uid="{00000000-0010-0000-0300-0000200F0000}" name="Column3867" dataDxfId="12536"/>
    <tableColumn id="3873" xr3:uid="{00000000-0010-0000-0300-0000210F0000}" name="Column3868" dataDxfId="12535"/>
    <tableColumn id="3874" xr3:uid="{00000000-0010-0000-0300-0000220F0000}" name="Column3869" dataDxfId="12534"/>
    <tableColumn id="3875" xr3:uid="{00000000-0010-0000-0300-0000230F0000}" name="Column3870" dataDxfId="12533"/>
    <tableColumn id="3876" xr3:uid="{00000000-0010-0000-0300-0000240F0000}" name="Column3871" dataDxfId="12532"/>
    <tableColumn id="3877" xr3:uid="{00000000-0010-0000-0300-0000250F0000}" name="Column3872" dataDxfId="12531"/>
    <tableColumn id="3878" xr3:uid="{00000000-0010-0000-0300-0000260F0000}" name="Column3873" dataDxfId="12530"/>
    <tableColumn id="3879" xr3:uid="{00000000-0010-0000-0300-0000270F0000}" name="Column3874" dataDxfId="12529"/>
    <tableColumn id="3880" xr3:uid="{00000000-0010-0000-0300-0000280F0000}" name="Column3875" dataDxfId="12528"/>
    <tableColumn id="3881" xr3:uid="{00000000-0010-0000-0300-0000290F0000}" name="Column3876" dataDxfId="12527"/>
    <tableColumn id="3882" xr3:uid="{00000000-0010-0000-0300-00002A0F0000}" name="Column3877" dataDxfId="12526"/>
    <tableColumn id="3883" xr3:uid="{00000000-0010-0000-0300-00002B0F0000}" name="Column3878" dataDxfId="12525"/>
    <tableColumn id="3884" xr3:uid="{00000000-0010-0000-0300-00002C0F0000}" name="Column3879" dataDxfId="12524"/>
    <tableColumn id="3885" xr3:uid="{00000000-0010-0000-0300-00002D0F0000}" name="Column3880" dataDxfId="12523"/>
    <tableColumn id="3886" xr3:uid="{00000000-0010-0000-0300-00002E0F0000}" name="Column3881" dataDxfId="12522"/>
    <tableColumn id="3887" xr3:uid="{00000000-0010-0000-0300-00002F0F0000}" name="Column3882" dataDxfId="12521"/>
    <tableColumn id="3888" xr3:uid="{00000000-0010-0000-0300-0000300F0000}" name="Column3883" dataDxfId="12520"/>
    <tableColumn id="3889" xr3:uid="{00000000-0010-0000-0300-0000310F0000}" name="Column3884" dataDxfId="12519"/>
    <tableColumn id="3890" xr3:uid="{00000000-0010-0000-0300-0000320F0000}" name="Column3885" dataDxfId="12518"/>
    <tableColumn id="3891" xr3:uid="{00000000-0010-0000-0300-0000330F0000}" name="Column3886" dataDxfId="12517"/>
    <tableColumn id="3892" xr3:uid="{00000000-0010-0000-0300-0000340F0000}" name="Column3887" dataDxfId="12516"/>
    <tableColumn id="3893" xr3:uid="{00000000-0010-0000-0300-0000350F0000}" name="Column3888" dataDxfId="12515"/>
    <tableColumn id="3894" xr3:uid="{00000000-0010-0000-0300-0000360F0000}" name="Column3889" dataDxfId="12514"/>
    <tableColumn id="3895" xr3:uid="{00000000-0010-0000-0300-0000370F0000}" name="Column3890" dataDxfId="12513"/>
    <tableColumn id="3896" xr3:uid="{00000000-0010-0000-0300-0000380F0000}" name="Column3891" dataDxfId="12512"/>
    <tableColumn id="3897" xr3:uid="{00000000-0010-0000-0300-0000390F0000}" name="Column3892" dataDxfId="12511"/>
    <tableColumn id="3898" xr3:uid="{00000000-0010-0000-0300-00003A0F0000}" name="Column3893" dataDxfId="12510"/>
    <tableColumn id="3899" xr3:uid="{00000000-0010-0000-0300-00003B0F0000}" name="Column3894" dataDxfId="12509"/>
    <tableColumn id="3900" xr3:uid="{00000000-0010-0000-0300-00003C0F0000}" name="Column3895" dataDxfId="12508"/>
    <tableColumn id="3901" xr3:uid="{00000000-0010-0000-0300-00003D0F0000}" name="Column3896" dataDxfId="12507"/>
    <tableColumn id="3902" xr3:uid="{00000000-0010-0000-0300-00003E0F0000}" name="Column3897" dataDxfId="12506"/>
    <tableColumn id="3903" xr3:uid="{00000000-0010-0000-0300-00003F0F0000}" name="Column3898" dataDxfId="12505"/>
    <tableColumn id="3904" xr3:uid="{00000000-0010-0000-0300-0000400F0000}" name="Column3899" dataDxfId="12504"/>
    <tableColumn id="3905" xr3:uid="{00000000-0010-0000-0300-0000410F0000}" name="Column3900" dataDxfId="12503"/>
    <tableColumn id="3906" xr3:uid="{00000000-0010-0000-0300-0000420F0000}" name="Column3901" dataDxfId="12502"/>
    <tableColumn id="3907" xr3:uid="{00000000-0010-0000-0300-0000430F0000}" name="Column3902" dataDxfId="12501"/>
    <tableColumn id="3908" xr3:uid="{00000000-0010-0000-0300-0000440F0000}" name="Column3903" dataDxfId="12500"/>
    <tableColumn id="3909" xr3:uid="{00000000-0010-0000-0300-0000450F0000}" name="Column3904" dataDxfId="12499"/>
    <tableColumn id="3910" xr3:uid="{00000000-0010-0000-0300-0000460F0000}" name="Column3905" dataDxfId="12498"/>
    <tableColumn id="3911" xr3:uid="{00000000-0010-0000-0300-0000470F0000}" name="Column3906" dataDxfId="12497"/>
    <tableColumn id="3912" xr3:uid="{00000000-0010-0000-0300-0000480F0000}" name="Column3907" dataDxfId="12496"/>
    <tableColumn id="3913" xr3:uid="{00000000-0010-0000-0300-0000490F0000}" name="Column3908" dataDxfId="12495"/>
    <tableColumn id="3914" xr3:uid="{00000000-0010-0000-0300-00004A0F0000}" name="Column3909" dataDxfId="12494"/>
    <tableColumn id="3915" xr3:uid="{00000000-0010-0000-0300-00004B0F0000}" name="Column3910" dataDxfId="12493"/>
    <tableColumn id="3916" xr3:uid="{00000000-0010-0000-0300-00004C0F0000}" name="Column3911" dataDxfId="12492"/>
    <tableColumn id="3917" xr3:uid="{00000000-0010-0000-0300-00004D0F0000}" name="Column3912" dataDxfId="12491"/>
    <tableColumn id="3918" xr3:uid="{00000000-0010-0000-0300-00004E0F0000}" name="Column3913" dataDxfId="12490"/>
    <tableColumn id="3919" xr3:uid="{00000000-0010-0000-0300-00004F0F0000}" name="Column3914" dataDxfId="12489"/>
    <tableColumn id="3920" xr3:uid="{00000000-0010-0000-0300-0000500F0000}" name="Column3915" dataDxfId="12488"/>
    <tableColumn id="3921" xr3:uid="{00000000-0010-0000-0300-0000510F0000}" name="Column3916" dataDxfId="12487"/>
    <tableColumn id="3922" xr3:uid="{00000000-0010-0000-0300-0000520F0000}" name="Column3917" dataDxfId="12486"/>
    <tableColumn id="3923" xr3:uid="{00000000-0010-0000-0300-0000530F0000}" name="Column3918" dataDxfId="12485"/>
    <tableColumn id="3924" xr3:uid="{00000000-0010-0000-0300-0000540F0000}" name="Column3919" dataDxfId="12484"/>
    <tableColumn id="3925" xr3:uid="{00000000-0010-0000-0300-0000550F0000}" name="Column3920" dataDxfId="12483"/>
    <tableColumn id="3926" xr3:uid="{00000000-0010-0000-0300-0000560F0000}" name="Column3921" dataDxfId="12482"/>
    <tableColumn id="3927" xr3:uid="{00000000-0010-0000-0300-0000570F0000}" name="Column3922" dataDxfId="12481"/>
    <tableColumn id="3928" xr3:uid="{00000000-0010-0000-0300-0000580F0000}" name="Column3923" dataDxfId="12480"/>
    <tableColumn id="3929" xr3:uid="{00000000-0010-0000-0300-0000590F0000}" name="Column3924" dataDxfId="12479"/>
    <tableColumn id="3930" xr3:uid="{00000000-0010-0000-0300-00005A0F0000}" name="Column3925" dataDxfId="12478"/>
    <tableColumn id="3931" xr3:uid="{00000000-0010-0000-0300-00005B0F0000}" name="Column3926" dataDxfId="12477"/>
    <tableColumn id="3932" xr3:uid="{00000000-0010-0000-0300-00005C0F0000}" name="Column3927" dataDxfId="12476"/>
    <tableColumn id="3933" xr3:uid="{00000000-0010-0000-0300-00005D0F0000}" name="Column3928" dataDxfId="12475"/>
    <tableColumn id="3934" xr3:uid="{00000000-0010-0000-0300-00005E0F0000}" name="Column3929" dataDxfId="12474"/>
    <tableColumn id="3935" xr3:uid="{00000000-0010-0000-0300-00005F0F0000}" name="Column3930" dataDxfId="12473"/>
    <tableColumn id="3936" xr3:uid="{00000000-0010-0000-0300-0000600F0000}" name="Column3931" dataDxfId="12472"/>
    <tableColumn id="3937" xr3:uid="{00000000-0010-0000-0300-0000610F0000}" name="Column3932" dataDxfId="12471"/>
    <tableColumn id="3938" xr3:uid="{00000000-0010-0000-0300-0000620F0000}" name="Column3933" dataDxfId="12470"/>
    <tableColumn id="3939" xr3:uid="{00000000-0010-0000-0300-0000630F0000}" name="Column3934" dataDxfId="12469"/>
    <tableColumn id="3940" xr3:uid="{00000000-0010-0000-0300-0000640F0000}" name="Column3935" dataDxfId="12468"/>
    <tableColumn id="3941" xr3:uid="{00000000-0010-0000-0300-0000650F0000}" name="Column3936" dataDxfId="12467"/>
    <tableColumn id="3942" xr3:uid="{00000000-0010-0000-0300-0000660F0000}" name="Column3937" dataDxfId="12466"/>
    <tableColumn id="3943" xr3:uid="{00000000-0010-0000-0300-0000670F0000}" name="Column3938" dataDxfId="12465"/>
    <tableColumn id="3944" xr3:uid="{00000000-0010-0000-0300-0000680F0000}" name="Column3939" dataDxfId="12464"/>
    <tableColumn id="3945" xr3:uid="{00000000-0010-0000-0300-0000690F0000}" name="Column3940" dataDxfId="12463"/>
    <tableColumn id="3946" xr3:uid="{00000000-0010-0000-0300-00006A0F0000}" name="Column3941" dataDxfId="12462"/>
    <tableColumn id="3947" xr3:uid="{00000000-0010-0000-0300-00006B0F0000}" name="Column3942" dataDxfId="12461"/>
    <tableColumn id="3948" xr3:uid="{00000000-0010-0000-0300-00006C0F0000}" name="Column3943" dataDxfId="12460"/>
    <tableColumn id="3949" xr3:uid="{00000000-0010-0000-0300-00006D0F0000}" name="Column3944" dataDxfId="12459"/>
    <tableColumn id="3950" xr3:uid="{00000000-0010-0000-0300-00006E0F0000}" name="Column3945" dataDxfId="12458"/>
    <tableColumn id="3951" xr3:uid="{00000000-0010-0000-0300-00006F0F0000}" name="Column3946" dataDxfId="12457"/>
    <tableColumn id="3952" xr3:uid="{00000000-0010-0000-0300-0000700F0000}" name="Column3947" dataDxfId="12456"/>
    <tableColumn id="3953" xr3:uid="{00000000-0010-0000-0300-0000710F0000}" name="Column3948" dataDxfId="12455"/>
    <tableColumn id="3954" xr3:uid="{00000000-0010-0000-0300-0000720F0000}" name="Column3949" dataDxfId="12454"/>
    <tableColumn id="3955" xr3:uid="{00000000-0010-0000-0300-0000730F0000}" name="Column3950" dataDxfId="12453"/>
    <tableColumn id="3956" xr3:uid="{00000000-0010-0000-0300-0000740F0000}" name="Column3951" dataDxfId="12452"/>
    <tableColumn id="3957" xr3:uid="{00000000-0010-0000-0300-0000750F0000}" name="Column3952" dataDxfId="12451"/>
    <tableColumn id="3958" xr3:uid="{00000000-0010-0000-0300-0000760F0000}" name="Column3953" dataDxfId="12450"/>
    <tableColumn id="3959" xr3:uid="{00000000-0010-0000-0300-0000770F0000}" name="Column3954" dataDxfId="12449"/>
    <tableColumn id="3960" xr3:uid="{00000000-0010-0000-0300-0000780F0000}" name="Column3955" dataDxfId="12448"/>
    <tableColumn id="3961" xr3:uid="{00000000-0010-0000-0300-0000790F0000}" name="Column3956" dataDxfId="12447"/>
    <tableColumn id="3962" xr3:uid="{00000000-0010-0000-0300-00007A0F0000}" name="Column3957" dataDxfId="12446"/>
    <tableColumn id="3963" xr3:uid="{00000000-0010-0000-0300-00007B0F0000}" name="Column3958" dataDxfId="12445"/>
    <tableColumn id="3964" xr3:uid="{00000000-0010-0000-0300-00007C0F0000}" name="Column3959" dataDxfId="12444"/>
    <tableColumn id="3965" xr3:uid="{00000000-0010-0000-0300-00007D0F0000}" name="Column3960" dataDxfId="12443"/>
    <tableColumn id="3966" xr3:uid="{00000000-0010-0000-0300-00007E0F0000}" name="Column3961" dataDxfId="12442"/>
    <tableColumn id="3967" xr3:uid="{00000000-0010-0000-0300-00007F0F0000}" name="Column3962" dataDxfId="12441"/>
    <tableColumn id="3968" xr3:uid="{00000000-0010-0000-0300-0000800F0000}" name="Column3963" dataDxfId="12440"/>
    <tableColumn id="3969" xr3:uid="{00000000-0010-0000-0300-0000810F0000}" name="Column3964" dataDxfId="12439"/>
    <tableColumn id="3970" xr3:uid="{00000000-0010-0000-0300-0000820F0000}" name="Column3965" dataDxfId="12438"/>
    <tableColumn id="3971" xr3:uid="{00000000-0010-0000-0300-0000830F0000}" name="Column3966" dataDxfId="12437"/>
    <tableColumn id="3972" xr3:uid="{00000000-0010-0000-0300-0000840F0000}" name="Column3967" dataDxfId="12436"/>
    <tableColumn id="3973" xr3:uid="{00000000-0010-0000-0300-0000850F0000}" name="Column3968" dataDxfId="12435"/>
    <tableColumn id="3974" xr3:uid="{00000000-0010-0000-0300-0000860F0000}" name="Column3969" dataDxfId="12434"/>
    <tableColumn id="3975" xr3:uid="{00000000-0010-0000-0300-0000870F0000}" name="Column3970" dataDxfId="12433"/>
    <tableColumn id="3976" xr3:uid="{00000000-0010-0000-0300-0000880F0000}" name="Column3971" dataDxfId="12432"/>
    <tableColumn id="3977" xr3:uid="{00000000-0010-0000-0300-0000890F0000}" name="Column3972" dataDxfId="12431"/>
    <tableColumn id="3978" xr3:uid="{00000000-0010-0000-0300-00008A0F0000}" name="Column3973" dataDxfId="12430"/>
    <tableColumn id="3979" xr3:uid="{00000000-0010-0000-0300-00008B0F0000}" name="Column3974" dataDxfId="12429"/>
    <tableColumn id="3980" xr3:uid="{00000000-0010-0000-0300-00008C0F0000}" name="Column3975" dataDxfId="12428"/>
    <tableColumn id="3981" xr3:uid="{00000000-0010-0000-0300-00008D0F0000}" name="Column3976" dataDxfId="12427"/>
    <tableColumn id="3982" xr3:uid="{00000000-0010-0000-0300-00008E0F0000}" name="Column3977" dataDxfId="12426"/>
    <tableColumn id="3983" xr3:uid="{00000000-0010-0000-0300-00008F0F0000}" name="Column3978" dataDxfId="12425"/>
    <tableColumn id="3984" xr3:uid="{00000000-0010-0000-0300-0000900F0000}" name="Column3979" dataDxfId="12424"/>
    <tableColumn id="3985" xr3:uid="{00000000-0010-0000-0300-0000910F0000}" name="Column3980" dataDxfId="12423"/>
    <tableColumn id="3986" xr3:uid="{00000000-0010-0000-0300-0000920F0000}" name="Column3981" dataDxfId="12422"/>
    <tableColumn id="3987" xr3:uid="{00000000-0010-0000-0300-0000930F0000}" name="Column3982" dataDxfId="12421"/>
    <tableColumn id="3988" xr3:uid="{00000000-0010-0000-0300-0000940F0000}" name="Column3983" dataDxfId="12420"/>
    <tableColumn id="3989" xr3:uid="{00000000-0010-0000-0300-0000950F0000}" name="Column3984" dataDxfId="12419"/>
    <tableColumn id="3990" xr3:uid="{00000000-0010-0000-0300-0000960F0000}" name="Column3985" dataDxfId="12418"/>
    <tableColumn id="3991" xr3:uid="{00000000-0010-0000-0300-0000970F0000}" name="Column3986" dataDxfId="12417"/>
    <tableColumn id="3992" xr3:uid="{00000000-0010-0000-0300-0000980F0000}" name="Column3987" dataDxfId="12416"/>
    <tableColumn id="3993" xr3:uid="{00000000-0010-0000-0300-0000990F0000}" name="Column3988" dataDxfId="12415"/>
    <tableColumn id="3994" xr3:uid="{00000000-0010-0000-0300-00009A0F0000}" name="Column3989" dataDxfId="12414"/>
    <tableColumn id="3995" xr3:uid="{00000000-0010-0000-0300-00009B0F0000}" name="Column3990" dataDxfId="12413"/>
    <tableColumn id="3996" xr3:uid="{00000000-0010-0000-0300-00009C0F0000}" name="Column3991" dataDxfId="12412"/>
    <tableColumn id="3997" xr3:uid="{00000000-0010-0000-0300-00009D0F0000}" name="Column3992" dataDxfId="12411"/>
    <tableColumn id="3998" xr3:uid="{00000000-0010-0000-0300-00009E0F0000}" name="Column3993" dataDxfId="12410"/>
    <tableColumn id="3999" xr3:uid="{00000000-0010-0000-0300-00009F0F0000}" name="Column3994" dataDxfId="12409"/>
    <tableColumn id="4000" xr3:uid="{00000000-0010-0000-0300-0000A00F0000}" name="Column3995" dataDxfId="12408"/>
    <tableColumn id="4001" xr3:uid="{00000000-0010-0000-0300-0000A10F0000}" name="Column3996" dataDxfId="12407"/>
    <tableColumn id="4002" xr3:uid="{00000000-0010-0000-0300-0000A20F0000}" name="Column3997" dataDxfId="12406"/>
    <tableColumn id="4003" xr3:uid="{00000000-0010-0000-0300-0000A30F0000}" name="Column3998" dataDxfId="12405"/>
    <tableColumn id="4004" xr3:uid="{00000000-0010-0000-0300-0000A40F0000}" name="Column3999" dataDxfId="12404"/>
    <tableColumn id="4005" xr3:uid="{00000000-0010-0000-0300-0000A50F0000}" name="Column4000" dataDxfId="12403"/>
    <tableColumn id="4006" xr3:uid="{00000000-0010-0000-0300-0000A60F0000}" name="Column4001" dataDxfId="12402"/>
    <tableColumn id="4007" xr3:uid="{00000000-0010-0000-0300-0000A70F0000}" name="Column4002" dataDxfId="12401"/>
    <tableColumn id="4008" xr3:uid="{00000000-0010-0000-0300-0000A80F0000}" name="Column4003" dataDxfId="12400"/>
    <tableColumn id="4009" xr3:uid="{00000000-0010-0000-0300-0000A90F0000}" name="Column4004" dataDxfId="12399"/>
    <tableColumn id="4010" xr3:uid="{00000000-0010-0000-0300-0000AA0F0000}" name="Column4005" dataDxfId="12398"/>
    <tableColumn id="4011" xr3:uid="{00000000-0010-0000-0300-0000AB0F0000}" name="Column4006" dataDxfId="12397"/>
    <tableColumn id="4012" xr3:uid="{00000000-0010-0000-0300-0000AC0F0000}" name="Column4007" dataDxfId="12396"/>
    <tableColumn id="4013" xr3:uid="{00000000-0010-0000-0300-0000AD0F0000}" name="Column4008" dataDxfId="12395"/>
    <tableColumn id="4014" xr3:uid="{00000000-0010-0000-0300-0000AE0F0000}" name="Column4009" dataDxfId="12394"/>
    <tableColumn id="4015" xr3:uid="{00000000-0010-0000-0300-0000AF0F0000}" name="Column4010" dataDxfId="12393"/>
    <tableColumn id="4016" xr3:uid="{00000000-0010-0000-0300-0000B00F0000}" name="Column4011" dataDxfId="12392"/>
    <tableColumn id="4017" xr3:uid="{00000000-0010-0000-0300-0000B10F0000}" name="Column4012" dataDxfId="12391"/>
    <tableColumn id="4018" xr3:uid="{00000000-0010-0000-0300-0000B20F0000}" name="Column4013" dataDxfId="12390"/>
    <tableColumn id="4019" xr3:uid="{00000000-0010-0000-0300-0000B30F0000}" name="Column4014" dataDxfId="12389"/>
    <tableColumn id="4020" xr3:uid="{00000000-0010-0000-0300-0000B40F0000}" name="Column4015" dataDxfId="12388"/>
    <tableColumn id="4021" xr3:uid="{00000000-0010-0000-0300-0000B50F0000}" name="Column4016" dataDxfId="12387"/>
    <tableColumn id="4022" xr3:uid="{00000000-0010-0000-0300-0000B60F0000}" name="Column4017" dataDxfId="12386"/>
    <tableColumn id="4023" xr3:uid="{00000000-0010-0000-0300-0000B70F0000}" name="Column4018" dataDxfId="12385"/>
    <tableColumn id="4024" xr3:uid="{00000000-0010-0000-0300-0000B80F0000}" name="Column4019" dataDxfId="12384"/>
    <tableColumn id="4025" xr3:uid="{00000000-0010-0000-0300-0000B90F0000}" name="Column4020" dataDxfId="12383"/>
    <tableColumn id="4026" xr3:uid="{00000000-0010-0000-0300-0000BA0F0000}" name="Column4021" dataDxfId="12382"/>
    <tableColumn id="4027" xr3:uid="{00000000-0010-0000-0300-0000BB0F0000}" name="Column4022" dataDxfId="12381"/>
    <tableColumn id="4028" xr3:uid="{00000000-0010-0000-0300-0000BC0F0000}" name="Column4023" dataDxfId="12380"/>
    <tableColumn id="4029" xr3:uid="{00000000-0010-0000-0300-0000BD0F0000}" name="Column4024" dataDxfId="12379"/>
    <tableColumn id="4030" xr3:uid="{00000000-0010-0000-0300-0000BE0F0000}" name="Column4025" dataDxfId="12378"/>
    <tableColumn id="4031" xr3:uid="{00000000-0010-0000-0300-0000BF0F0000}" name="Column4026" dataDxfId="12377"/>
    <tableColumn id="4032" xr3:uid="{00000000-0010-0000-0300-0000C00F0000}" name="Column4027" dataDxfId="12376"/>
    <tableColumn id="4033" xr3:uid="{00000000-0010-0000-0300-0000C10F0000}" name="Column4028" dataDxfId="12375"/>
    <tableColumn id="4034" xr3:uid="{00000000-0010-0000-0300-0000C20F0000}" name="Column4029" dataDxfId="12374"/>
    <tableColumn id="4035" xr3:uid="{00000000-0010-0000-0300-0000C30F0000}" name="Column4030" dataDxfId="12373"/>
    <tableColumn id="4036" xr3:uid="{00000000-0010-0000-0300-0000C40F0000}" name="Column4031" dataDxfId="12372"/>
    <tableColumn id="4037" xr3:uid="{00000000-0010-0000-0300-0000C50F0000}" name="Column4032" dataDxfId="12371"/>
    <tableColumn id="4038" xr3:uid="{00000000-0010-0000-0300-0000C60F0000}" name="Column4033" dataDxfId="12370"/>
    <tableColumn id="4039" xr3:uid="{00000000-0010-0000-0300-0000C70F0000}" name="Column4034" dataDxfId="12369"/>
    <tableColumn id="4040" xr3:uid="{00000000-0010-0000-0300-0000C80F0000}" name="Column4035" dataDxfId="12368"/>
    <tableColumn id="4041" xr3:uid="{00000000-0010-0000-0300-0000C90F0000}" name="Column4036" dataDxfId="12367"/>
    <tableColumn id="4042" xr3:uid="{00000000-0010-0000-0300-0000CA0F0000}" name="Column4037" dataDxfId="12366"/>
    <tableColumn id="4043" xr3:uid="{00000000-0010-0000-0300-0000CB0F0000}" name="Column4038" dataDxfId="12365"/>
    <tableColumn id="4044" xr3:uid="{00000000-0010-0000-0300-0000CC0F0000}" name="Column4039" dataDxfId="12364"/>
    <tableColumn id="4045" xr3:uid="{00000000-0010-0000-0300-0000CD0F0000}" name="Column4040" dataDxfId="12363"/>
    <tableColumn id="4046" xr3:uid="{00000000-0010-0000-0300-0000CE0F0000}" name="Column4041" dataDxfId="12362"/>
    <tableColumn id="4047" xr3:uid="{00000000-0010-0000-0300-0000CF0F0000}" name="Column4042" dataDxfId="12361"/>
    <tableColumn id="4048" xr3:uid="{00000000-0010-0000-0300-0000D00F0000}" name="Column4043" dataDxfId="12360"/>
    <tableColumn id="4049" xr3:uid="{00000000-0010-0000-0300-0000D10F0000}" name="Column4044" dataDxfId="12359"/>
    <tableColumn id="4050" xr3:uid="{00000000-0010-0000-0300-0000D20F0000}" name="Column4045" dataDxfId="12358"/>
    <tableColumn id="4051" xr3:uid="{00000000-0010-0000-0300-0000D30F0000}" name="Column4046" dataDxfId="12357"/>
    <tableColumn id="4052" xr3:uid="{00000000-0010-0000-0300-0000D40F0000}" name="Column4047" dataDxfId="12356"/>
    <tableColumn id="4053" xr3:uid="{00000000-0010-0000-0300-0000D50F0000}" name="Column4048" dataDxfId="12355"/>
    <tableColumn id="4054" xr3:uid="{00000000-0010-0000-0300-0000D60F0000}" name="Column4049" dataDxfId="12354"/>
    <tableColumn id="4055" xr3:uid="{00000000-0010-0000-0300-0000D70F0000}" name="Column4050" dataDxfId="12353"/>
    <tableColumn id="4056" xr3:uid="{00000000-0010-0000-0300-0000D80F0000}" name="Column4051" dataDxfId="12352"/>
    <tableColumn id="4057" xr3:uid="{00000000-0010-0000-0300-0000D90F0000}" name="Column4052" dataDxfId="12351"/>
    <tableColumn id="4058" xr3:uid="{00000000-0010-0000-0300-0000DA0F0000}" name="Column4053" dataDxfId="12350"/>
    <tableColumn id="4059" xr3:uid="{00000000-0010-0000-0300-0000DB0F0000}" name="Column4054" dataDxfId="12349"/>
    <tableColumn id="4060" xr3:uid="{00000000-0010-0000-0300-0000DC0F0000}" name="Column4055" dataDxfId="12348"/>
    <tableColumn id="4061" xr3:uid="{00000000-0010-0000-0300-0000DD0F0000}" name="Column4056" dataDxfId="12347"/>
    <tableColumn id="4062" xr3:uid="{00000000-0010-0000-0300-0000DE0F0000}" name="Column4057" dataDxfId="12346"/>
    <tableColumn id="4063" xr3:uid="{00000000-0010-0000-0300-0000DF0F0000}" name="Column4058" dataDxfId="12345"/>
    <tableColumn id="4064" xr3:uid="{00000000-0010-0000-0300-0000E00F0000}" name="Column4059" dataDxfId="12344"/>
    <tableColumn id="4065" xr3:uid="{00000000-0010-0000-0300-0000E10F0000}" name="Column4060" dataDxfId="12343"/>
    <tableColumn id="4066" xr3:uid="{00000000-0010-0000-0300-0000E20F0000}" name="Column4061" dataDxfId="12342"/>
    <tableColumn id="4067" xr3:uid="{00000000-0010-0000-0300-0000E30F0000}" name="Column4062" dataDxfId="12341"/>
    <tableColumn id="4068" xr3:uid="{00000000-0010-0000-0300-0000E40F0000}" name="Column4063" dataDxfId="12340"/>
    <tableColumn id="4069" xr3:uid="{00000000-0010-0000-0300-0000E50F0000}" name="Column4064" dataDxfId="12339"/>
    <tableColumn id="4070" xr3:uid="{00000000-0010-0000-0300-0000E60F0000}" name="Column4065" dataDxfId="12338"/>
    <tableColumn id="4071" xr3:uid="{00000000-0010-0000-0300-0000E70F0000}" name="Column4066" dataDxfId="12337"/>
    <tableColumn id="4072" xr3:uid="{00000000-0010-0000-0300-0000E80F0000}" name="Column4067" dataDxfId="12336"/>
    <tableColumn id="4073" xr3:uid="{00000000-0010-0000-0300-0000E90F0000}" name="Column4068" dataDxfId="12335"/>
    <tableColumn id="4074" xr3:uid="{00000000-0010-0000-0300-0000EA0F0000}" name="Column4069" dataDxfId="12334"/>
    <tableColumn id="4075" xr3:uid="{00000000-0010-0000-0300-0000EB0F0000}" name="Column4070" dataDxfId="12333"/>
    <tableColumn id="4076" xr3:uid="{00000000-0010-0000-0300-0000EC0F0000}" name="Column4071" dataDxfId="12332"/>
    <tableColumn id="4077" xr3:uid="{00000000-0010-0000-0300-0000ED0F0000}" name="Column4072" dataDxfId="12331"/>
    <tableColumn id="4078" xr3:uid="{00000000-0010-0000-0300-0000EE0F0000}" name="Column4073" dataDxfId="12330"/>
    <tableColumn id="4079" xr3:uid="{00000000-0010-0000-0300-0000EF0F0000}" name="Column4074" dataDxfId="12329"/>
    <tableColumn id="4080" xr3:uid="{00000000-0010-0000-0300-0000F00F0000}" name="Column4075" dataDxfId="12328"/>
    <tableColumn id="4081" xr3:uid="{00000000-0010-0000-0300-0000F10F0000}" name="Column4076" dataDxfId="12327"/>
    <tableColumn id="4082" xr3:uid="{00000000-0010-0000-0300-0000F20F0000}" name="Column4077" dataDxfId="12326"/>
    <tableColumn id="4083" xr3:uid="{00000000-0010-0000-0300-0000F30F0000}" name="Column4078" dataDxfId="12325"/>
    <tableColumn id="4084" xr3:uid="{00000000-0010-0000-0300-0000F40F0000}" name="Column4079" dataDxfId="12324"/>
    <tableColumn id="4085" xr3:uid="{00000000-0010-0000-0300-0000F50F0000}" name="Column4080" dataDxfId="12323"/>
    <tableColumn id="4086" xr3:uid="{00000000-0010-0000-0300-0000F60F0000}" name="Column4081" dataDxfId="12322"/>
    <tableColumn id="4087" xr3:uid="{00000000-0010-0000-0300-0000F70F0000}" name="Column4082" dataDxfId="12321"/>
    <tableColumn id="4088" xr3:uid="{00000000-0010-0000-0300-0000F80F0000}" name="Column4083" dataDxfId="12320"/>
    <tableColumn id="4089" xr3:uid="{00000000-0010-0000-0300-0000F90F0000}" name="Column4084" dataDxfId="12319"/>
    <tableColumn id="4090" xr3:uid="{00000000-0010-0000-0300-0000FA0F0000}" name="Column4085" dataDxfId="12318"/>
    <tableColumn id="4091" xr3:uid="{00000000-0010-0000-0300-0000FB0F0000}" name="Column4086" dataDxfId="12317"/>
    <tableColumn id="4092" xr3:uid="{00000000-0010-0000-0300-0000FC0F0000}" name="Column4087" dataDxfId="12316"/>
    <tableColumn id="4093" xr3:uid="{00000000-0010-0000-0300-0000FD0F0000}" name="Column4088" dataDxfId="12315"/>
    <tableColumn id="4094" xr3:uid="{00000000-0010-0000-0300-0000FE0F0000}" name="Column4089" dataDxfId="12314"/>
    <tableColumn id="4095" xr3:uid="{00000000-0010-0000-0300-0000FF0F0000}" name="Column4090" dataDxfId="12313"/>
    <tableColumn id="4096" xr3:uid="{00000000-0010-0000-0300-000000100000}" name="Column4091" dataDxfId="12312"/>
    <tableColumn id="4097" xr3:uid="{00000000-0010-0000-0300-000001100000}" name="Column4092" dataDxfId="12311"/>
    <tableColumn id="4098" xr3:uid="{00000000-0010-0000-0300-000002100000}" name="Column4093" dataDxfId="12310"/>
    <tableColumn id="4099" xr3:uid="{00000000-0010-0000-0300-000003100000}" name="Column4094" dataDxfId="12309"/>
    <tableColumn id="4100" xr3:uid="{00000000-0010-0000-0300-000004100000}" name="Column4095" dataDxfId="12308"/>
    <tableColumn id="4101" xr3:uid="{00000000-0010-0000-0300-000005100000}" name="Column4096" dataDxfId="12307"/>
    <tableColumn id="4102" xr3:uid="{00000000-0010-0000-0300-000006100000}" name="Column4097" dataDxfId="12306"/>
    <tableColumn id="4103" xr3:uid="{00000000-0010-0000-0300-000007100000}" name="Column4098" dataDxfId="12305"/>
    <tableColumn id="4104" xr3:uid="{00000000-0010-0000-0300-000008100000}" name="Column4099" dataDxfId="12304"/>
    <tableColumn id="4105" xr3:uid="{00000000-0010-0000-0300-000009100000}" name="Column4100" dataDxfId="12303"/>
    <tableColumn id="4106" xr3:uid="{00000000-0010-0000-0300-00000A100000}" name="Column4101" dataDxfId="12302"/>
    <tableColumn id="4107" xr3:uid="{00000000-0010-0000-0300-00000B100000}" name="Column4102" dataDxfId="12301"/>
    <tableColumn id="4108" xr3:uid="{00000000-0010-0000-0300-00000C100000}" name="Column4103" dataDxfId="12300"/>
    <tableColumn id="4109" xr3:uid="{00000000-0010-0000-0300-00000D100000}" name="Column4104" dataDxfId="12299"/>
    <tableColumn id="4110" xr3:uid="{00000000-0010-0000-0300-00000E100000}" name="Column4105" dataDxfId="12298"/>
    <tableColumn id="4111" xr3:uid="{00000000-0010-0000-0300-00000F100000}" name="Column4106" dataDxfId="12297"/>
    <tableColumn id="4112" xr3:uid="{00000000-0010-0000-0300-000010100000}" name="Column4107" dataDxfId="12296"/>
    <tableColumn id="4113" xr3:uid="{00000000-0010-0000-0300-000011100000}" name="Column4108" dataDxfId="12295"/>
    <tableColumn id="4114" xr3:uid="{00000000-0010-0000-0300-000012100000}" name="Column4109" dataDxfId="12294"/>
    <tableColumn id="4115" xr3:uid="{00000000-0010-0000-0300-000013100000}" name="Column4110" dataDxfId="12293"/>
    <tableColumn id="4116" xr3:uid="{00000000-0010-0000-0300-000014100000}" name="Column4111" dataDxfId="12292"/>
    <tableColumn id="4117" xr3:uid="{00000000-0010-0000-0300-000015100000}" name="Column4112" dataDxfId="12291"/>
    <tableColumn id="4118" xr3:uid="{00000000-0010-0000-0300-000016100000}" name="Column4113" dataDxfId="12290"/>
    <tableColumn id="4119" xr3:uid="{00000000-0010-0000-0300-000017100000}" name="Column4114" dataDxfId="12289"/>
    <tableColumn id="4120" xr3:uid="{00000000-0010-0000-0300-000018100000}" name="Column4115" dataDxfId="12288"/>
    <tableColumn id="4121" xr3:uid="{00000000-0010-0000-0300-000019100000}" name="Column4116" dataDxfId="12287"/>
    <tableColumn id="4122" xr3:uid="{00000000-0010-0000-0300-00001A100000}" name="Column4117" dataDxfId="12286"/>
    <tableColumn id="4123" xr3:uid="{00000000-0010-0000-0300-00001B100000}" name="Column4118" dataDxfId="12285"/>
    <tableColumn id="4124" xr3:uid="{00000000-0010-0000-0300-00001C100000}" name="Column4119" dataDxfId="12284"/>
    <tableColumn id="4125" xr3:uid="{00000000-0010-0000-0300-00001D100000}" name="Column4120" dataDxfId="12283"/>
    <tableColumn id="4126" xr3:uid="{00000000-0010-0000-0300-00001E100000}" name="Column4121" dataDxfId="12282"/>
    <tableColumn id="4127" xr3:uid="{00000000-0010-0000-0300-00001F100000}" name="Column4122" dataDxfId="12281"/>
    <tableColumn id="4128" xr3:uid="{00000000-0010-0000-0300-000020100000}" name="Column4123" dataDxfId="12280"/>
    <tableColumn id="4129" xr3:uid="{00000000-0010-0000-0300-000021100000}" name="Column4124" dataDxfId="12279"/>
    <tableColumn id="4130" xr3:uid="{00000000-0010-0000-0300-000022100000}" name="Column4125" dataDxfId="12278"/>
    <tableColumn id="4131" xr3:uid="{00000000-0010-0000-0300-000023100000}" name="Column4126" dataDxfId="12277"/>
    <tableColumn id="4132" xr3:uid="{00000000-0010-0000-0300-000024100000}" name="Column4127" dataDxfId="12276"/>
    <tableColumn id="4133" xr3:uid="{00000000-0010-0000-0300-000025100000}" name="Column4128" dataDxfId="12275"/>
    <tableColumn id="4134" xr3:uid="{00000000-0010-0000-0300-000026100000}" name="Column4129" dataDxfId="12274"/>
    <tableColumn id="4135" xr3:uid="{00000000-0010-0000-0300-000027100000}" name="Column4130" dataDxfId="12273"/>
    <tableColumn id="4136" xr3:uid="{00000000-0010-0000-0300-000028100000}" name="Column4131" dataDxfId="12272"/>
    <tableColumn id="4137" xr3:uid="{00000000-0010-0000-0300-000029100000}" name="Column4132" dataDxfId="12271"/>
    <tableColumn id="4138" xr3:uid="{00000000-0010-0000-0300-00002A100000}" name="Column4133" dataDxfId="12270"/>
    <tableColumn id="4139" xr3:uid="{00000000-0010-0000-0300-00002B100000}" name="Column4134" dataDxfId="12269"/>
    <tableColumn id="4140" xr3:uid="{00000000-0010-0000-0300-00002C100000}" name="Column4135" dataDxfId="12268"/>
    <tableColumn id="4141" xr3:uid="{00000000-0010-0000-0300-00002D100000}" name="Column4136" dataDxfId="12267"/>
    <tableColumn id="4142" xr3:uid="{00000000-0010-0000-0300-00002E100000}" name="Column4137" dataDxfId="12266"/>
    <tableColumn id="4143" xr3:uid="{00000000-0010-0000-0300-00002F100000}" name="Column4138" dataDxfId="12265"/>
    <tableColumn id="4144" xr3:uid="{00000000-0010-0000-0300-000030100000}" name="Column4139" dataDxfId="12264"/>
    <tableColumn id="4145" xr3:uid="{00000000-0010-0000-0300-000031100000}" name="Column4140" dataDxfId="12263"/>
    <tableColumn id="4146" xr3:uid="{00000000-0010-0000-0300-000032100000}" name="Column4141" dataDxfId="12262"/>
    <tableColumn id="4147" xr3:uid="{00000000-0010-0000-0300-000033100000}" name="Column4142" dataDxfId="12261"/>
    <tableColumn id="4148" xr3:uid="{00000000-0010-0000-0300-000034100000}" name="Column4143" dataDxfId="12260"/>
    <tableColumn id="4149" xr3:uid="{00000000-0010-0000-0300-000035100000}" name="Column4144" dataDxfId="12259"/>
    <tableColumn id="4150" xr3:uid="{00000000-0010-0000-0300-000036100000}" name="Column4145" dataDxfId="12258"/>
    <tableColumn id="4151" xr3:uid="{00000000-0010-0000-0300-000037100000}" name="Column4146" dataDxfId="12257"/>
    <tableColumn id="4152" xr3:uid="{00000000-0010-0000-0300-000038100000}" name="Column4147" dataDxfId="12256"/>
    <tableColumn id="4153" xr3:uid="{00000000-0010-0000-0300-000039100000}" name="Column4148" dataDxfId="12255"/>
    <tableColumn id="4154" xr3:uid="{00000000-0010-0000-0300-00003A100000}" name="Column4149" dataDxfId="12254"/>
    <tableColumn id="4155" xr3:uid="{00000000-0010-0000-0300-00003B100000}" name="Column4150" dataDxfId="12253"/>
    <tableColumn id="4156" xr3:uid="{00000000-0010-0000-0300-00003C100000}" name="Column4151" dataDxfId="12252"/>
    <tableColumn id="4157" xr3:uid="{00000000-0010-0000-0300-00003D100000}" name="Column4152" dataDxfId="12251"/>
    <tableColumn id="4158" xr3:uid="{00000000-0010-0000-0300-00003E100000}" name="Column4153" dataDxfId="12250"/>
    <tableColumn id="4159" xr3:uid="{00000000-0010-0000-0300-00003F100000}" name="Column4154" dataDxfId="12249"/>
    <tableColumn id="4160" xr3:uid="{00000000-0010-0000-0300-000040100000}" name="Column4155" dataDxfId="12248"/>
    <tableColumn id="4161" xr3:uid="{00000000-0010-0000-0300-000041100000}" name="Column4156" dataDxfId="12247"/>
    <tableColumn id="4162" xr3:uid="{00000000-0010-0000-0300-000042100000}" name="Column4157" dataDxfId="12246"/>
    <tableColumn id="4163" xr3:uid="{00000000-0010-0000-0300-000043100000}" name="Column4158" dataDxfId="12245"/>
    <tableColumn id="4164" xr3:uid="{00000000-0010-0000-0300-000044100000}" name="Column4159" dataDxfId="12244"/>
    <tableColumn id="4165" xr3:uid="{00000000-0010-0000-0300-000045100000}" name="Column4160" dataDxfId="12243"/>
    <tableColumn id="4166" xr3:uid="{00000000-0010-0000-0300-000046100000}" name="Column4161" dataDxfId="12242"/>
    <tableColumn id="4167" xr3:uid="{00000000-0010-0000-0300-000047100000}" name="Column4162" dataDxfId="12241"/>
    <tableColumn id="4168" xr3:uid="{00000000-0010-0000-0300-000048100000}" name="Column4163" dataDxfId="12240"/>
    <tableColumn id="4169" xr3:uid="{00000000-0010-0000-0300-000049100000}" name="Column4164" dataDxfId="12239"/>
    <tableColumn id="4170" xr3:uid="{00000000-0010-0000-0300-00004A100000}" name="Column4165" dataDxfId="12238"/>
    <tableColumn id="4171" xr3:uid="{00000000-0010-0000-0300-00004B100000}" name="Column4166" dataDxfId="12237"/>
    <tableColumn id="4172" xr3:uid="{00000000-0010-0000-0300-00004C100000}" name="Column4167" dataDxfId="12236"/>
    <tableColumn id="4173" xr3:uid="{00000000-0010-0000-0300-00004D100000}" name="Column4168" dataDxfId="12235"/>
    <tableColumn id="4174" xr3:uid="{00000000-0010-0000-0300-00004E100000}" name="Column4169" dataDxfId="12234"/>
    <tableColumn id="4175" xr3:uid="{00000000-0010-0000-0300-00004F100000}" name="Column4170" dataDxfId="12233"/>
    <tableColumn id="4176" xr3:uid="{00000000-0010-0000-0300-000050100000}" name="Column4171" dataDxfId="12232"/>
    <tableColumn id="4177" xr3:uid="{00000000-0010-0000-0300-000051100000}" name="Column4172" dataDxfId="12231"/>
    <tableColumn id="4178" xr3:uid="{00000000-0010-0000-0300-000052100000}" name="Column4173" dataDxfId="12230"/>
    <tableColumn id="4179" xr3:uid="{00000000-0010-0000-0300-000053100000}" name="Column4174" dataDxfId="12229"/>
    <tableColumn id="4180" xr3:uid="{00000000-0010-0000-0300-000054100000}" name="Column4175" dataDxfId="12228"/>
    <tableColumn id="4181" xr3:uid="{00000000-0010-0000-0300-000055100000}" name="Column4176" dataDxfId="12227"/>
    <tableColumn id="4182" xr3:uid="{00000000-0010-0000-0300-000056100000}" name="Column4177" dataDxfId="12226"/>
    <tableColumn id="4183" xr3:uid="{00000000-0010-0000-0300-000057100000}" name="Column4178" dataDxfId="12225"/>
    <tableColumn id="4184" xr3:uid="{00000000-0010-0000-0300-000058100000}" name="Column4179" dataDxfId="12224"/>
    <tableColumn id="4185" xr3:uid="{00000000-0010-0000-0300-000059100000}" name="Column4180" dataDxfId="12223"/>
    <tableColumn id="4186" xr3:uid="{00000000-0010-0000-0300-00005A100000}" name="Column4181" dataDxfId="12222"/>
    <tableColumn id="4187" xr3:uid="{00000000-0010-0000-0300-00005B100000}" name="Column4182" dataDxfId="12221"/>
    <tableColumn id="4188" xr3:uid="{00000000-0010-0000-0300-00005C100000}" name="Column4183" dataDxfId="12220"/>
    <tableColumn id="4189" xr3:uid="{00000000-0010-0000-0300-00005D100000}" name="Column4184" dataDxfId="12219"/>
    <tableColumn id="4190" xr3:uid="{00000000-0010-0000-0300-00005E100000}" name="Column4185" dataDxfId="12218"/>
    <tableColumn id="4191" xr3:uid="{00000000-0010-0000-0300-00005F100000}" name="Column4186" dataDxfId="12217"/>
    <tableColumn id="4192" xr3:uid="{00000000-0010-0000-0300-000060100000}" name="Column4187" dataDxfId="12216"/>
    <tableColumn id="4193" xr3:uid="{00000000-0010-0000-0300-000061100000}" name="Column4188" dataDxfId="12215"/>
    <tableColumn id="4194" xr3:uid="{00000000-0010-0000-0300-000062100000}" name="Column4189" dataDxfId="12214"/>
    <tableColumn id="4195" xr3:uid="{00000000-0010-0000-0300-000063100000}" name="Column4190" dataDxfId="12213"/>
    <tableColumn id="4196" xr3:uid="{00000000-0010-0000-0300-000064100000}" name="Column4191" dataDxfId="12212"/>
    <tableColumn id="4197" xr3:uid="{00000000-0010-0000-0300-000065100000}" name="Column4192" dataDxfId="12211"/>
    <tableColumn id="4198" xr3:uid="{00000000-0010-0000-0300-000066100000}" name="Column4193" dataDxfId="12210"/>
    <tableColumn id="4199" xr3:uid="{00000000-0010-0000-0300-000067100000}" name="Column4194" dataDxfId="12209"/>
    <tableColumn id="4200" xr3:uid="{00000000-0010-0000-0300-000068100000}" name="Column4195" dataDxfId="12208"/>
    <tableColumn id="4201" xr3:uid="{00000000-0010-0000-0300-000069100000}" name="Column4196" dataDxfId="12207"/>
    <tableColumn id="4202" xr3:uid="{00000000-0010-0000-0300-00006A100000}" name="Column4197" dataDxfId="12206"/>
    <tableColumn id="4203" xr3:uid="{00000000-0010-0000-0300-00006B100000}" name="Column4198" dataDxfId="12205"/>
    <tableColumn id="4204" xr3:uid="{00000000-0010-0000-0300-00006C100000}" name="Column4199" dataDxfId="12204"/>
    <tableColumn id="4205" xr3:uid="{00000000-0010-0000-0300-00006D100000}" name="Column4200" dataDxfId="12203"/>
    <tableColumn id="4206" xr3:uid="{00000000-0010-0000-0300-00006E100000}" name="Column4201" dataDxfId="12202"/>
    <tableColumn id="4207" xr3:uid="{00000000-0010-0000-0300-00006F100000}" name="Column4202" dataDxfId="12201"/>
    <tableColumn id="4208" xr3:uid="{00000000-0010-0000-0300-000070100000}" name="Column4203" dataDxfId="12200"/>
    <tableColumn id="4209" xr3:uid="{00000000-0010-0000-0300-000071100000}" name="Column4204" dataDxfId="12199"/>
    <tableColumn id="4210" xr3:uid="{00000000-0010-0000-0300-000072100000}" name="Column4205" dataDxfId="12198"/>
    <tableColumn id="4211" xr3:uid="{00000000-0010-0000-0300-000073100000}" name="Column4206" dataDxfId="12197"/>
    <tableColumn id="4212" xr3:uid="{00000000-0010-0000-0300-000074100000}" name="Column4207" dataDxfId="12196"/>
    <tableColumn id="4213" xr3:uid="{00000000-0010-0000-0300-000075100000}" name="Column4208" dataDxfId="12195"/>
    <tableColumn id="4214" xr3:uid="{00000000-0010-0000-0300-000076100000}" name="Column4209" dataDxfId="12194"/>
    <tableColumn id="4215" xr3:uid="{00000000-0010-0000-0300-000077100000}" name="Column4210" dataDxfId="12193"/>
    <tableColumn id="4216" xr3:uid="{00000000-0010-0000-0300-000078100000}" name="Column4211" dataDxfId="12192"/>
    <tableColumn id="4217" xr3:uid="{00000000-0010-0000-0300-000079100000}" name="Column4212" dataDxfId="12191"/>
    <tableColumn id="4218" xr3:uid="{00000000-0010-0000-0300-00007A100000}" name="Column4213" dataDxfId="12190"/>
    <tableColumn id="4219" xr3:uid="{00000000-0010-0000-0300-00007B100000}" name="Column4214" dataDxfId="12189"/>
    <tableColumn id="4220" xr3:uid="{00000000-0010-0000-0300-00007C100000}" name="Column4215" dataDxfId="12188"/>
    <tableColumn id="4221" xr3:uid="{00000000-0010-0000-0300-00007D100000}" name="Column4216" dataDxfId="12187"/>
    <tableColumn id="4222" xr3:uid="{00000000-0010-0000-0300-00007E100000}" name="Column4217" dataDxfId="12186"/>
    <tableColumn id="4223" xr3:uid="{00000000-0010-0000-0300-00007F100000}" name="Column4218" dataDxfId="12185"/>
    <tableColumn id="4224" xr3:uid="{00000000-0010-0000-0300-000080100000}" name="Column4219" dataDxfId="12184"/>
    <tableColumn id="4225" xr3:uid="{00000000-0010-0000-0300-000081100000}" name="Column4220" dataDxfId="12183"/>
    <tableColumn id="4226" xr3:uid="{00000000-0010-0000-0300-000082100000}" name="Column4221" dataDxfId="12182"/>
    <tableColumn id="4227" xr3:uid="{00000000-0010-0000-0300-000083100000}" name="Column4222" dataDxfId="12181"/>
    <tableColumn id="4228" xr3:uid="{00000000-0010-0000-0300-000084100000}" name="Column4223" dataDxfId="12180"/>
    <tableColumn id="4229" xr3:uid="{00000000-0010-0000-0300-000085100000}" name="Column4224" dataDxfId="12179"/>
    <tableColumn id="4230" xr3:uid="{00000000-0010-0000-0300-000086100000}" name="Column4225" dataDxfId="12178"/>
    <tableColumn id="4231" xr3:uid="{00000000-0010-0000-0300-000087100000}" name="Column4226" dataDxfId="12177"/>
    <tableColumn id="4232" xr3:uid="{00000000-0010-0000-0300-000088100000}" name="Column4227" dataDxfId="12176"/>
    <tableColumn id="4233" xr3:uid="{00000000-0010-0000-0300-000089100000}" name="Column4228" dataDxfId="12175"/>
    <tableColumn id="4234" xr3:uid="{00000000-0010-0000-0300-00008A100000}" name="Column4229" dataDxfId="12174"/>
    <tableColumn id="4235" xr3:uid="{00000000-0010-0000-0300-00008B100000}" name="Column4230" dataDxfId="12173"/>
    <tableColumn id="4236" xr3:uid="{00000000-0010-0000-0300-00008C100000}" name="Column4231" dataDxfId="12172"/>
    <tableColumn id="4237" xr3:uid="{00000000-0010-0000-0300-00008D100000}" name="Column4232" dataDxfId="12171"/>
    <tableColumn id="4238" xr3:uid="{00000000-0010-0000-0300-00008E100000}" name="Column4233" dataDxfId="12170"/>
    <tableColumn id="4239" xr3:uid="{00000000-0010-0000-0300-00008F100000}" name="Column4234" dataDxfId="12169"/>
    <tableColumn id="4240" xr3:uid="{00000000-0010-0000-0300-000090100000}" name="Column4235" dataDxfId="12168"/>
    <tableColumn id="4241" xr3:uid="{00000000-0010-0000-0300-000091100000}" name="Column4236" dataDxfId="12167"/>
    <tableColumn id="4242" xr3:uid="{00000000-0010-0000-0300-000092100000}" name="Column4237" dataDxfId="12166"/>
    <tableColumn id="4243" xr3:uid="{00000000-0010-0000-0300-000093100000}" name="Column4238" dataDxfId="12165"/>
    <tableColumn id="4244" xr3:uid="{00000000-0010-0000-0300-000094100000}" name="Column4239" dataDxfId="12164"/>
    <tableColumn id="4245" xr3:uid="{00000000-0010-0000-0300-000095100000}" name="Column4240" dataDxfId="12163"/>
    <tableColumn id="4246" xr3:uid="{00000000-0010-0000-0300-000096100000}" name="Column4241" dataDxfId="12162"/>
    <tableColumn id="4247" xr3:uid="{00000000-0010-0000-0300-000097100000}" name="Column4242" dataDxfId="12161"/>
    <tableColumn id="4248" xr3:uid="{00000000-0010-0000-0300-000098100000}" name="Column4243" dataDxfId="12160"/>
    <tableColumn id="4249" xr3:uid="{00000000-0010-0000-0300-000099100000}" name="Column4244" dataDxfId="12159"/>
    <tableColumn id="4250" xr3:uid="{00000000-0010-0000-0300-00009A100000}" name="Column4245" dataDxfId="12158"/>
    <tableColumn id="4251" xr3:uid="{00000000-0010-0000-0300-00009B100000}" name="Column4246" dataDxfId="12157"/>
    <tableColumn id="4252" xr3:uid="{00000000-0010-0000-0300-00009C100000}" name="Column4247" dataDxfId="12156"/>
    <tableColumn id="4253" xr3:uid="{00000000-0010-0000-0300-00009D100000}" name="Column4248" dataDxfId="12155"/>
    <tableColumn id="4254" xr3:uid="{00000000-0010-0000-0300-00009E100000}" name="Column4249" dataDxfId="12154"/>
    <tableColumn id="4255" xr3:uid="{00000000-0010-0000-0300-00009F100000}" name="Column4250" dataDxfId="12153"/>
    <tableColumn id="4256" xr3:uid="{00000000-0010-0000-0300-0000A0100000}" name="Column4251" dataDxfId="12152"/>
    <tableColumn id="4257" xr3:uid="{00000000-0010-0000-0300-0000A1100000}" name="Column4252" dataDxfId="12151"/>
    <tableColumn id="4258" xr3:uid="{00000000-0010-0000-0300-0000A2100000}" name="Column4253" dataDxfId="12150"/>
    <tableColumn id="4259" xr3:uid="{00000000-0010-0000-0300-0000A3100000}" name="Column4254" dataDxfId="12149"/>
    <tableColumn id="4260" xr3:uid="{00000000-0010-0000-0300-0000A4100000}" name="Column4255" dataDxfId="12148"/>
    <tableColumn id="4261" xr3:uid="{00000000-0010-0000-0300-0000A5100000}" name="Column4256" dataDxfId="12147"/>
    <tableColumn id="4262" xr3:uid="{00000000-0010-0000-0300-0000A6100000}" name="Column4257" dataDxfId="12146"/>
    <tableColumn id="4263" xr3:uid="{00000000-0010-0000-0300-0000A7100000}" name="Column4258" dataDxfId="12145"/>
    <tableColumn id="4264" xr3:uid="{00000000-0010-0000-0300-0000A8100000}" name="Column4259" dataDxfId="12144"/>
    <tableColumn id="4265" xr3:uid="{00000000-0010-0000-0300-0000A9100000}" name="Column4260" dataDxfId="12143"/>
    <tableColumn id="4266" xr3:uid="{00000000-0010-0000-0300-0000AA100000}" name="Column4261" dataDxfId="12142"/>
    <tableColumn id="4267" xr3:uid="{00000000-0010-0000-0300-0000AB100000}" name="Column4262" dataDxfId="12141"/>
    <tableColumn id="4268" xr3:uid="{00000000-0010-0000-0300-0000AC100000}" name="Column4263" dataDxfId="12140"/>
    <tableColumn id="4269" xr3:uid="{00000000-0010-0000-0300-0000AD100000}" name="Column4264" dataDxfId="12139"/>
    <tableColumn id="4270" xr3:uid="{00000000-0010-0000-0300-0000AE100000}" name="Column4265" dataDxfId="12138"/>
    <tableColumn id="4271" xr3:uid="{00000000-0010-0000-0300-0000AF100000}" name="Column4266" dataDxfId="12137"/>
    <tableColumn id="4272" xr3:uid="{00000000-0010-0000-0300-0000B0100000}" name="Column4267" dataDxfId="12136"/>
    <tableColumn id="4273" xr3:uid="{00000000-0010-0000-0300-0000B1100000}" name="Column4268" dataDxfId="12135"/>
    <tableColumn id="4274" xr3:uid="{00000000-0010-0000-0300-0000B2100000}" name="Column4269" dataDxfId="12134"/>
    <tableColumn id="4275" xr3:uid="{00000000-0010-0000-0300-0000B3100000}" name="Column4270" dataDxfId="12133"/>
    <tableColumn id="4276" xr3:uid="{00000000-0010-0000-0300-0000B4100000}" name="Column4271" dataDxfId="12132"/>
    <tableColumn id="4277" xr3:uid="{00000000-0010-0000-0300-0000B5100000}" name="Column4272" dataDxfId="12131"/>
    <tableColumn id="4278" xr3:uid="{00000000-0010-0000-0300-0000B6100000}" name="Column4273" dataDxfId="12130"/>
    <tableColumn id="4279" xr3:uid="{00000000-0010-0000-0300-0000B7100000}" name="Column4274" dataDxfId="12129"/>
    <tableColumn id="4280" xr3:uid="{00000000-0010-0000-0300-0000B8100000}" name="Column4275" dataDxfId="12128"/>
    <tableColumn id="4281" xr3:uid="{00000000-0010-0000-0300-0000B9100000}" name="Column4276" dataDxfId="12127"/>
    <tableColumn id="4282" xr3:uid="{00000000-0010-0000-0300-0000BA100000}" name="Column4277" dataDxfId="12126"/>
    <tableColumn id="4283" xr3:uid="{00000000-0010-0000-0300-0000BB100000}" name="Column4278" dataDxfId="12125"/>
    <tableColumn id="4284" xr3:uid="{00000000-0010-0000-0300-0000BC100000}" name="Column4279" dataDxfId="12124"/>
    <tableColumn id="4285" xr3:uid="{00000000-0010-0000-0300-0000BD100000}" name="Column4280" dataDxfId="12123"/>
    <tableColumn id="4286" xr3:uid="{00000000-0010-0000-0300-0000BE100000}" name="Column4281" dataDxfId="12122"/>
    <tableColumn id="4287" xr3:uid="{00000000-0010-0000-0300-0000BF100000}" name="Column4282" dataDxfId="12121"/>
    <tableColumn id="4288" xr3:uid="{00000000-0010-0000-0300-0000C0100000}" name="Column4283" dataDxfId="12120"/>
    <tableColumn id="4289" xr3:uid="{00000000-0010-0000-0300-0000C1100000}" name="Column4284" dataDxfId="12119"/>
    <tableColumn id="4290" xr3:uid="{00000000-0010-0000-0300-0000C2100000}" name="Column4285" dataDxfId="12118"/>
    <tableColumn id="4291" xr3:uid="{00000000-0010-0000-0300-0000C3100000}" name="Column4286" dataDxfId="12117"/>
    <tableColumn id="4292" xr3:uid="{00000000-0010-0000-0300-0000C4100000}" name="Column4287" dataDxfId="12116"/>
    <tableColumn id="4293" xr3:uid="{00000000-0010-0000-0300-0000C5100000}" name="Column4288" dataDxfId="12115"/>
    <tableColumn id="4294" xr3:uid="{00000000-0010-0000-0300-0000C6100000}" name="Column4289" dataDxfId="12114"/>
    <tableColumn id="4295" xr3:uid="{00000000-0010-0000-0300-0000C7100000}" name="Column4290" dataDxfId="12113"/>
    <tableColumn id="4296" xr3:uid="{00000000-0010-0000-0300-0000C8100000}" name="Column4291" dataDxfId="12112"/>
    <tableColumn id="4297" xr3:uid="{00000000-0010-0000-0300-0000C9100000}" name="Column4292" dataDxfId="12111"/>
    <tableColumn id="4298" xr3:uid="{00000000-0010-0000-0300-0000CA100000}" name="Column4293" dataDxfId="12110"/>
    <tableColumn id="4299" xr3:uid="{00000000-0010-0000-0300-0000CB100000}" name="Column4294" dataDxfId="12109"/>
    <tableColumn id="4300" xr3:uid="{00000000-0010-0000-0300-0000CC100000}" name="Column4295" dataDxfId="12108"/>
    <tableColumn id="4301" xr3:uid="{00000000-0010-0000-0300-0000CD100000}" name="Column4296" dataDxfId="12107"/>
    <tableColumn id="4302" xr3:uid="{00000000-0010-0000-0300-0000CE100000}" name="Column4297" dataDxfId="12106"/>
    <tableColumn id="4303" xr3:uid="{00000000-0010-0000-0300-0000CF100000}" name="Column4298" dataDxfId="12105"/>
    <tableColumn id="4304" xr3:uid="{00000000-0010-0000-0300-0000D0100000}" name="Column4299" dataDxfId="12104"/>
    <tableColumn id="4305" xr3:uid="{00000000-0010-0000-0300-0000D1100000}" name="Column4300" dataDxfId="12103"/>
    <tableColumn id="4306" xr3:uid="{00000000-0010-0000-0300-0000D2100000}" name="Column4301" dataDxfId="12102"/>
    <tableColumn id="4307" xr3:uid="{00000000-0010-0000-0300-0000D3100000}" name="Column4302" dataDxfId="12101"/>
    <tableColumn id="4308" xr3:uid="{00000000-0010-0000-0300-0000D4100000}" name="Column4303" dataDxfId="12100"/>
    <tableColumn id="4309" xr3:uid="{00000000-0010-0000-0300-0000D5100000}" name="Column4304" dataDxfId="12099"/>
    <tableColumn id="4310" xr3:uid="{00000000-0010-0000-0300-0000D6100000}" name="Column4305" dataDxfId="12098"/>
    <tableColumn id="4311" xr3:uid="{00000000-0010-0000-0300-0000D7100000}" name="Column4306" dataDxfId="12097"/>
    <tableColumn id="4312" xr3:uid="{00000000-0010-0000-0300-0000D8100000}" name="Column4307" dataDxfId="12096"/>
    <tableColumn id="4313" xr3:uid="{00000000-0010-0000-0300-0000D9100000}" name="Column4308" dataDxfId="12095"/>
    <tableColumn id="4314" xr3:uid="{00000000-0010-0000-0300-0000DA100000}" name="Column4309" dataDxfId="12094"/>
    <tableColumn id="4315" xr3:uid="{00000000-0010-0000-0300-0000DB100000}" name="Column4310" dataDxfId="12093"/>
    <tableColumn id="4316" xr3:uid="{00000000-0010-0000-0300-0000DC100000}" name="Column4311" dataDxfId="12092"/>
    <tableColumn id="4317" xr3:uid="{00000000-0010-0000-0300-0000DD100000}" name="Column4312" dataDxfId="12091"/>
    <tableColumn id="4318" xr3:uid="{00000000-0010-0000-0300-0000DE100000}" name="Column4313" dataDxfId="12090"/>
    <tableColumn id="4319" xr3:uid="{00000000-0010-0000-0300-0000DF100000}" name="Column4314" dataDxfId="12089"/>
    <tableColumn id="4320" xr3:uid="{00000000-0010-0000-0300-0000E0100000}" name="Column4315" dataDxfId="12088"/>
    <tableColumn id="4321" xr3:uid="{00000000-0010-0000-0300-0000E1100000}" name="Column4316" dataDxfId="12087"/>
    <tableColumn id="4322" xr3:uid="{00000000-0010-0000-0300-0000E2100000}" name="Column4317" dataDxfId="12086"/>
    <tableColumn id="4323" xr3:uid="{00000000-0010-0000-0300-0000E3100000}" name="Column4318" dataDxfId="12085"/>
    <tableColumn id="4324" xr3:uid="{00000000-0010-0000-0300-0000E4100000}" name="Column4319" dataDxfId="12084"/>
    <tableColumn id="4325" xr3:uid="{00000000-0010-0000-0300-0000E5100000}" name="Column4320" dataDxfId="12083"/>
    <tableColumn id="4326" xr3:uid="{00000000-0010-0000-0300-0000E6100000}" name="Column4321" dataDxfId="12082"/>
    <tableColumn id="4327" xr3:uid="{00000000-0010-0000-0300-0000E7100000}" name="Column4322" dataDxfId="12081"/>
    <tableColumn id="4328" xr3:uid="{00000000-0010-0000-0300-0000E8100000}" name="Column4323" dataDxfId="12080"/>
    <tableColumn id="4329" xr3:uid="{00000000-0010-0000-0300-0000E9100000}" name="Column4324" dataDxfId="12079"/>
    <tableColumn id="4330" xr3:uid="{00000000-0010-0000-0300-0000EA100000}" name="Column4325" dataDxfId="12078"/>
    <tableColumn id="4331" xr3:uid="{00000000-0010-0000-0300-0000EB100000}" name="Column4326" dataDxfId="12077"/>
    <tableColumn id="4332" xr3:uid="{00000000-0010-0000-0300-0000EC100000}" name="Column4327" dataDxfId="12076"/>
    <tableColumn id="4333" xr3:uid="{00000000-0010-0000-0300-0000ED100000}" name="Column4328" dataDxfId="12075"/>
    <tableColumn id="4334" xr3:uid="{00000000-0010-0000-0300-0000EE100000}" name="Column4329" dataDxfId="12074"/>
    <tableColumn id="4335" xr3:uid="{00000000-0010-0000-0300-0000EF100000}" name="Column4330" dataDxfId="12073"/>
    <tableColumn id="4336" xr3:uid="{00000000-0010-0000-0300-0000F0100000}" name="Column4331" dataDxfId="12072"/>
    <tableColumn id="4337" xr3:uid="{00000000-0010-0000-0300-0000F1100000}" name="Column4332" dataDxfId="12071"/>
    <tableColumn id="4338" xr3:uid="{00000000-0010-0000-0300-0000F2100000}" name="Column4333" dataDxfId="12070"/>
    <tableColumn id="4339" xr3:uid="{00000000-0010-0000-0300-0000F3100000}" name="Column4334" dataDxfId="12069"/>
    <tableColumn id="4340" xr3:uid="{00000000-0010-0000-0300-0000F4100000}" name="Column4335" dataDxfId="12068"/>
    <tableColumn id="4341" xr3:uid="{00000000-0010-0000-0300-0000F5100000}" name="Column4336" dataDxfId="12067"/>
    <tableColumn id="4342" xr3:uid="{00000000-0010-0000-0300-0000F6100000}" name="Column4337" dataDxfId="12066"/>
    <tableColumn id="4343" xr3:uid="{00000000-0010-0000-0300-0000F7100000}" name="Column4338" dataDxfId="12065"/>
    <tableColumn id="4344" xr3:uid="{00000000-0010-0000-0300-0000F8100000}" name="Column4339" dataDxfId="12064"/>
    <tableColumn id="4345" xr3:uid="{00000000-0010-0000-0300-0000F9100000}" name="Column4340" dataDxfId="12063"/>
    <tableColumn id="4346" xr3:uid="{00000000-0010-0000-0300-0000FA100000}" name="Column4341" dataDxfId="12062"/>
    <tableColumn id="4347" xr3:uid="{00000000-0010-0000-0300-0000FB100000}" name="Column4342" dataDxfId="12061"/>
    <tableColumn id="4348" xr3:uid="{00000000-0010-0000-0300-0000FC100000}" name="Column4343" dataDxfId="12060"/>
    <tableColumn id="4349" xr3:uid="{00000000-0010-0000-0300-0000FD100000}" name="Column4344" dataDxfId="12059"/>
    <tableColumn id="4350" xr3:uid="{00000000-0010-0000-0300-0000FE100000}" name="Column4345" dataDxfId="12058"/>
    <tableColumn id="4351" xr3:uid="{00000000-0010-0000-0300-0000FF100000}" name="Column4346" dataDxfId="12057"/>
    <tableColumn id="4352" xr3:uid="{00000000-0010-0000-0300-000000110000}" name="Column4347" dataDxfId="12056"/>
    <tableColumn id="4353" xr3:uid="{00000000-0010-0000-0300-000001110000}" name="Column4348" dataDxfId="12055"/>
    <tableColumn id="4354" xr3:uid="{00000000-0010-0000-0300-000002110000}" name="Column4349" dataDxfId="12054"/>
    <tableColumn id="4355" xr3:uid="{00000000-0010-0000-0300-000003110000}" name="Column4350" dataDxfId="12053"/>
    <tableColumn id="4356" xr3:uid="{00000000-0010-0000-0300-000004110000}" name="Column4351" dataDxfId="12052"/>
    <tableColumn id="4357" xr3:uid="{00000000-0010-0000-0300-000005110000}" name="Column4352" dataDxfId="12051"/>
    <tableColumn id="4358" xr3:uid="{00000000-0010-0000-0300-000006110000}" name="Column4353" dataDxfId="12050"/>
    <tableColumn id="4359" xr3:uid="{00000000-0010-0000-0300-000007110000}" name="Column4354" dataDxfId="12049"/>
    <tableColumn id="4360" xr3:uid="{00000000-0010-0000-0300-000008110000}" name="Column4355" dataDxfId="12048"/>
    <tableColumn id="4361" xr3:uid="{00000000-0010-0000-0300-000009110000}" name="Column4356" dataDxfId="12047"/>
    <tableColumn id="4362" xr3:uid="{00000000-0010-0000-0300-00000A110000}" name="Column4357" dataDxfId="12046"/>
    <tableColumn id="4363" xr3:uid="{00000000-0010-0000-0300-00000B110000}" name="Column4358" dataDxfId="12045"/>
    <tableColumn id="4364" xr3:uid="{00000000-0010-0000-0300-00000C110000}" name="Column4359" dataDxfId="12044"/>
    <tableColumn id="4365" xr3:uid="{00000000-0010-0000-0300-00000D110000}" name="Column4360" dataDxfId="12043"/>
    <tableColumn id="4366" xr3:uid="{00000000-0010-0000-0300-00000E110000}" name="Column4361" dataDxfId="12042"/>
    <tableColumn id="4367" xr3:uid="{00000000-0010-0000-0300-00000F110000}" name="Column4362" dataDxfId="12041"/>
    <tableColumn id="4368" xr3:uid="{00000000-0010-0000-0300-000010110000}" name="Column4363" dataDxfId="12040"/>
    <tableColumn id="4369" xr3:uid="{00000000-0010-0000-0300-000011110000}" name="Column4364" dataDxfId="12039"/>
    <tableColumn id="4370" xr3:uid="{00000000-0010-0000-0300-000012110000}" name="Column4365" dataDxfId="12038"/>
    <tableColumn id="4371" xr3:uid="{00000000-0010-0000-0300-000013110000}" name="Column4366" dataDxfId="12037"/>
    <tableColumn id="4372" xr3:uid="{00000000-0010-0000-0300-000014110000}" name="Column4367" dataDxfId="12036"/>
    <tableColumn id="4373" xr3:uid="{00000000-0010-0000-0300-000015110000}" name="Column4368" dataDxfId="12035"/>
    <tableColumn id="4374" xr3:uid="{00000000-0010-0000-0300-000016110000}" name="Column4369" dataDxfId="12034"/>
    <tableColumn id="4375" xr3:uid="{00000000-0010-0000-0300-000017110000}" name="Column4370" dataDxfId="12033"/>
    <tableColumn id="4376" xr3:uid="{00000000-0010-0000-0300-000018110000}" name="Column4371" dataDxfId="12032"/>
    <tableColumn id="4377" xr3:uid="{00000000-0010-0000-0300-000019110000}" name="Column4372" dataDxfId="12031"/>
    <tableColumn id="4378" xr3:uid="{00000000-0010-0000-0300-00001A110000}" name="Column4373" dataDxfId="12030"/>
    <tableColumn id="4379" xr3:uid="{00000000-0010-0000-0300-00001B110000}" name="Column4374" dataDxfId="12029"/>
    <tableColumn id="4380" xr3:uid="{00000000-0010-0000-0300-00001C110000}" name="Column4375" dataDxfId="12028"/>
    <tableColumn id="4381" xr3:uid="{00000000-0010-0000-0300-00001D110000}" name="Column4376" dataDxfId="12027"/>
    <tableColumn id="4382" xr3:uid="{00000000-0010-0000-0300-00001E110000}" name="Column4377" dataDxfId="12026"/>
    <tableColumn id="4383" xr3:uid="{00000000-0010-0000-0300-00001F110000}" name="Column4378" dataDxfId="12025"/>
    <tableColumn id="4384" xr3:uid="{00000000-0010-0000-0300-000020110000}" name="Column4379" dataDxfId="12024"/>
    <tableColumn id="4385" xr3:uid="{00000000-0010-0000-0300-000021110000}" name="Column4380" dataDxfId="12023"/>
    <tableColumn id="4386" xr3:uid="{00000000-0010-0000-0300-000022110000}" name="Column4381" dataDxfId="12022"/>
    <tableColumn id="4387" xr3:uid="{00000000-0010-0000-0300-000023110000}" name="Column4382" dataDxfId="12021"/>
    <tableColumn id="4388" xr3:uid="{00000000-0010-0000-0300-000024110000}" name="Column4383" dataDxfId="12020"/>
    <tableColumn id="4389" xr3:uid="{00000000-0010-0000-0300-000025110000}" name="Column4384" dataDxfId="12019"/>
    <tableColumn id="4390" xr3:uid="{00000000-0010-0000-0300-000026110000}" name="Column4385" dataDxfId="12018"/>
    <tableColumn id="4391" xr3:uid="{00000000-0010-0000-0300-000027110000}" name="Column4386" dataDxfId="12017"/>
    <tableColumn id="4392" xr3:uid="{00000000-0010-0000-0300-000028110000}" name="Column4387" dataDxfId="12016"/>
    <tableColumn id="4393" xr3:uid="{00000000-0010-0000-0300-000029110000}" name="Column4388" dataDxfId="12015"/>
    <tableColumn id="4394" xr3:uid="{00000000-0010-0000-0300-00002A110000}" name="Column4389" dataDxfId="12014"/>
    <tableColumn id="4395" xr3:uid="{00000000-0010-0000-0300-00002B110000}" name="Column4390" dataDxfId="12013"/>
    <tableColumn id="4396" xr3:uid="{00000000-0010-0000-0300-00002C110000}" name="Column4391" dataDxfId="12012"/>
    <tableColumn id="4397" xr3:uid="{00000000-0010-0000-0300-00002D110000}" name="Column4392" dataDxfId="12011"/>
    <tableColumn id="4398" xr3:uid="{00000000-0010-0000-0300-00002E110000}" name="Column4393" dataDxfId="12010"/>
    <tableColumn id="4399" xr3:uid="{00000000-0010-0000-0300-00002F110000}" name="Column4394" dataDxfId="12009"/>
    <tableColumn id="4400" xr3:uid="{00000000-0010-0000-0300-000030110000}" name="Column4395" dataDxfId="12008"/>
    <tableColumn id="4401" xr3:uid="{00000000-0010-0000-0300-000031110000}" name="Column4396" dataDxfId="12007"/>
    <tableColumn id="4402" xr3:uid="{00000000-0010-0000-0300-000032110000}" name="Column4397" dataDxfId="12006"/>
    <tableColumn id="4403" xr3:uid="{00000000-0010-0000-0300-000033110000}" name="Column4398" dataDxfId="12005"/>
    <tableColumn id="4404" xr3:uid="{00000000-0010-0000-0300-000034110000}" name="Column4399" dataDxfId="12004"/>
    <tableColumn id="4405" xr3:uid="{00000000-0010-0000-0300-000035110000}" name="Column4400" dataDxfId="12003"/>
    <tableColumn id="4406" xr3:uid="{00000000-0010-0000-0300-000036110000}" name="Column4401" dataDxfId="12002"/>
    <tableColumn id="4407" xr3:uid="{00000000-0010-0000-0300-000037110000}" name="Column4402" dataDxfId="12001"/>
    <tableColumn id="4408" xr3:uid="{00000000-0010-0000-0300-000038110000}" name="Column4403" dataDxfId="12000"/>
    <tableColumn id="4409" xr3:uid="{00000000-0010-0000-0300-000039110000}" name="Column4404" dataDxfId="11999"/>
    <tableColumn id="4410" xr3:uid="{00000000-0010-0000-0300-00003A110000}" name="Column4405" dataDxfId="11998"/>
    <tableColumn id="4411" xr3:uid="{00000000-0010-0000-0300-00003B110000}" name="Column4406" dataDxfId="11997"/>
    <tableColumn id="4412" xr3:uid="{00000000-0010-0000-0300-00003C110000}" name="Column4407" dataDxfId="11996"/>
    <tableColumn id="4413" xr3:uid="{00000000-0010-0000-0300-00003D110000}" name="Column4408" dataDxfId="11995"/>
    <tableColumn id="4414" xr3:uid="{00000000-0010-0000-0300-00003E110000}" name="Column4409" dataDxfId="11994"/>
    <tableColumn id="4415" xr3:uid="{00000000-0010-0000-0300-00003F110000}" name="Column4410" dataDxfId="11993"/>
    <tableColumn id="4416" xr3:uid="{00000000-0010-0000-0300-000040110000}" name="Column4411" dataDxfId="11992"/>
    <tableColumn id="4417" xr3:uid="{00000000-0010-0000-0300-000041110000}" name="Column4412" dataDxfId="11991"/>
    <tableColumn id="4418" xr3:uid="{00000000-0010-0000-0300-000042110000}" name="Column4413" dataDxfId="11990"/>
    <tableColumn id="4419" xr3:uid="{00000000-0010-0000-0300-000043110000}" name="Column4414" dataDxfId="11989"/>
    <tableColumn id="4420" xr3:uid="{00000000-0010-0000-0300-000044110000}" name="Column4415" dataDxfId="11988"/>
    <tableColumn id="4421" xr3:uid="{00000000-0010-0000-0300-000045110000}" name="Column4416" dataDxfId="11987"/>
    <tableColumn id="4422" xr3:uid="{00000000-0010-0000-0300-000046110000}" name="Column4417" dataDxfId="11986"/>
    <tableColumn id="4423" xr3:uid="{00000000-0010-0000-0300-000047110000}" name="Column4418" dataDxfId="11985"/>
    <tableColumn id="4424" xr3:uid="{00000000-0010-0000-0300-000048110000}" name="Column4419" dataDxfId="11984"/>
    <tableColumn id="4425" xr3:uid="{00000000-0010-0000-0300-000049110000}" name="Column4420" dataDxfId="11983"/>
    <tableColumn id="4426" xr3:uid="{00000000-0010-0000-0300-00004A110000}" name="Column4421" dataDxfId="11982"/>
    <tableColumn id="4427" xr3:uid="{00000000-0010-0000-0300-00004B110000}" name="Column4422" dataDxfId="11981"/>
    <tableColumn id="4428" xr3:uid="{00000000-0010-0000-0300-00004C110000}" name="Column4423" dataDxfId="11980"/>
    <tableColumn id="4429" xr3:uid="{00000000-0010-0000-0300-00004D110000}" name="Column4424" dataDxfId="11979"/>
    <tableColumn id="4430" xr3:uid="{00000000-0010-0000-0300-00004E110000}" name="Column4425" dataDxfId="11978"/>
    <tableColumn id="4431" xr3:uid="{00000000-0010-0000-0300-00004F110000}" name="Column4426" dataDxfId="11977"/>
    <tableColumn id="4432" xr3:uid="{00000000-0010-0000-0300-000050110000}" name="Column4427" dataDxfId="11976"/>
    <tableColumn id="4433" xr3:uid="{00000000-0010-0000-0300-000051110000}" name="Column4428" dataDxfId="11975"/>
    <tableColumn id="4434" xr3:uid="{00000000-0010-0000-0300-000052110000}" name="Column4429" dataDxfId="11974"/>
    <tableColumn id="4435" xr3:uid="{00000000-0010-0000-0300-000053110000}" name="Column4430" dataDxfId="11973"/>
    <tableColumn id="4436" xr3:uid="{00000000-0010-0000-0300-000054110000}" name="Column4431" dataDxfId="11972"/>
    <tableColumn id="4437" xr3:uid="{00000000-0010-0000-0300-000055110000}" name="Column4432" dataDxfId="11971"/>
    <tableColumn id="4438" xr3:uid="{00000000-0010-0000-0300-000056110000}" name="Column4433" dataDxfId="11970"/>
    <tableColumn id="4439" xr3:uid="{00000000-0010-0000-0300-000057110000}" name="Column4434" dataDxfId="11969"/>
    <tableColumn id="4440" xr3:uid="{00000000-0010-0000-0300-000058110000}" name="Column4435" dataDxfId="11968"/>
    <tableColumn id="4441" xr3:uid="{00000000-0010-0000-0300-000059110000}" name="Column4436" dataDxfId="11967"/>
    <tableColumn id="4442" xr3:uid="{00000000-0010-0000-0300-00005A110000}" name="Column4437" dataDxfId="11966"/>
    <tableColumn id="4443" xr3:uid="{00000000-0010-0000-0300-00005B110000}" name="Column4438" dataDxfId="11965"/>
    <tableColumn id="4444" xr3:uid="{00000000-0010-0000-0300-00005C110000}" name="Column4439" dataDxfId="11964"/>
    <tableColumn id="4445" xr3:uid="{00000000-0010-0000-0300-00005D110000}" name="Column4440" dataDxfId="11963"/>
    <tableColumn id="4446" xr3:uid="{00000000-0010-0000-0300-00005E110000}" name="Column4441" dataDxfId="11962"/>
    <tableColumn id="4447" xr3:uid="{00000000-0010-0000-0300-00005F110000}" name="Column4442" dataDxfId="11961"/>
    <tableColumn id="4448" xr3:uid="{00000000-0010-0000-0300-000060110000}" name="Column4443" dataDxfId="11960"/>
    <tableColumn id="4449" xr3:uid="{00000000-0010-0000-0300-000061110000}" name="Column4444" dataDxfId="11959"/>
    <tableColumn id="4450" xr3:uid="{00000000-0010-0000-0300-000062110000}" name="Column4445" dataDxfId="11958"/>
    <tableColumn id="4451" xr3:uid="{00000000-0010-0000-0300-000063110000}" name="Column4446" dataDxfId="11957"/>
    <tableColumn id="4452" xr3:uid="{00000000-0010-0000-0300-000064110000}" name="Column4447" dataDxfId="11956"/>
    <tableColumn id="4453" xr3:uid="{00000000-0010-0000-0300-000065110000}" name="Column4448" dataDxfId="11955"/>
    <tableColumn id="4454" xr3:uid="{00000000-0010-0000-0300-000066110000}" name="Column4449" dataDxfId="11954"/>
    <tableColumn id="4455" xr3:uid="{00000000-0010-0000-0300-000067110000}" name="Column4450" dataDxfId="11953"/>
    <tableColumn id="4456" xr3:uid="{00000000-0010-0000-0300-000068110000}" name="Column4451" dataDxfId="11952"/>
    <tableColumn id="4457" xr3:uid="{00000000-0010-0000-0300-000069110000}" name="Column4452" dataDxfId="11951"/>
    <tableColumn id="4458" xr3:uid="{00000000-0010-0000-0300-00006A110000}" name="Column4453" dataDxfId="11950"/>
    <tableColumn id="4459" xr3:uid="{00000000-0010-0000-0300-00006B110000}" name="Column4454" dataDxfId="11949"/>
    <tableColumn id="4460" xr3:uid="{00000000-0010-0000-0300-00006C110000}" name="Column4455" dataDxfId="11948"/>
    <tableColumn id="4461" xr3:uid="{00000000-0010-0000-0300-00006D110000}" name="Column4456" dataDxfId="11947"/>
    <tableColumn id="4462" xr3:uid="{00000000-0010-0000-0300-00006E110000}" name="Column4457" dataDxfId="11946"/>
    <tableColumn id="4463" xr3:uid="{00000000-0010-0000-0300-00006F110000}" name="Column4458" dataDxfId="11945"/>
    <tableColumn id="4464" xr3:uid="{00000000-0010-0000-0300-000070110000}" name="Column4459" dataDxfId="11944"/>
    <tableColumn id="4465" xr3:uid="{00000000-0010-0000-0300-000071110000}" name="Column4460" dataDxfId="11943"/>
    <tableColumn id="4466" xr3:uid="{00000000-0010-0000-0300-000072110000}" name="Column4461" dataDxfId="11942"/>
    <tableColumn id="4467" xr3:uid="{00000000-0010-0000-0300-000073110000}" name="Column4462" dataDxfId="11941"/>
    <tableColumn id="4468" xr3:uid="{00000000-0010-0000-0300-000074110000}" name="Column4463" dataDxfId="11940"/>
    <tableColumn id="4469" xr3:uid="{00000000-0010-0000-0300-000075110000}" name="Column4464" dataDxfId="11939"/>
    <tableColumn id="4470" xr3:uid="{00000000-0010-0000-0300-000076110000}" name="Column4465" dataDxfId="11938"/>
    <tableColumn id="4471" xr3:uid="{00000000-0010-0000-0300-000077110000}" name="Column4466" dataDxfId="11937"/>
    <tableColumn id="4472" xr3:uid="{00000000-0010-0000-0300-000078110000}" name="Column4467" dataDxfId="11936"/>
    <tableColumn id="4473" xr3:uid="{00000000-0010-0000-0300-000079110000}" name="Column4468" dataDxfId="11935"/>
    <tableColumn id="4474" xr3:uid="{00000000-0010-0000-0300-00007A110000}" name="Column4469" dataDxfId="11934"/>
    <tableColumn id="4475" xr3:uid="{00000000-0010-0000-0300-00007B110000}" name="Column4470" dataDxfId="11933"/>
    <tableColumn id="4476" xr3:uid="{00000000-0010-0000-0300-00007C110000}" name="Column4471" dataDxfId="11932"/>
    <tableColumn id="4477" xr3:uid="{00000000-0010-0000-0300-00007D110000}" name="Column4472" dataDxfId="11931"/>
    <tableColumn id="4478" xr3:uid="{00000000-0010-0000-0300-00007E110000}" name="Column4473" dataDxfId="11930"/>
    <tableColumn id="4479" xr3:uid="{00000000-0010-0000-0300-00007F110000}" name="Column4474" dataDxfId="11929"/>
    <tableColumn id="4480" xr3:uid="{00000000-0010-0000-0300-000080110000}" name="Column4475" dataDxfId="11928"/>
    <tableColumn id="4481" xr3:uid="{00000000-0010-0000-0300-000081110000}" name="Column4476" dataDxfId="11927"/>
    <tableColumn id="4482" xr3:uid="{00000000-0010-0000-0300-000082110000}" name="Column4477" dataDxfId="11926"/>
    <tableColumn id="4483" xr3:uid="{00000000-0010-0000-0300-000083110000}" name="Column4478" dataDxfId="11925"/>
    <tableColumn id="4484" xr3:uid="{00000000-0010-0000-0300-000084110000}" name="Column4479" dataDxfId="11924"/>
    <tableColumn id="4485" xr3:uid="{00000000-0010-0000-0300-000085110000}" name="Column4480" dataDxfId="11923"/>
    <tableColumn id="4486" xr3:uid="{00000000-0010-0000-0300-000086110000}" name="Column4481" dataDxfId="11922"/>
    <tableColumn id="4487" xr3:uid="{00000000-0010-0000-0300-000087110000}" name="Column4482" dataDxfId="11921"/>
    <tableColumn id="4488" xr3:uid="{00000000-0010-0000-0300-000088110000}" name="Column4483" dataDxfId="11920"/>
    <tableColumn id="4489" xr3:uid="{00000000-0010-0000-0300-000089110000}" name="Column4484" dataDxfId="11919"/>
    <tableColumn id="4490" xr3:uid="{00000000-0010-0000-0300-00008A110000}" name="Column4485" dataDxfId="11918"/>
    <tableColumn id="4491" xr3:uid="{00000000-0010-0000-0300-00008B110000}" name="Column4486" dataDxfId="11917"/>
    <tableColumn id="4492" xr3:uid="{00000000-0010-0000-0300-00008C110000}" name="Column4487" dataDxfId="11916"/>
    <tableColumn id="4493" xr3:uid="{00000000-0010-0000-0300-00008D110000}" name="Column4488" dataDxfId="11915"/>
    <tableColumn id="4494" xr3:uid="{00000000-0010-0000-0300-00008E110000}" name="Column4489" dataDxfId="11914"/>
    <tableColumn id="4495" xr3:uid="{00000000-0010-0000-0300-00008F110000}" name="Column4490" dataDxfId="11913"/>
    <tableColumn id="4496" xr3:uid="{00000000-0010-0000-0300-000090110000}" name="Column4491" dataDxfId="11912"/>
    <tableColumn id="4497" xr3:uid="{00000000-0010-0000-0300-000091110000}" name="Column4492" dataDxfId="11911"/>
    <tableColumn id="4498" xr3:uid="{00000000-0010-0000-0300-000092110000}" name="Column4493" dataDxfId="11910"/>
    <tableColumn id="4499" xr3:uid="{00000000-0010-0000-0300-000093110000}" name="Column4494" dataDxfId="11909"/>
    <tableColumn id="4500" xr3:uid="{00000000-0010-0000-0300-000094110000}" name="Column4495" dataDxfId="11908"/>
    <tableColumn id="4501" xr3:uid="{00000000-0010-0000-0300-000095110000}" name="Column4496" dataDxfId="11907"/>
    <tableColumn id="4502" xr3:uid="{00000000-0010-0000-0300-000096110000}" name="Column4497" dataDxfId="11906"/>
    <tableColumn id="4503" xr3:uid="{00000000-0010-0000-0300-000097110000}" name="Column4498" dataDxfId="11905"/>
    <tableColumn id="4504" xr3:uid="{00000000-0010-0000-0300-000098110000}" name="Column4499" dataDxfId="11904"/>
    <tableColumn id="4505" xr3:uid="{00000000-0010-0000-0300-000099110000}" name="Column4500" dataDxfId="11903"/>
    <tableColumn id="4506" xr3:uid="{00000000-0010-0000-0300-00009A110000}" name="Column4501" dataDxfId="11902"/>
    <tableColumn id="4507" xr3:uid="{00000000-0010-0000-0300-00009B110000}" name="Column4502" dataDxfId="11901"/>
    <tableColumn id="4508" xr3:uid="{00000000-0010-0000-0300-00009C110000}" name="Column4503" dataDxfId="11900"/>
    <tableColumn id="4509" xr3:uid="{00000000-0010-0000-0300-00009D110000}" name="Column4504" dataDxfId="11899"/>
    <tableColumn id="4510" xr3:uid="{00000000-0010-0000-0300-00009E110000}" name="Column4505" dataDxfId="11898"/>
    <tableColumn id="4511" xr3:uid="{00000000-0010-0000-0300-00009F110000}" name="Column4506" dataDxfId="11897"/>
    <tableColumn id="4512" xr3:uid="{00000000-0010-0000-0300-0000A0110000}" name="Column4507" dataDxfId="11896"/>
    <tableColumn id="4513" xr3:uid="{00000000-0010-0000-0300-0000A1110000}" name="Column4508" dataDxfId="11895"/>
    <tableColumn id="4514" xr3:uid="{00000000-0010-0000-0300-0000A2110000}" name="Column4509" dataDxfId="11894"/>
    <tableColumn id="4515" xr3:uid="{00000000-0010-0000-0300-0000A3110000}" name="Column4510" dataDxfId="11893"/>
    <tableColumn id="4516" xr3:uid="{00000000-0010-0000-0300-0000A4110000}" name="Column4511" dataDxfId="11892"/>
    <tableColumn id="4517" xr3:uid="{00000000-0010-0000-0300-0000A5110000}" name="Column4512" dataDxfId="11891"/>
    <tableColumn id="4518" xr3:uid="{00000000-0010-0000-0300-0000A6110000}" name="Column4513" dataDxfId="11890"/>
    <tableColumn id="4519" xr3:uid="{00000000-0010-0000-0300-0000A7110000}" name="Column4514" dataDxfId="11889"/>
    <tableColumn id="4520" xr3:uid="{00000000-0010-0000-0300-0000A8110000}" name="Column4515" dataDxfId="11888"/>
    <tableColumn id="4521" xr3:uid="{00000000-0010-0000-0300-0000A9110000}" name="Column4516" dataDxfId="11887"/>
    <tableColumn id="4522" xr3:uid="{00000000-0010-0000-0300-0000AA110000}" name="Column4517" dataDxfId="11886"/>
    <tableColumn id="4523" xr3:uid="{00000000-0010-0000-0300-0000AB110000}" name="Column4518" dataDxfId="11885"/>
    <tableColumn id="4524" xr3:uid="{00000000-0010-0000-0300-0000AC110000}" name="Column4519" dataDxfId="11884"/>
    <tableColumn id="4525" xr3:uid="{00000000-0010-0000-0300-0000AD110000}" name="Column4520" dataDxfId="11883"/>
    <tableColumn id="4526" xr3:uid="{00000000-0010-0000-0300-0000AE110000}" name="Column4521" dataDxfId="11882"/>
    <tableColumn id="4527" xr3:uid="{00000000-0010-0000-0300-0000AF110000}" name="Column4522" dataDxfId="11881"/>
    <tableColumn id="4528" xr3:uid="{00000000-0010-0000-0300-0000B0110000}" name="Column4523" dataDxfId="11880"/>
    <tableColumn id="4529" xr3:uid="{00000000-0010-0000-0300-0000B1110000}" name="Column4524" dataDxfId="11879"/>
    <tableColumn id="4530" xr3:uid="{00000000-0010-0000-0300-0000B2110000}" name="Column4525" dataDxfId="11878"/>
    <tableColumn id="4531" xr3:uid="{00000000-0010-0000-0300-0000B3110000}" name="Column4526" dataDxfId="11877"/>
    <tableColumn id="4532" xr3:uid="{00000000-0010-0000-0300-0000B4110000}" name="Column4527" dataDxfId="11876"/>
    <tableColumn id="4533" xr3:uid="{00000000-0010-0000-0300-0000B5110000}" name="Column4528" dataDxfId="11875"/>
    <tableColumn id="4534" xr3:uid="{00000000-0010-0000-0300-0000B6110000}" name="Column4529" dataDxfId="11874"/>
    <tableColumn id="4535" xr3:uid="{00000000-0010-0000-0300-0000B7110000}" name="Column4530" dataDxfId="11873"/>
    <tableColumn id="4536" xr3:uid="{00000000-0010-0000-0300-0000B8110000}" name="Column4531" dataDxfId="11872"/>
    <tableColumn id="4537" xr3:uid="{00000000-0010-0000-0300-0000B9110000}" name="Column4532" dataDxfId="11871"/>
    <tableColumn id="4538" xr3:uid="{00000000-0010-0000-0300-0000BA110000}" name="Column4533" dataDxfId="11870"/>
    <tableColumn id="4539" xr3:uid="{00000000-0010-0000-0300-0000BB110000}" name="Column4534" dataDxfId="11869"/>
    <tableColumn id="4540" xr3:uid="{00000000-0010-0000-0300-0000BC110000}" name="Column4535" dataDxfId="11868"/>
    <tableColumn id="4541" xr3:uid="{00000000-0010-0000-0300-0000BD110000}" name="Column4536" dataDxfId="11867"/>
    <tableColumn id="4542" xr3:uid="{00000000-0010-0000-0300-0000BE110000}" name="Column4537" dataDxfId="11866"/>
    <tableColumn id="4543" xr3:uid="{00000000-0010-0000-0300-0000BF110000}" name="Column4538" dataDxfId="11865"/>
    <tableColumn id="4544" xr3:uid="{00000000-0010-0000-0300-0000C0110000}" name="Column4539" dataDxfId="11864"/>
    <tableColumn id="4545" xr3:uid="{00000000-0010-0000-0300-0000C1110000}" name="Column4540" dataDxfId="11863"/>
    <tableColumn id="4546" xr3:uid="{00000000-0010-0000-0300-0000C2110000}" name="Column4541" dataDxfId="11862"/>
    <tableColumn id="4547" xr3:uid="{00000000-0010-0000-0300-0000C3110000}" name="Column4542" dataDxfId="11861"/>
    <tableColumn id="4548" xr3:uid="{00000000-0010-0000-0300-0000C4110000}" name="Column4543" dataDxfId="11860"/>
    <tableColumn id="4549" xr3:uid="{00000000-0010-0000-0300-0000C5110000}" name="Column4544" dataDxfId="11859"/>
    <tableColumn id="4550" xr3:uid="{00000000-0010-0000-0300-0000C6110000}" name="Column4545" dataDxfId="11858"/>
    <tableColumn id="4551" xr3:uid="{00000000-0010-0000-0300-0000C7110000}" name="Column4546" dataDxfId="11857"/>
    <tableColumn id="4552" xr3:uid="{00000000-0010-0000-0300-0000C8110000}" name="Column4547" dataDxfId="11856"/>
    <tableColumn id="4553" xr3:uid="{00000000-0010-0000-0300-0000C9110000}" name="Column4548" dataDxfId="11855"/>
    <tableColumn id="4554" xr3:uid="{00000000-0010-0000-0300-0000CA110000}" name="Column4549" dataDxfId="11854"/>
    <tableColumn id="4555" xr3:uid="{00000000-0010-0000-0300-0000CB110000}" name="Column4550" dataDxfId="11853"/>
    <tableColumn id="4556" xr3:uid="{00000000-0010-0000-0300-0000CC110000}" name="Column4551" dataDxfId="11852"/>
    <tableColumn id="4557" xr3:uid="{00000000-0010-0000-0300-0000CD110000}" name="Column4552" dataDxfId="11851"/>
    <tableColumn id="4558" xr3:uid="{00000000-0010-0000-0300-0000CE110000}" name="Column4553" dataDxfId="11850"/>
    <tableColumn id="4559" xr3:uid="{00000000-0010-0000-0300-0000CF110000}" name="Column4554" dataDxfId="11849"/>
    <tableColumn id="4560" xr3:uid="{00000000-0010-0000-0300-0000D0110000}" name="Column4555" dataDxfId="11848"/>
    <tableColumn id="4561" xr3:uid="{00000000-0010-0000-0300-0000D1110000}" name="Column4556" dataDxfId="11847"/>
    <tableColumn id="4562" xr3:uid="{00000000-0010-0000-0300-0000D2110000}" name="Column4557" dataDxfId="11846"/>
    <tableColumn id="4563" xr3:uid="{00000000-0010-0000-0300-0000D3110000}" name="Column4558" dataDxfId="11845"/>
    <tableColumn id="4564" xr3:uid="{00000000-0010-0000-0300-0000D4110000}" name="Column4559" dataDxfId="11844"/>
    <tableColumn id="4565" xr3:uid="{00000000-0010-0000-0300-0000D5110000}" name="Column4560" dataDxfId="11843"/>
    <tableColumn id="4566" xr3:uid="{00000000-0010-0000-0300-0000D6110000}" name="Column4561" dataDxfId="11842"/>
    <tableColumn id="4567" xr3:uid="{00000000-0010-0000-0300-0000D7110000}" name="Column4562" dataDxfId="11841"/>
    <tableColumn id="4568" xr3:uid="{00000000-0010-0000-0300-0000D8110000}" name="Column4563" dataDxfId="11840"/>
    <tableColumn id="4569" xr3:uid="{00000000-0010-0000-0300-0000D9110000}" name="Column4564" dataDxfId="11839"/>
    <tableColumn id="4570" xr3:uid="{00000000-0010-0000-0300-0000DA110000}" name="Column4565" dataDxfId="11838"/>
    <tableColumn id="4571" xr3:uid="{00000000-0010-0000-0300-0000DB110000}" name="Column4566" dataDxfId="11837"/>
    <tableColumn id="4572" xr3:uid="{00000000-0010-0000-0300-0000DC110000}" name="Column4567" dataDxfId="11836"/>
    <tableColumn id="4573" xr3:uid="{00000000-0010-0000-0300-0000DD110000}" name="Column4568" dataDxfId="11835"/>
    <tableColumn id="4574" xr3:uid="{00000000-0010-0000-0300-0000DE110000}" name="Column4569" dataDxfId="11834"/>
    <tableColumn id="4575" xr3:uid="{00000000-0010-0000-0300-0000DF110000}" name="Column4570" dataDxfId="11833"/>
    <tableColumn id="4576" xr3:uid="{00000000-0010-0000-0300-0000E0110000}" name="Column4571" dataDxfId="11832"/>
    <tableColumn id="4577" xr3:uid="{00000000-0010-0000-0300-0000E1110000}" name="Column4572" dataDxfId="11831"/>
    <tableColumn id="4578" xr3:uid="{00000000-0010-0000-0300-0000E2110000}" name="Column4573" dataDxfId="11830"/>
    <tableColumn id="4579" xr3:uid="{00000000-0010-0000-0300-0000E3110000}" name="Column4574" dataDxfId="11829"/>
    <tableColumn id="4580" xr3:uid="{00000000-0010-0000-0300-0000E4110000}" name="Column4575" dataDxfId="11828"/>
    <tableColumn id="4581" xr3:uid="{00000000-0010-0000-0300-0000E5110000}" name="Column4576" dataDxfId="11827"/>
    <tableColumn id="4582" xr3:uid="{00000000-0010-0000-0300-0000E6110000}" name="Column4577" dataDxfId="11826"/>
    <tableColumn id="4583" xr3:uid="{00000000-0010-0000-0300-0000E7110000}" name="Column4578" dataDxfId="11825"/>
    <tableColumn id="4584" xr3:uid="{00000000-0010-0000-0300-0000E8110000}" name="Column4579" dataDxfId="11824"/>
    <tableColumn id="4585" xr3:uid="{00000000-0010-0000-0300-0000E9110000}" name="Column4580" dataDxfId="11823"/>
    <tableColumn id="4586" xr3:uid="{00000000-0010-0000-0300-0000EA110000}" name="Column4581" dataDxfId="11822"/>
    <tableColumn id="4587" xr3:uid="{00000000-0010-0000-0300-0000EB110000}" name="Column4582" dataDxfId="11821"/>
    <tableColumn id="4588" xr3:uid="{00000000-0010-0000-0300-0000EC110000}" name="Column4583" dataDxfId="11820"/>
    <tableColumn id="4589" xr3:uid="{00000000-0010-0000-0300-0000ED110000}" name="Column4584" dataDxfId="11819"/>
    <tableColumn id="4590" xr3:uid="{00000000-0010-0000-0300-0000EE110000}" name="Column4585" dataDxfId="11818"/>
    <tableColumn id="4591" xr3:uid="{00000000-0010-0000-0300-0000EF110000}" name="Column4586" dataDxfId="11817"/>
    <tableColumn id="4592" xr3:uid="{00000000-0010-0000-0300-0000F0110000}" name="Column4587" dataDxfId="11816"/>
    <tableColumn id="4593" xr3:uid="{00000000-0010-0000-0300-0000F1110000}" name="Column4588" dataDxfId="11815"/>
    <tableColumn id="4594" xr3:uid="{00000000-0010-0000-0300-0000F2110000}" name="Column4589" dataDxfId="11814"/>
    <tableColumn id="4595" xr3:uid="{00000000-0010-0000-0300-0000F3110000}" name="Column4590" dataDxfId="11813"/>
    <tableColumn id="4596" xr3:uid="{00000000-0010-0000-0300-0000F4110000}" name="Column4591" dataDxfId="11812"/>
    <tableColumn id="4597" xr3:uid="{00000000-0010-0000-0300-0000F5110000}" name="Column4592" dataDxfId="11811"/>
    <tableColumn id="4598" xr3:uid="{00000000-0010-0000-0300-0000F6110000}" name="Column4593" dataDxfId="11810"/>
    <tableColumn id="4599" xr3:uid="{00000000-0010-0000-0300-0000F7110000}" name="Column4594" dataDxfId="11809"/>
    <tableColumn id="4600" xr3:uid="{00000000-0010-0000-0300-0000F8110000}" name="Column4595" dataDxfId="11808"/>
    <tableColumn id="4601" xr3:uid="{00000000-0010-0000-0300-0000F9110000}" name="Column4596" dataDxfId="11807"/>
    <tableColumn id="4602" xr3:uid="{00000000-0010-0000-0300-0000FA110000}" name="Column4597" dataDxfId="11806"/>
    <tableColumn id="4603" xr3:uid="{00000000-0010-0000-0300-0000FB110000}" name="Column4598" dataDxfId="11805"/>
    <tableColumn id="4604" xr3:uid="{00000000-0010-0000-0300-0000FC110000}" name="Column4599" dataDxfId="11804"/>
    <tableColumn id="4605" xr3:uid="{00000000-0010-0000-0300-0000FD110000}" name="Column4600" dataDxfId="11803"/>
    <tableColumn id="4606" xr3:uid="{00000000-0010-0000-0300-0000FE110000}" name="Column4601" dataDxfId="11802"/>
    <tableColumn id="4607" xr3:uid="{00000000-0010-0000-0300-0000FF110000}" name="Column4602" dataDxfId="11801"/>
    <tableColumn id="4608" xr3:uid="{00000000-0010-0000-0300-000000120000}" name="Column4603" dataDxfId="11800"/>
    <tableColumn id="4609" xr3:uid="{00000000-0010-0000-0300-000001120000}" name="Column4604" dataDxfId="11799"/>
    <tableColumn id="4610" xr3:uid="{00000000-0010-0000-0300-000002120000}" name="Column4605" dataDxfId="11798"/>
    <tableColumn id="4611" xr3:uid="{00000000-0010-0000-0300-000003120000}" name="Column4606" dataDxfId="11797"/>
    <tableColumn id="4612" xr3:uid="{00000000-0010-0000-0300-000004120000}" name="Column4607" dataDxfId="11796"/>
    <tableColumn id="4613" xr3:uid="{00000000-0010-0000-0300-000005120000}" name="Column4608" dataDxfId="11795"/>
    <tableColumn id="4614" xr3:uid="{00000000-0010-0000-0300-000006120000}" name="Column4609" dataDxfId="11794"/>
    <tableColumn id="4615" xr3:uid="{00000000-0010-0000-0300-000007120000}" name="Column4610" dataDxfId="11793"/>
    <tableColumn id="4616" xr3:uid="{00000000-0010-0000-0300-000008120000}" name="Column4611" dataDxfId="11792"/>
    <tableColumn id="4617" xr3:uid="{00000000-0010-0000-0300-000009120000}" name="Column4612" dataDxfId="11791"/>
    <tableColumn id="4618" xr3:uid="{00000000-0010-0000-0300-00000A120000}" name="Column4613" dataDxfId="11790"/>
    <tableColumn id="4619" xr3:uid="{00000000-0010-0000-0300-00000B120000}" name="Column4614" dataDxfId="11789"/>
    <tableColumn id="4620" xr3:uid="{00000000-0010-0000-0300-00000C120000}" name="Column4615" dataDxfId="11788"/>
    <tableColumn id="4621" xr3:uid="{00000000-0010-0000-0300-00000D120000}" name="Column4616" dataDxfId="11787"/>
    <tableColumn id="4622" xr3:uid="{00000000-0010-0000-0300-00000E120000}" name="Column4617" dataDxfId="11786"/>
    <tableColumn id="4623" xr3:uid="{00000000-0010-0000-0300-00000F120000}" name="Column4618" dataDxfId="11785"/>
    <tableColumn id="4624" xr3:uid="{00000000-0010-0000-0300-000010120000}" name="Column4619" dataDxfId="11784"/>
    <tableColumn id="4625" xr3:uid="{00000000-0010-0000-0300-000011120000}" name="Column4620" dataDxfId="11783"/>
    <tableColumn id="4626" xr3:uid="{00000000-0010-0000-0300-000012120000}" name="Column4621" dataDxfId="11782"/>
    <tableColumn id="4627" xr3:uid="{00000000-0010-0000-0300-000013120000}" name="Column4622" dataDxfId="11781"/>
    <tableColumn id="4628" xr3:uid="{00000000-0010-0000-0300-000014120000}" name="Column4623" dataDxfId="11780"/>
    <tableColumn id="4629" xr3:uid="{00000000-0010-0000-0300-000015120000}" name="Column4624" dataDxfId="11779"/>
    <tableColumn id="4630" xr3:uid="{00000000-0010-0000-0300-000016120000}" name="Column4625" dataDxfId="11778"/>
    <tableColumn id="4631" xr3:uid="{00000000-0010-0000-0300-000017120000}" name="Column4626" dataDxfId="11777"/>
    <tableColumn id="4632" xr3:uid="{00000000-0010-0000-0300-000018120000}" name="Column4627" dataDxfId="11776"/>
    <tableColumn id="4633" xr3:uid="{00000000-0010-0000-0300-000019120000}" name="Column4628" dataDxfId="11775"/>
    <tableColumn id="4634" xr3:uid="{00000000-0010-0000-0300-00001A120000}" name="Column4629" dataDxfId="11774"/>
    <tableColumn id="4635" xr3:uid="{00000000-0010-0000-0300-00001B120000}" name="Column4630" dataDxfId="11773"/>
    <tableColumn id="4636" xr3:uid="{00000000-0010-0000-0300-00001C120000}" name="Column4631" dataDxfId="11772"/>
    <tableColumn id="4637" xr3:uid="{00000000-0010-0000-0300-00001D120000}" name="Column4632" dataDxfId="11771"/>
    <tableColumn id="4638" xr3:uid="{00000000-0010-0000-0300-00001E120000}" name="Column4633" dataDxfId="11770"/>
    <tableColumn id="4639" xr3:uid="{00000000-0010-0000-0300-00001F120000}" name="Column4634" dataDxfId="11769"/>
    <tableColumn id="4640" xr3:uid="{00000000-0010-0000-0300-000020120000}" name="Column4635" dataDxfId="11768"/>
    <tableColumn id="4641" xr3:uid="{00000000-0010-0000-0300-000021120000}" name="Column4636" dataDxfId="11767"/>
    <tableColumn id="4642" xr3:uid="{00000000-0010-0000-0300-000022120000}" name="Column4637" dataDxfId="11766"/>
    <tableColumn id="4643" xr3:uid="{00000000-0010-0000-0300-000023120000}" name="Column4638" dataDxfId="11765"/>
    <tableColumn id="4644" xr3:uid="{00000000-0010-0000-0300-000024120000}" name="Column4639" dataDxfId="11764"/>
    <tableColumn id="4645" xr3:uid="{00000000-0010-0000-0300-000025120000}" name="Column4640" dataDxfId="11763"/>
    <tableColumn id="4646" xr3:uid="{00000000-0010-0000-0300-000026120000}" name="Column4641" dataDxfId="11762"/>
    <tableColumn id="4647" xr3:uid="{00000000-0010-0000-0300-000027120000}" name="Column4642" dataDxfId="11761"/>
    <tableColumn id="4648" xr3:uid="{00000000-0010-0000-0300-000028120000}" name="Column4643" dataDxfId="11760"/>
    <tableColumn id="4649" xr3:uid="{00000000-0010-0000-0300-000029120000}" name="Column4644" dataDxfId="11759"/>
    <tableColumn id="4650" xr3:uid="{00000000-0010-0000-0300-00002A120000}" name="Column4645" dataDxfId="11758"/>
    <tableColumn id="4651" xr3:uid="{00000000-0010-0000-0300-00002B120000}" name="Column4646" dataDxfId="11757"/>
    <tableColumn id="4652" xr3:uid="{00000000-0010-0000-0300-00002C120000}" name="Column4647" dataDxfId="11756"/>
    <tableColumn id="4653" xr3:uid="{00000000-0010-0000-0300-00002D120000}" name="Column4648" dataDxfId="11755"/>
    <tableColumn id="4654" xr3:uid="{00000000-0010-0000-0300-00002E120000}" name="Column4649" dataDxfId="11754"/>
    <tableColumn id="4655" xr3:uid="{00000000-0010-0000-0300-00002F120000}" name="Column4650" dataDxfId="11753"/>
    <tableColumn id="4656" xr3:uid="{00000000-0010-0000-0300-000030120000}" name="Column4651" dataDxfId="11752"/>
    <tableColumn id="4657" xr3:uid="{00000000-0010-0000-0300-000031120000}" name="Column4652" dataDxfId="11751"/>
    <tableColumn id="4658" xr3:uid="{00000000-0010-0000-0300-000032120000}" name="Column4653" dataDxfId="11750"/>
    <tableColumn id="4659" xr3:uid="{00000000-0010-0000-0300-000033120000}" name="Column4654" dataDxfId="11749"/>
    <tableColumn id="4660" xr3:uid="{00000000-0010-0000-0300-000034120000}" name="Column4655" dataDxfId="11748"/>
    <tableColumn id="4661" xr3:uid="{00000000-0010-0000-0300-000035120000}" name="Column4656" dataDxfId="11747"/>
    <tableColumn id="4662" xr3:uid="{00000000-0010-0000-0300-000036120000}" name="Column4657" dataDxfId="11746"/>
    <tableColumn id="4663" xr3:uid="{00000000-0010-0000-0300-000037120000}" name="Column4658" dataDxfId="11745"/>
    <tableColumn id="4664" xr3:uid="{00000000-0010-0000-0300-000038120000}" name="Column4659" dataDxfId="11744"/>
    <tableColumn id="4665" xr3:uid="{00000000-0010-0000-0300-000039120000}" name="Column4660" dataDxfId="11743"/>
    <tableColumn id="4666" xr3:uid="{00000000-0010-0000-0300-00003A120000}" name="Column4661" dataDxfId="11742"/>
    <tableColumn id="4667" xr3:uid="{00000000-0010-0000-0300-00003B120000}" name="Column4662" dataDxfId="11741"/>
    <tableColumn id="4668" xr3:uid="{00000000-0010-0000-0300-00003C120000}" name="Column4663" dataDxfId="11740"/>
    <tableColumn id="4669" xr3:uid="{00000000-0010-0000-0300-00003D120000}" name="Column4664" dataDxfId="11739"/>
    <tableColumn id="4670" xr3:uid="{00000000-0010-0000-0300-00003E120000}" name="Column4665" dataDxfId="11738"/>
    <tableColumn id="4671" xr3:uid="{00000000-0010-0000-0300-00003F120000}" name="Column4666" dataDxfId="11737"/>
    <tableColumn id="4672" xr3:uid="{00000000-0010-0000-0300-000040120000}" name="Column4667" dataDxfId="11736"/>
    <tableColumn id="4673" xr3:uid="{00000000-0010-0000-0300-000041120000}" name="Column4668" dataDxfId="11735"/>
    <tableColumn id="4674" xr3:uid="{00000000-0010-0000-0300-000042120000}" name="Column4669" dataDxfId="11734"/>
    <tableColumn id="4675" xr3:uid="{00000000-0010-0000-0300-000043120000}" name="Column4670" dataDxfId="11733"/>
    <tableColumn id="4676" xr3:uid="{00000000-0010-0000-0300-000044120000}" name="Column4671" dataDxfId="11732"/>
    <tableColumn id="4677" xr3:uid="{00000000-0010-0000-0300-000045120000}" name="Column4672" dataDxfId="11731"/>
    <tableColumn id="4678" xr3:uid="{00000000-0010-0000-0300-000046120000}" name="Column4673" dataDxfId="11730"/>
    <tableColumn id="4679" xr3:uid="{00000000-0010-0000-0300-000047120000}" name="Column4674" dataDxfId="11729"/>
    <tableColumn id="4680" xr3:uid="{00000000-0010-0000-0300-000048120000}" name="Column4675" dataDxfId="11728"/>
    <tableColumn id="4681" xr3:uid="{00000000-0010-0000-0300-000049120000}" name="Column4676" dataDxfId="11727"/>
    <tableColumn id="4682" xr3:uid="{00000000-0010-0000-0300-00004A120000}" name="Column4677" dataDxfId="11726"/>
    <tableColumn id="4683" xr3:uid="{00000000-0010-0000-0300-00004B120000}" name="Column4678" dataDxfId="11725"/>
    <tableColumn id="4684" xr3:uid="{00000000-0010-0000-0300-00004C120000}" name="Column4679" dataDxfId="11724"/>
    <tableColumn id="4685" xr3:uid="{00000000-0010-0000-0300-00004D120000}" name="Column4680" dataDxfId="11723"/>
    <tableColumn id="4686" xr3:uid="{00000000-0010-0000-0300-00004E120000}" name="Column4681" dataDxfId="11722"/>
    <tableColumn id="4687" xr3:uid="{00000000-0010-0000-0300-00004F120000}" name="Column4682" dataDxfId="11721"/>
    <tableColumn id="4688" xr3:uid="{00000000-0010-0000-0300-000050120000}" name="Column4683" dataDxfId="11720"/>
    <tableColumn id="4689" xr3:uid="{00000000-0010-0000-0300-000051120000}" name="Column4684" dataDxfId="11719"/>
    <tableColumn id="4690" xr3:uid="{00000000-0010-0000-0300-000052120000}" name="Column4685" dataDxfId="11718"/>
    <tableColumn id="4691" xr3:uid="{00000000-0010-0000-0300-000053120000}" name="Column4686" dataDxfId="11717"/>
    <tableColumn id="4692" xr3:uid="{00000000-0010-0000-0300-000054120000}" name="Column4687" dataDxfId="11716"/>
    <tableColumn id="4693" xr3:uid="{00000000-0010-0000-0300-000055120000}" name="Column4688" dataDxfId="11715"/>
    <tableColumn id="4694" xr3:uid="{00000000-0010-0000-0300-000056120000}" name="Column4689" dataDxfId="11714"/>
    <tableColumn id="4695" xr3:uid="{00000000-0010-0000-0300-000057120000}" name="Column4690" dataDxfId="11713"/>
    <tableColumn id="4696" xr3:uid="{00000000-0010-0000-0300-000058120000}" name="Column4691" dataDxfId="11712"/>
    <tableColumn id="4697" xr3:uid="{00000000-0010-0000-0300-000059120000}" name="Column4692" dataDxfId="11711"/>
    <tableColumn id="4698" xr3:uid="{00000000-0010-0000-0300-00005A120000}" name="Column4693" dataDxfId="11710"/>
    <tableColumn id="4699" xr3:uid="{00000000-0010-0000-0300-00005B120000}" name="Column4694" dataDxfId="11709"/>
    <tableColumn id="4700" xr3:uid="{00000000-0010-0000-0300-00005C120000}" name="Column4695" dataDxfId="11708"/>
    <tableColumn id="4701" xr3:uid="{00000000-0010-0000-0300-00005D120000}" name="Column4696" dataDxfId="11707"/>
    <tableColumn id="4702" xr3:uid="{00000000-0010-0000-0300-00005E120000}" name="Column4697" dataDxfId="11706"/>
    <tableColumn id="4703" xr3:uid="{00000000-0010-0000-0300-00005F120000}" name="Column4698" dataDxfId="11705"/>
    <tableColumn id="4704" xr3:uid="{00000000-0010-0000-0300-000060120000}" name="Column4699" dataDxfId="11704"/>
    <tableColumn id="4705" xr3:uid="{00000000-0010-0000-0300-000061120000}" name="Column4700" dataDxfId="11703"/>
    <tableColumn id="4706" xr3:uid="{00000000-0010-0000-0300-000062120000}" name="Column4701" dataDxfId="11702"/>
    <tableColumn id="4707" xr3:uid="{00000000-0010-0000-0300-000063120000}" name="Column4702" dataDxfId="11701"/>
    <tableColumn id="4708" xr3:uid="{00000000-0010-0000-0300-000064120000}" name="Column4703" dataDxfId="11700"/>
    <tableColumn id="4709" xr3:uid="{00000000-0010-0000-0300-000065120000}" name="Column4704" dataDxfId="11699"/>
    <tableColumn id="4710" xr3:uid="{00000000-0010-0000-0300-000066120000}" name="Column4705" dataDxfId="11698"/>
    <tableColumn id="4711" xr3:uid="{00000000-0010-0000-0300-000067120000}" name="Column4706" dataDxfId="11697"/>
    <tableColumn id="4712" xr3:uid="{00000000-0010-0000-0300-000068120000}" name="Column4707" dataDxfId="11696"/>
    <tableColumn id="4713" xr3:uid="{00000000-0010-0000-0300-000069120000}" name="Column4708" dataDxfId="11695"/>
    <tableColumn id="4714" xr3:uid="{00000000-0010-0000-0300-00006A120000}" name="Column4709" dataDxfId="11694"/>
    <tableColumn id="4715" xr3:uid="{00000000-0010-0000-0300-00006B120000}" name="Column4710" dataDxfId="11693"/>
    <tableColumn id="4716" xr3:uid="{00000000-0010-0000-0300-00006C120000}" name="Column4711" dataDxfId="11692"/>
    <tableColumn id="4717" xr3:uid="{00000000-0010-0000-0300-00006D120000}" name="Column4712" dataDxfId="11691"/>
    <tableColumn id="4718" xr3:uid="{00000000-0010-0000-0300-00006E120000}" name="Column4713" dataDxfId="11690"/>
    <tableColumn id="4719" xr3:uid="{00000000-0010-0000-0300-00006F120000}" name="Column4714" dataDxfId="11689"/>
    <tableColumn id="4720" xr3:uid="{00000000-0010-0000-0300-000070120000}" name="Column4715" dataDxfId="11688"/>
    <tableColumn id="4721" xr3:uid="{00000000-0010-0000-0300-000071120000}" name="Column4716" dataDxfId="11687"/>
    <tableColumn id="4722" xr3:uid="{00000000-0010-0000-0300-000072120000}" name="Column4717" dataDxfId="11686"/>
    <tableColumn id="4723" xr3:uid="{00000000-0010-0000-0300-000073120000}" name="Column4718" dataDxfId="11685"/>
    <tableColumn id="4724" xr3:uid="{00000000-0010-0000-0300-000074120000}" name="Column4719" dataDxfId="11684"/>
    <tableColumn id="4725" xr3:uid="{00000000-0010-0000-0300-000075120000}" name="Column4720" dataDxfId="11683"/>
    <tableColumn id="4726" xr3:uid="{00000000-0010-0000-0300-000076120000}" name="Column4721" dataDxfId="11682"/>
    <tableColumn id="4727" xr3:uid="{00000000-0010-0000-0300-000077120000}" name="Column4722" dataDxfId="11681"/>
    <tableColumn id="4728" xr3:uid="{00000000-0010-0000-0300-000078120000}" name="Column4723" dataDxfId="11680"/>
    <tableColumn id="4729" xr3:uid="{00000000-0010-0000-0300-000079120000}" name="Column4724" dataDxfId="11679"/>
    <tableColumn id="4730" xr3:uid="{00000000-0010-0000-0300-00007A120000}" name="Column4725" dataDxfId="11678"/>
    <tableColumn id="4731" xr3:uid="{00000000-0010-0000-0300-00007B120000}" name="Column4726" dataDxfId="11677"/>
    <tableColumn id="4732" xr3:uid="{00000000-0010-0000-0300-00007C120000}" name="Column4727" dataDxfId="11676"/>
    <tableColumn id="4733" xr3:uid="{00000000-0010-0000-0300-00007D120000}" name="Column4728" dataDxfId="11675"/>
    <tableColumn id="4734" xr3:uid="{00000000-0010-0000-0300-00007E120000}" name="Column4729" dataDxfId="11674"/>
    <tableColumn id="4735" xr3:uid="{00000000-0010-0000-0300-00007F120000}" name="Column4730" dataDxfId="11673"/>
    <tableColumn id="4736" xr3:uid="{00000000-0010-0000-0300-000080120000}" name="Column4731" dataDxfId="11672"/>
    <tableColumn id="4737" xr3:uid="{00000000-0010-0000-0300-000081120000}" name="Column4732" dataDxfId="11671"/>
    <tableColumn id="4738" xr3:uid="{00000000-0010-0000-0300-000082120000}" name="Column4733" dataDxfId="11670"/>
    <tableColumn id="4739" xr3:uid="{00000000-0010-0000-0300-000083120000}" name="Column4734" dataDxfId="11669"/>
    <tableColumn id="4740" xr3:uid="{00000000-0010-0000-0300-000084120000}" name="Column4735" dataDxfId="11668"/>
    <tableColumn id="4741" xr3:uid="{00000000-0010-0000-0300-000085120000}" name="Column4736" dataDxfId="11667"/>
    <tableColumn id="4742" xr3:uid="{00000000-0010-0000-0300-000086120000}" name="Column4737" dataDxfId="11666"/>
    <tableColumn id="4743" xr3:uid="{00000000-0010-0000-0300-000087120000}" name="Column4738" dataDxfId="11665"/>
    <tableColumn id="4744" xr3:uid="{00000000-0010-0000-0300-000088120000}" name="Column4739" dataDxfId="11664"/>
    <tableColumn id="4745" xr3:uid="{00000000-0010-0000-0300-000089120000}" name="Column4740" dataDxfId="11663"/>
    <tableColumn id="4746" xr3:uid="{00000000-0010-0000-0300-00008A120000}" name="Column4741" dataDxfId="11662"/>
    <tableColumn id="4747" xr3:uid="{00000000-0010-0000-0300-00008B120000}" name="Column4742" dataDxfId="11661"/>
    <tableColumn id="4748" xr3:uid="{00000000-0010-0000-0300-00008C120000}" name="Column4743" dataDxfId="11660"/>
    <tableColumn id="4749" xr3:uid="{00000000-0010-0000-0300-00008D120000}" name="Column4744" dataDxfId="11659"/>
    <tableColumn id="4750" xr3:uid="{00000000-0010-0000-0300-00008E120000}" name="Column4745" dataDxfId="11658"/>
    <tableColumn id="4751" xr3:uid="{00000000-0010-0000-0300-00008F120000}" name="Column4746" dataDxfId="11657"/>
    <tableColumn id="4752" xr3:uid="{00000000-0010-0000-0300-000090120000}" name="Column4747" dataDxfId="11656"/>
    <tableColumn id="4753" xr3:uid="{00000000-0010-0000-0300-000091120000}" name="Column4748" dataDxfId="11655"/>
    <tableColumn id="4754" xr3:uid="{00000000-0010-0000-0300-000092120000}" name="Column4749" dataDxfId="11654"/>
    <tableColumn id="4755" xr3:uid="{00000000-0010-0000-0300-000093120000}" name="Column4750" dataDxfId="11653"/>
    <tableColumn id="4756" xr3:uid="{00000000-0010-0000-0300-000094120000}" name="Column4751" dataDxfId="11652"/>
    <tableColumn id="4757" xr3:uid="{00000000-0010-0000-0300-000095120000}" name="Column4752" dataDxfId="11651"/>
    <tableColumn id="4758" xr3:uid="{00000000-0010-0000-0300-000096120000}" name="Column4753" dataDxfId="11650"/>
    <tableColumn id="4759" xr3:uid="{00000000-0010-0000-0300-000097120000}" name="Column4754" dataDxfId="11649"/>
    <tableColumn id="4760" xr3:uid="{00000000-0010-0000-0300-000098120000}" name="Column4755" dataDxfId="11648"/>
    <tableColumn id="4761" xr3:uid="{00000000-0010-0000-0300-000099120000}" name="Column4756" dataDxfId="11647"/>
    <tableColumn id="4762" xr3:uid="{00000000-0010-0000-0300-00009A120000}" name="Column4757" dataDxfId="11646"/>
    <tableColumn id="4763" xr3:uid="{00000000-0010-0000-0300-00009B120000}" name="Column4758" dataDxfId="11645"/>
    <tableColumn id="4764" xr3:uid="{00000000-0010-0000-0300-00009C120000}" name="Column4759" dataDxfId="11644"/>
    <tableColumn id="4765" xr3:uid="{00000000-0010-0000-0300-00009D120000}" name="Column4760" dataDxfId="11643"/>
    <tableColumn id="4766" xr3:uid="{00000000-0010-0000-0300-00009E120000}" name="Column4761" dataDxfId="11642"/>
    <tableColumn id="4767" xr3:uid="{00000000-0010-0000-0300-00009F120000}" name="Column4762" dataDxfId="11641"/>
    <tableColumn id="4768" xr3:uid="{00000000-0010-0000-0300-0000A0120000}" name="Column4763" dataDxfId="11640"/>
    <tableColumn id="4769" xr3:uid="{00000000-0010-0000-0300-0000A1120000}" name="Column4764" dataDxfId="11639"/>
    <tableColumn id="4770" xr3:uid="{00000000-0010-0000-0300-0000A2120000}" name="Column4765" dataDxfId="11638"/>
    <tableColumn id="4771" xr3:uid="{00000000-0010-0000-0300-0000A3120000}" name="Column4766" dataDxfId="11637"/>
    <tableColumn id="4772" xr3:uid="{00000000-0010-0000-0300-0000A4120000}" name="Column4767" dataDxfId="11636"/>
    <tableColumn id="4773" xr3:uid="{00000000-0010-0000-0300-0000A5120000}" name="Column4768" dataDxfId="11635"/>
    <tableColumn id="4774" xr3:uid="{00000000-0010-0000-0300-0000A6120000}" name="Column4769" dataDxfId="11634"/>
    <tableColumn id="4775" xr3:uid="{00000000-0010-0000-0300-0000A7120000}" name="Column4770" dataDxfId="11633"/>
    <tableColumn id="4776" xr3:uid="{00000000-0010-0000-0300-0000A8120000}" name="Column4771" dataDxfId="11632"/>
    <tableColumn id="4777" xr3:uid="{00000000-0010-0000-0300-0000A9120000}" name="Column4772" dataDxfId="11631"/>
    <tableColumn id="4778" xr3:uid="{00000000-0010-0000-0300-0000AA120000}" name="Column4773" dataDxfId="11630"/>
    <tableColumn id="4779" xr3:uid="{00000000-0010-0000-0300-0000AB120000}" name="Column4774" dataDxfId="11629"/>
    <tableColumn id="4780" xr3:uid="{00000000-0010-0000-0300-0000AC120000}" name="Column4775" dataDxfId="11628"/>
    <tableColumn id="4781" xr3:uid="{00000000-0010-0000-0300-0000AD120000}" name="Column4776" dataDxfId="11627"/>
    <tableColumn id="4782" xr3:uid="{00000000-0010-0000-0300-0000AE120000}" name="Column4777" dataDxfId="11626"/>
    <tableColumn id="4783" xr3:uid="{00000000-0010-0000-0300-0000AF120000}" name="Column4778" dataDxfId="11625"/>
    <tableColumn id="4784" xr3:uid="{00000000-0010-0000-0300-0000B0120000}" name="Column4779" dataDxfId="11624"/>
    <tableColumn id="4785" xr3:uid="{00000000-0010-0000-0300-0000B1120000}" name="Column4780" dataDxfId="11623"/>
    <tableColumn id="4786" xr3:uid="{00000000-0010-0000-0300-0000B2120000}" name="Column4781" dataDxfId="11622"/>
    <tableColumn id="4787" xr3:uid="{00000000-0010-0000-0300-0000B3120000}" name="Column4782" dataDxfId="11621"/>
    <tableColumn id="4788" xr3:uid="{00000000-0010-0000-0300-0000B4120000}" name="Column4783" dataDxfId="11620"/>
    <tableColumn id="4789" xr3:uid="{00000000-0010-0000-0300-0000B5120000}" name="Column4784" dataDxfId="11619"/>
    <tableColumn id="4790" xr3:uid="{00000000-0010-0000-0300-0000B6120000}" name="Column4785" dataDxfId="11618"/>
    <tableColumn id="4791" xr3:uid="{00000000-0010-0000-0300-0000B7120000}" name="Column4786" dataDxfId="11617"/>
    <tableColumn id="4792" xr3:uid="{00000000-0010-0000-0300-0000B8120000}" name="Column4787" dataDxfId="11616"/>
    <tableColumn id="4793" xr3:uid="{00000000-0010-0000-0300-0000B9120000}" name="Column4788" dataDxfId="11615"/>
    <tableColumn id="4794" xr3:uid="{00000000-0010-0000-0300-0000BA120000}" name="Column4789" dataDxfId="11614"/>
    <tableColumn id="4795" xr3:uid="{00000000-0010-0000-0300-0000BB120000}" name="Column4790" dataDxfId="11613"/>
    <tableColumn id="4796" xr3:uid="{00000000-0010-0000-0300-0000BC120000}" name="Column4791" dataDxfId="11612"/>
    <tableColumn id="4797" xr3:uid="{00000000-0010-0000-0300-0000BD120000}" name="Column4792" dataDxfId="11611"/>
    <tableColumn id="4798" xr3:uid="{00000000-0010-0000-0300-0000BE120000}" name="Column4793" dataDxfId="11610"/>
    <tableColumn id="4799" xr3:uid="{00000000-0010-0000-0300-0000BF120000}" name="Column4794" dataDxfId="11609"/>
    <tableColumn id="4800" xr3:uid="{00000000-0010-0000-0300-0000C0120000}" name="Column4795" dataDxfId="11608"/>
    <tableColumn id="4801" xr3:uid="{00000000-0010-0000-0300-0000C1120000}" name="Column4796" dataDxfId="11607"/>
    <tableColumn id="4802" xr3:uid="{00000000-0010-0000-0300-0000C2120000}" name="Column4797" dataDxfId="11606"/>
    <tableColumn id="4803" xr3:uid="{00000000-0010-0000-0300-0000C3120000}" name="Column4798" dataDxfId="11605"/>
    <tableColumn id="4804" xr3:uid="{00000000-0010-0000-0300-0000C4120000}" name="Column4799" dataDxfId="11604"/>
    <tableColumn id="4805" xr3:uid="{00000000-0010-0000-0300-0000C5120000}" name="Column4800" dataDxfId="11603"/>
    <tableColumn id="4806" xr3:uid="{00000000-0010-0000-0300-0000C6120000}" name="Column4801" dataDxfId="11602"/>
    <tableColumn id="4807" xr3:uid="{00000000-0010-0000-0300-0000C7120000}" name="Column4802" dataDxfId="11601"/>
    <tableColumn id="4808" xr3:uid="{00000000-0010-0000-0300-0000C8120000}" name="Column4803" dataDxfId="11600"/>
    <tableColumn id="4809" xr3:uid="{00000000-0010-0000-0300-0000C9120000}" name="Column4804" dataDxfId="11599"/>
    <tableColumn id="4810" xr3:uid="{00000000-0010-0000-0300-0000CA120000}" name="Column4805" dataDxfId="11598"/>
    <tableColumn id="4811" xr3:uid="{00000000-0010-0000-0300-0000CB120000}" name="Column4806" dataDxfId="11597"/>
    <tableColumn id="4812" xr3:uid="{00000000-0010-0000-0300-0000CC120000}" name="Column4807" dataDxfId="11596"/>
    <tableColumn id="4813" xr3:uid="{00000000-0010-0000-0300-0000CD120000}" name="Column4808" dataDxfId="11595"/>
    <tableColumn id="4814" xr3:uid="{00000000-0010-0000-0300-0000CE120000}" name="Column4809" dataDxfId="11594"/>
    <tableColumn id="4815" xr3:uid="{00000000-0010-0000-0300-0000CF120000}" name="Column4810" dataDxfId="11593"/>
    <tableColumn id="4816" xr3:uid="{00000000-0010-0000-0300-0000D0120000}" name="Column4811" dataDxfId="11592"/>
    <tableColumn id="4817" xr3:uid="{00000000-0010-0000-0300-0000D1120000}" name="Column4812" dataDxfId="11591"/>
    <tableColumn id="4818" xr3:uid="{00000000-0010-0000-0300-0000D2120000}" name="Column4813" dataDxfId="11590"/>
    <tableColumn id="4819" xr3:uid="{00000000-0010-0000-0300-0000D3120000}" name="Column4814" dataDxfId="11589"/>
    <tableColumn id="4820" xr3:uid="{00000000-0010-0000-0300-0000D4120000}" name="Column4815" dataDxfId="11588"/>
    <tableColumn id="4821" xr3:uid="{00000000-0010-0000-0300-0000D5120000}" name="Column4816" dataDxfId="11587"/>
    <tableColumn id="4822" xr3:uid="{00000000-0010-0000-0300-0000D6120000}" name="Column4817" dataDxfId="11586"/>
    <tableColumn id="4823" xr3:uid="{00000000-0010-0000-0300-0000D7120000}" name="Column4818" dataDxfId="11585"/>
    <tableColumn id="4824" xr3:uid="{00000000-0010-0000-0300-0000D8120000}" name="Column4819" dataDxfId="11584"/>
    <tableColumn id="4825" xr3:uid="{00000000-0010-0000-0300-0000D9120000}" name="Column4820" dataDxfId="11583"/>
    <tableColumn id="4826" xr3:uid="{00000000-0010-0000-0300-0000DA120000}" name="Column4821" dataDxfId="11582"/>
    <tableColumn id="4827" xr3:uid="{00000000-0010-0000-0300-0000DB120000}" name="Column4822" dataDxfId="11581"/>
    <tableColumn id="4828" xr3:uid="{00000000-0010-0000-0300-0000DC120000}" name="Column4823" dataDxfId="11580"/>
    <tableColumn id="4829" xr3:uid="{00000000-0010-0000-0300-0000DD120000}" name="Column4824" dataDxfId="11579"/>
    <tableColumn id="4830" xr3:uid="{00000000-0010-0000-0300-0000DE120000}" name="Column4825" dataDxfId="11578"/>
    <tableColumn id="4831" xr3:uid="{00000000-0010-0000-0300-0000DF120000}" name="Column4826" dataDxfId="11577"/>
    <tableColumn id="4832" xr3:uid="{00000000-0010-0000-0300-0000E0120000}" name="Column4827" dataDxfId="11576"/>
    <tableColumn id="4833" xr3:uid="{00000000-0010-0000-0300-0000E1120000}" name="Column4828" dataDxfId="11575"/>
    <tableColumn id="4834" xr3:uid="{00000000-0010-0000-0300-0000E2120000}" name="Column4829" dataDxfId="11574"/>
    <tableColumn id="4835" xr3:uid="{00000000-0010-0000-0300-0000E3120000}" name="Column4830" dataDxfId="11573"/>
    <tableColumn id="4836" xr3:uid="{00000000-0010-0000-0300-0000E4120000}" name="Column4831" dataDxfId="11572"/>
    <tableColumn id="4837" xr3:uid="{00000000-0010-0000-0300-0000E5120000}" name="Column4832" dataDxfId="11571"/>
    <tableColumn id="4838" xr3:uid="{00000000-0010-0000-0300-0000E6120000}" name="Column4833" dataDxfId="11570"/>
    <tableColumn id="4839" xr3:uid="{00000000-0010-0000-0300-0000E7120000}" name="Column4834" dataDxfId="11569"/>
    <tableColumn id="4840" xr3:uid="{00000000-0010-0000-0300-0000E8120000}" name="Column4835" dataDxfId="11568"/>
    <tableColumn id="4841" xr3:uid="{00000000-0010-0000-0300-0000E9120000}" name="Column4836" dataDxfId="11567"/>
    <tableColumn id="4842" xr3:uid="{00000000-0010-0000-0300-0000EA120000}" name="Column4837" dataDxfId="11566"/>
    <tableColumn id="4843" xr3:uid="{00000000-0010-0000-0300-0000EB120000}" name="Column4838" dataDxfId="11565"/>
    <tableColumn id="4844" xr3:uid="{00000000-0010-0000-0300-0000EC120000}" name="Column4839" dataDxfId="11564"/>
    <tableColumn id="4845" xr3:uid="{00000000-0010-0000-0300-0000ED120000}" name="Column4840" dataDxfId="11563"/>
    <tableColumn id="4846" xr3:uid="{00000000-0010-0000-0300-0000EE120000}" name="Column4841" dataDxfId="11562"/>
    <tableColumn id="4847" xr3:uid="{00000000-0010-0000-0300-0000EF120000}" name="Column4842" dataDxfId="11561"/>
    <tableColumn id="4848" xr3:uid="{00000000-0010-0000-0300-0000F0120000}" name="Column4843" dataDxfId="11560"/>
    <tableColumn id="4849" xr3:uid="{00000000-0010-0000-0300-0000F1120000}" name="Column4844" dataDxfId="11559"/>
    <tableColumn id="4850" xr3:uid="{00000000-0010-0000-0300-0000F2120000}" name="Column4845" dataDxfId="11558"/>
    <tableColumn id="4851" xr3:uid="{00000000-0010-0000-0300-0000F3120000}" name="Column4846" dataDxfId="11557"/>
    <tableColumn id="4852" xr3:uid="{00000000-0010-0000-0300-0000F4120000}" name="Column4847" dataDxfId="11556"/>
    <tableColumn id="4853" xr3:uid="{00000000-0010-0000-0300-0000F5120000}" name="Column4848" dataDxfId="11555"/>
    <tableColumn id="4854" xr3:uid="{00000000-0010-0000-0300-0000F6120000}" name="Column4849" dataDxfId="11554"/>
    <tableColumn id="4855" xr3:uid="{00000000-0010-0000-0300-0000F7120000}" name="Column4850" dataDxfId="11553"/>
    <tableColumn id="4856" xr3:uid="{00000000-0010-0000-0300-0000F8120000}" name="Column4851" dataDxfId="11552"/>
    <tableColumn id="4857" xr3:uid="{00000000-0010-0000-0300-0000F9120000}" name="Column4852" dataDxfId="11551"/>
    <tableColumn id="4858" xr3:uid="{00000000-0010-0000-0300-0000FA120000}" name="Column4853" dataDxfId="11550"/>
    <tableColumn id="4859" xr3:uid="{00000000-0010-0000-0300-0000FB120000}" name="Column4854" dataDxfId="11549"/>
    <tableColumn id="4860" xr3:uid="{00000000-0010-0000-0300-0000FC120000}" name="Column4855" dataDxfId="11548"/>
    <tableColumn id="4861" xr3:uid="{00000000-0010-0000-0300-0000FD120000}" name="Column4856" dataDxfId="11547"/>
    <tableColumn id="4862" xr3:uid="{00000000-0010-0000-0300-0000FE120000}" name="Column4857" dataDxfId="11546"/>
    <tableColumn id="4863" xr3:uid="{00000000-0010-0000-0300-0000FF120000}" name="Column4858" dataDxfId="11545"/>
    <tableColumn id="4864" xr3:uid="{00000000-0010-0000-0300-000000130000}" name="Column4859" dataDxfId="11544"/>
    <tableColumn id="4865" xr3:uid="{00000000-0010-0000-0300-000001130000}" name="Column4860" dataDxfId="11543"/>
    <tableColumn id="4866" xr3:uid="{00000000-0010-0000-0300-000002130000}" name="Column4861" dataDxfId="11542"/>
    <tableColumn id="4867" xr3:uid="{00000000-0010-0000-0300-000003130000}" name="Column4862" dataDxfId="11541"/>
    <tableColumn id="4868" xr3:uid="{00000000-0010-0000-0300-000004130000}" name="Column4863" dataDxfId="11540"/>
    <tableColumn id="4869" xr3:uid="{00000000-0010-0000-0300-000005130000}" name="Column4864" dataDxfId="11539"/>
    <tableColumn id="4870" xr3:uid="{00000000-0010-0000-0300-000006130000}" name="Column4865" dataDxfId="11538"/>
    <tableColumn id="4871" xr3:uid="{00000000-0010-0000-0300-000007130000}" name="Column4866" dataDxfId="11537"/>
    <tableColumn id="4872" xr3:uid="{00000000-0010-0000-0300-000008130000}" name="Column4867" dataDxfId="11536"/>
    <tableColumn id="4873" xr3:uid="{00000000-0010-0000-0300-000009130000}" name="Column4868" dataDxfId="11535"/>
    <tableColumn id="4874" xr3:uid="{00000000-0010-0000-0300-00000A130000}" name="Column4869" dataDxfId="11534"/>
    <tableColumn id="4875" xr3:uid="{00000000-0010-0000-0300-00000B130000}" name="Column4870" dataDxfId="11533"/>
    <tableColumn id="4876" xr3:uid="{00000000-0010-0000-0300-00000C130000}" name="Column4871" dataDxfId="11532"/>
    <tableColumn id="4877" xr3:uid="{00000000-0010-0000-0300-00000D130000}" name="Column4872" dataDxfId="11531"/>
    <tableColumn id="4878" xr3:uid="{00000000-0010-0000-0300-00000E130000}" name="Column4873" dataDxfId="11530"/>
    <tableColumn id="4879" xr3:uid="{00000000-0010-0000-0300-00000F130000}" name="Column4874" dataDxfId="11529"/>
    <tableColumn id="4880" xr3:uid="{00000000-0010-0000-0300-000010130000}" name="Column4875" dataDxfId="11528"/>
    <tableColumn id="4881" xr3:uid="{00000000-0010-0000-0300-000011130000}" name="Column4876" dataDxfId="11527"/>
    <tableColumn id="4882" xr3:uid="{00000000-0010-0000-0300-000012130000}" name="Column4877" dataDxfId="11526"/>
    <tableColumn id="4883" xr3:uid="{00000000-0010-0000-0300-000013130000}" name="Column4878" dataDxfId="11525"/>
    <tableColumn id="4884" xr3:uid="{00000000-0010-0000-0300-000014130000}" name="Column4879" dataDxfId="11524"/>
    <tableColumn id="4885" xr3:uid="{00000000-0010-0000-0300-000015130000}" name="Column4880" dataDxfId="11523"/>
    <tableColumn id="4886" xr3:uid="{00000000-0010-0000-0300-000016130000}" name="Column4881" dataDxfId="11522"/>
    <tableColumn id="4887" xr3:uid="{00000000-0010-0000-0300-000017130000}" name="Column4882" dataDxfId="11521"/>
    <tableColumn id="4888" xr3:uid="{00000000-0010-0000-0300-000018130000}" name="Column4883" dataDxfId="11520"/>
    <tableColumn id="4889" xr3:uid="{00000000-0010-0000-0300-000019130000}" name="Column4884" dataDxfId="11519"/>
    <tableColumn id="4890" xr3:uid="{00000000-0010-0000-0300-00001A130000}" name="Column4885" dataDxfId="11518"/>
    <tableColumn id="4891" xr3:uid="{00000000-0010-0000-0300-00001B130000}" name="Column4886" dataDxfId="11517"/>
    <tableColumn id="4892" xr3:uid="{00000000-0010-0000-0300-00001C130000}" name="Column4887" dataDxfId="11516"/>
    <tableColumn id="4893" xr3:uid="{00000000-0010-0000-0300-00001D130000}" name="Column4888" dataDxfId="11515"/>
    <tableColumn id="4894" xr3:uid="{00000000-0010-0000-0300-00001E130000}" name="Column4889" dataDxfId="11514"/>
    <tableColumn id="4895" xr3:uid="{00000000-0010-0000-0300-00001F130000}" name="Column4890" dataDxfId="11513"/>
    <tableColumn id="4896" xr3:uid="{00000000-0010-0000-0300-000020130000}" name="Column4891" dataDxfId="11512"/>
    <tableColumn id="4897" xr3:uid="{00000000-0010-0000-0300-000021130000}" name="Column4892" dataDxfId="11511"/>
    <tableColumn id="4898" xr3:uid="{00000000-0010-0000-0300-000022130000}" name="Column4893" dataDxfId="11510"/>
    <tableColumn id="4899" xr3:uid="{00000000-0010-0000-0300-000023130000}" name="Column4894" dataDxfId="11509"/>
    <tableColumn id="4900" xr3:uid="{00000000-0010-0000-0300-000024130000}" name="Column4895" dataDxfId="11508"/>
    <tableColumn id="4901" xr3:uid="{00000000-0010-0000-0300-000025130000}" name="Column4896" dataDxfId="11507"/>
    <tableColumn id="4902" xr3:uid="{00000000-0010-0000-0300-000026130000}" name="Column4897" dataDxfId="11506"/>
    <tableColumn id="4903" xr3:uid="{00000000-0010-0000-0300-000027130000}" name="Column4898" dataDxfId="11505"/>
    <tableColumn id="4904" xr3:uid="{00000000-0010-0000-0300-000028130000}" name="Column4899" dataDxfId="11504"/>
    <tableColumn id="4905" xr3:uid="{00000000-0010-0000-0300-000029130000}" name="Column4900" dataDxfId="11503"/>
    <tableColumn id="4906" xr3:uid="{00000000-0010-0000-0300-00002A130000}" name="Column4901" dataDxfId="11502"/>
    <tableColumn id="4907" xr3:uid="{00000000-0010-0000-0300-00002B130000}" name="Column4902" dataDxfId="11501"/>
    <tableColumn id="4908" xr3:uid="{00000000-0010-0000-0300-00002C130000}" name="Column4903" dataDxfId="11500"/>
    <tableColumn id="4909" xr3:uid="{00000000-0010-0000-0300-00002D130000}" name="Column4904" dataDxfId="11499"/>
    <tableColumn id="4910" xr3:uid="{00000000-0010-0000-0300-00002E130000}" name="Column4905" dataDxfId="11498"/>
    <tableColumn id="4911" xr3:uid="{00000000-0010-0000-0300-00002F130000}" name="Column4906" dataDxfId="11497"/>
    <tableColumn id="4912" xr3:uid="{00000000-0010-0000-0300-000030130000}" name="Column4907" dataDxfId="11496"/>
    <tableColumn id="4913" xr3:uid="{00000000-0010-0000-0300-000031130000}" name="Column4908" dataDxfId="11495"/>
    <tableColumn id="4914" xr3:uid="{00000000-0010-0000-0300-000032130000}" name="Column4909" dataDxfId="11494"/>
    <tableColumn id="4915" xr3:uid="{00000000-0010-0000-0300-000033130000}" name="Column4910" dataDxfId="11493"/>
    <tableColumn id="4916" xr3:uid="{00000000-0010-0000-0300-000034130000}" name="Column4911" dataDxfId="11492"/>
    <tableColumn id="4917" xr3:uid="{00000000-0010-0000-0300-000035130000}" name="Column4912" dataDxfId="11491"/>
    <tableColumn id="4918" xr3:uid="{00000000-0010-0000-0300-000036130000}" name="Column4913" dataDxfId="11490"/>
    <tableColumn id="4919" xr3:uid="{00000000-0010-0000-0300-000037130000}" name="Column4914" dataDxfId="11489"/>
    <tableColumn id="4920" xr3:uid="{00000000-0010-0000-0300-000038130000}" name="Column4915" dataDxfId="11488"/>
    <tableColumn id="4921" xr3:uid="{00000000-0010-0000-0300-000039130000}" name="Column4916" dataDxfId="11487"/>
    <tableColumn id="4922" xr3:uid="{00000000-0010-0000-0300-00003A130000}" name="Column4917" dataDxfId="11486"/>
    <tableColumn id="4923" xr3:uid="{00000000-0010-0000-0300-00003B130000}" name="Column4918" dataDxfId="11485"/>
    <tableColumn id="4924" xr3:uid="{00000000-0010-0000-0300-00003C130000}" name="Column4919" dataDxfId="11484"/>
    <tableColumn id="4925" xr3:uid="{00000000-0010-0000-0300-00003D130000}" name="Column4920" dataDxfId="11483"/>
    <tableColumn id="4926" xr3:uid="{00000000-0010-0000-0300-00003E130000}" name="Column4921" dataDxfId="11482"/>
    <tableColumn id="4927" xr3:uid="{00000000-0010-0000-0300-00003F130000}" name="Column4922" dataDxfId="11481"/>
    <tableColumn id="4928" xr3:uid="{00000000-0010-0000-0300-000040130000}" name="Column4923" dataDxfId="11480"/>
    <tableColumn id="4929" xr3:uid="{00000000-0010-0000-0300-000041130000}" name="Column4924" dataDxfId="11479"/>
    <tableColumn id="4930" xr3:uid="{00000000-0010-0000-0300-000042130000}" name="Column4925" dataDxfId="11478"/>
    <tableColumn id="4931" xr3:uid="{00000000-0010-0000-0300-000043130000}" name="Column4926" dataDxfId="11477"/>
    <tableColumn id="4932" xr3:uid="{00000000-0010-0000-0300-000044130000}" name="Column4927" dataDxfId="11476"/>
    <tableColumn id="4933" xr3:uid="{00000000-0010-0000-0300-000045130000}" name="Column4928" dataDxfId="11475"/>
    <tableColumn id="4934" xr3:uid="{00000000-0010-0000-0300-000046130000}" name="Column4929" dataDxfId="11474"/>
    <tableColumn id="4935" xr3:uid="{00000000-0010-0000-0300-000047130000}" name="Column4930" dataDxfId="11473"/>
    <tableColumn id="4936" xr3:uid="{00000000-0010-0000-0300-000048130000}" name="Column4931" dataDxfId="11472"/>
    <tableColumn id="4937" xr3:uid="{00000000-0010-0000-0300-000049130000}" name="Column4932" dataDxfId="11471"/>
    <tableColumn id="4938" xr3:uid="{00000000-0010-0000-0300-00004A130000}" name="Column4933" dataDxfId="11470"/>
    <tableColumn id="4939" xr3:uid="{00000000-0010-0000-0300-00004B130000}" name="Column4934" dataDxfId="11469"/>
    <tableColumn id="4940" xr3:uid="{00000000-0010-0000-0300-00004C130000}" name="Column4935" dataDxfId="11468"/>
    <tableColumn id="4941" xr3:uid="{00000000-0010-0000-0300-00004D130000}" name="Column4936" dataDxfId="11467"/>
    <tableColumn id="4942" xr3:uid="{00000000-0010-0000-0300-00004E130000}" name="Column4937" dataDxfId="11466"/>
    <tableColumn id="4943" xr3:uid="{00000000-0010-0000-0300-00004F130000}" name="Column4938" dataDxfId="11465"/>
    <tableColumn id="4944" xr3:uid="{00000000-0010-0000-0300-000050130000}" name="Column4939" dataDxfId="11464"/>
    <tableColumn id="4945" xr3:uid="{00000000-0010-0000-0300-000051130000}" name="Column4940" dataDxfId="11463"/>
    <tableColumn id="4946" xr3:uid="{00000000-0010-0000-0300-000052130000}" name="Column4941" dataDxfId="11462"/>
    <tableColumn id="4947" xr3:uid="{00000000-0010-0000-0300-000053130000}" name="Column4942" dataDxfId="11461"/>
    <tableColumn id="4948" xr3:uid="{00000000-0010-0000-0300-000054130000}" name="Column4943" dataDxfId="11460"/>
    <tableColumn id="4949" xr3:uid="{00000000-0010-0000-0300-000055130000}" name="Column4944" dataDxfId="11459"/>
    <tableColumn id="4950" xr3:uid="{00000000-0010-0000-0300-000056130000}" name="Column4945" dataDxfId="11458"/>
    <tableColumn id="4951" xr3:uid="{00000000-0010-0000-0300-000057130000}" name="Column4946" dataDxfId="11457"/>
    <tableColumn id="4952" xr3:uid="{00000000-0010-0000-0300-000058130000}" name="Column4947" dataDxfId="11456"/>
    <tableColumn id="4953" xr3:uid="{00000000-0010-0000-0300-000059130000}" name="Column4948" dataDxfId="11455"/>
    <tableColumn id="4954" xr3:uid="{00000000-0010-0000-0300-00005A130000}" name="Column4949" dataDxfId="11454"/>
    <tableColumn id="4955" xr3:uid="{00000000-0010-0000-0300-00005B130000}" name="Column4950" dataDxfId="11453"/>
    <tableColumn id="4956" xr3:uid="{00000000-0010-0000-0300-00005C130000}" name="Column4951" dataDxfId="11452"/>
    <tableColumn id="4957" xr3:uid="{00000000-0010-0000-0300-00005D130000}" name="Column4952" dataDxfId="11451"/>
    <tableColumn id="4958" xr3:uid="{00000000-0010-0000-0300-00005E130000}" name="Column4953" dataDxfId="11450"/>
    <tableColumn id="4959" xr3:uid="{00000000-0010-0000-0300-00005F130000}" name="Column4954" dataDxfId="11449"/>
    <tableColumn id="4960" xr3:uid="{00000000-0010-0000-0300-000060130000}" name="Column4955" dataDxfId="11448"/>
    <tableColumn id="4961" xr3:uid="{00000000-0010-0000-0300-000061130000}" name="Column4956" dataDxfId="11447"/>
    <tableColumn id="4962" xr3:uid="{00000000-0010-0000-0300-000062130000}" name="Column4957" dataDxfId="11446"/>
    <tableColumn id="4963" xr3:uid="{00000000-0010-0000-0300-000063130000}" name="Column4958" dataDxfId="11445"/>
    <tableColumn id="4964" xr3:uid="{00000000-0010-0000-0300-000064130000}" name="Column4959" dataDxfId="11444"/>
    <tableColumn id="4965" xr3:uid="{00000000-0010-0000-0300-000065130000}" name="Column4960" dataDxfId="11443"/>
    <tableColumn id="4966" xr3:uid="{00000000-0010-0000-0300-000066130000}" name="Column4961" dataDxfId="11442"/>
    <tableColumn id="4967" xr3:uid="{00000000-0010-0000-0300-000067130000}" name="Column4962" dataDxfId="11441"/>
    <tableColumn id="4968" xr3:uid="{00000000-0010-0000-0300-000068130000}" name="Column4963" dataDxfId="11440"/>
    <tableColumn id="4969" xr3:uid="{00000000-0010-0000-0300-000069130000}" name="Column4964" dataDxfId="11439"/>
    <tableColumn id="4970" xr3:uid="{00000000-0010-0000-0300-00006A130000}" name="Column4965" dataDxfId="11438"/>
    <tableColumn id="4971" xr3:uid="{00000000-0010-0000-0300-00006B130000}" name="Column4966" dataDxfId="11437"/>
    <tableColumn id="4972" xr3:uid="{00000000-0010-0000-0300-00006C130000}" name="Column4967" dataDxfId="11436"/>
    <tableColumn id="4973" xr3:uid="{00000000-0010-0000-0300-00006D130000}" name="Column4968" dataDxfId="11435"/>
    <tableColumn id="4974" xr3:uid="{00000000-0010-0000-0300-00006E130000}" name="Column4969" dataDxfId="11434"/>
    <tableColumn id="4975" xr3:uid="{00000000-0010-0000-0300-00006F130000}" name="Column4970" dataDxfId="11433"/>
    <tableColumn id="4976" xr3:uid="{00000000-0010-0000-0300-000070130000}" name="Column4971" dataDxfId="11432"/>
    <tableColumn id="4977" xr3:uid="{00000000-0010-0000-0300-000071130000}" name="Column4972" dataDxfId="11431"/>
    <tableColumn id="4978" xr3:uid="{00000000-0010-0000-0300-000072130000}" name="Column4973" dataDxfId="11430"/>
    <tableColumn id="4979" xr3:uid="{00000000-0010-0000-0300-000073130000}" name="Column4974" dataDxfId="11429"/>
    <tableColumn id="4980" xr3:uid="{00000000-0010-0000-0300-000074130000}" name="Column4975" dataDxfId="11428"/>
    <tableColumn id="4981" xr3:uid="{00000000-0010-0000-0300-000075130000}" name="Column4976" dataDxfId="11427"/>
    <tableColumn id="4982" xr3:uid="{00000000-0010-0000-0300-000076130000}" name="Column4977" dataDxfId="11426"/>
    <tableColumn id="4983" xr3:uid="{00000000-0010-0000-0300-000077130000}" name="Column4978" dataDxfId="11425"/>
    <tableColumn id="4984" xr3:uid="{00000000-0010-0000-0300-000078130000}" name="Column4979" dataDxfId="11424"/>
    <tableColumn id="4985" xr3:uid="{00000000-0010-0000-0300-000079130000}" name="Column4980" dataDxfId="11423"/>
    <tableColumn id="4986" xr3:uid="{00000000-0010-0000-0300-00007A130000}" name="Column4981" dataDxfId="11422"/>
    <tableColumn id="4987" xr3:uid="{00000000-0010-0000-0300-00007B130000}" name="Column4982" dataDxfId="11421"/>
    <tableColumn id="4988" xr3:uid="{00000000-0010-0000-0300-00007C130000}" name="Column4983" dataDxfId="11420"/>
    <tableColumn id="4989" xr3:uid="{00000000-0010-0000-0300-00007D130000}" name="Column4984" dataDxfId="11419"/>
    <tableColumn id="4990" xr3:uid="{00000000-0010-0000-0300-00007E130000}" name="Column4985" dataDxfId="11418"/>
    <tableColumn id="4991" xr3:uid="{00000000-0010-0000-0300-00007F130000}" name="Column4986" dataDxfId="11417"/>
    <tableColumn id="4992" xr3:uid="{00000000-0010-0000-0300-000080130000}" name="Column4987" dataDxfId="11416"/>
    <tableColumn id="4993" xr3:uid="{00000000-0010-0000-0300-000081130000}" name="Column4988" dataDxfId="11415"/>
    <tableColumn id="4994" xr3:uid="{00000000-0010-0000-0300-000082130000}" name="Column4989" dataDxfId="11414"/>
    <tableColumn id="4995" xr3:uid="{00000000-0010-0000-0300-000083130000}" name="Column4990" dataDxfId="11413"/>
    <tableColumn id="4996" xr3:uid="{00000000-0010-0000-0300-000084130000}" name="Column4991" dataDxfId="11412"/>
    <tableColumn id="4997" xr3:uid="{00000000-0010-0000-0300-000085130000}" name="Column4992" dataDxfId="11411"/>
    <tableColumn id="4998" xr3:uid="{00000000-0010-0000-0300-000086130000}" name="Column4993" dataDxfId="11410"/>
    <tableColumn id="4999" xr3:uid="{00000000-0010-0000-0300-000087130000}" name="Column4994" dataDxfId="11409"/>
    <tableColumn id="5000" xr3:uid="{00000000-0010-0000-0300-000088130000}" name="Column4995" dataDxfId="11408"/>
    <tableColumn id="5001" xr3:uid="{00000000-0010-0000-0300-000089130000}" name="Column4996" dataDxfId="11407"/>
    <tableColumn id="5002" xr3:uid="{00000000-0010-0000-0300-00008A130000}" name="Column4997" dataDxfId="11406"/>
    <tableColumn id="5003" xr3:uid="{00000000-0010-0000-0300-00008B130000}" name="Column4998" dataDxfId="11405"/>
    <tableColumn id="5004" xr3:uid="{00000000-0010-0000-0300-00008C130000}" name="Column4999" dataDxfId="11404"/>
    <tableColumn id="5005" xr3:uid="{00000000-0010-0000-0300-00008D130000}" name="Column5000" dataDxfId="11403"/>
    <tableColumn id="5006" xr3:uid="{00000000-0010-0000-0300-00008E130000}" name="Column5001" dataDxfId="11402"/>
    <tableColumn id="5007" xr3:uid="{00000000-0010-0000-0300-00008F130000}" name="Column5002" dataDxfId="11401"/>
    <tableColumn id="5008" xr3:uid="{00000000-0010-0000-0300-000090130000}" name="Column5003" dataDxfId="11400"/>
    <tableColumn id="5009" xr3:uid="{00000000-0010-0000-0300-000091130000}" name="Column5004" dataDxfId="11399"/>
    <tableColumn id="5010" xr3:uid="{00000000-0010-0000-0300-000092130000}" name="Column5005" dataDxfId="11398"/>
    <tableColumn id="5011" xr3:uid="{00000000-0010-0000-0300-000093130000}" name="Column5006" dataDxfId="11397"/>
    <tableColumn id="5012" xr3:uid="{00000000-0010-0000-0300-000094130000}" name="Column5007" dataDxfId="11396"/>
    <tableColumn id="5013" xr3:uid="{00000000-0010-0000-0300-000095130000}" name="Column5008" dataDxfId="11395"/>
    <tableColumn id="5014" xr3:uid="{00000000-0010-0000-0300-000096130000}" name="Column5009" dataDxfId="11394"/>
    <tableColumn id="5015" xr3:uid="{00000000-0010-0000-0300-000097130000}" name="Column5010" dataDxfId="11393"/>
    <tableColumn id="5016" xr3:uid="{00000000-0010-0000-0300-000098130000}" name="Column5011" dataDxfId="11392"/>
    <tableColumn id="5017" xr3:uid="{00000000-0010-0000-0300-000099130000}" name="Column5012" dataDxfId="11391"/>
    <tableColumn id="5018" xr3:uid="{00000000-0010-0000-0300-00009A130000}" name="Column5013" dataDxfId="11390"/>
    <tableColumn id="5019" xr3:uid="{00000000-0010-0000-0300-00009B130000}" name="Column5014" dataDxfId="11389"/>
    <tableColumn id="5020" xr3:uid="{00000000-0010-0000-0300-00009C130000}" name="Column5015" dataDxfId="11388"/>
    <tableColumn id="5021" xr3:uid="{00000000-0010-0000-0300-00009D130000}" name="Column5016" dataDxfId="11387"/>
    <tableColumn id="5022" xr3:uid="{00000000-0010-0000-0300-00009E130000}" name="Column5017" dataDxfId="11386"/>
    <tableColumn id="5023" xr3:uid="{00000000-0010-0000-0300-00009F130000}" name="Column5018" dataDxfId="11385"/>
    <tableColumn id="5024" xr3:uid="{00000000-0010-0000-0300-0000A0130000}" name="Column5019" dataDxfId="11384"/>
    <tableColumn id="5025" xr3:uid="{00000000-0010-0000-0300-0000A1130000}" name="Column5020" dataDxfId="11383"/>
    <tableColumn id="5026" xr3:uid="{00000000-0010-0000-0300-0000A2130000}" name="Column5021" dataDxfId="11382"/>
    <tableColumn id="5027" xr3:uid="{00000000-0010-0000-0300-0000A3130000}" name="Column5022" dataDxfId="11381"/>
    <tableColumn id="5028" xr3:uid="{00000000-0010-0000-0300-0000A4130000}" name="Column5023" dataDxfId="11380"/>
    <tableColumn id="5029" xr3:uid="{00000000-0010-0000-0300-0000A5130000}" name="Column5024" dataDxfId="11379"/>
    <tableColumn id="5030" xr3:uid="{00000000-0010-0000-0300-0000A6130000}" name="Column5025" dataDxfId="11378"/>
    <tableColumn id="5031" xr3:uid="{00000000-0010-0000-0300-0000A7130000}" name="Column5026" dataDxfId="11377"/>
    <tableColumn id="5032" xr3:uid="{00000000-0010-0000-0300-0000A8130000}" name="Column5027" dataDxfId="11376"/>
    <tableColumn id="5033" xr3:uid="{00000000-0010-0000-0300-0000A9130000}" name="Column5028" dataDxfId="11375"/>
    <tableColumn id="5034" xr3:uid="{00000000-0010-0000-0300-0000AA130000}" name="Column5029" dataDxfId="11374"/>
    <tableColumn id="5035" xr3:uid="{00000000-0010-0000-0300-0000AB130000}" name="Column5030" dataDxfId="11373"/>
    <tableColumn id="5036" xr3:uid="{00000000-0010-0000-0300-0000AC130000}" name="Column5031" dataDxfId="11372"/>
    <tableColumn id="5037" xr3:uid="{00000000-0010-0000-0300-0000AD130000}" name="Column5032" dataDxfId="11371"/>
    <tableColumn id="5038" xr3:uid="{00000000-0010-0000-0300-0000AE130000}" name="Column5033" dataDxfId="11370"/>
    <tableColumn id="5039" xr3:uid="{00000000-0010-0000-0300-0000AF130000}" name="Column5034" dataDxfId="11369"/>
    <tableColumn id="5040" xr3:uid="{00000000-0010-0000-0300-0000B0130000}" name="Column5035" dataDxfId="11368"/>
    <tableColumn id="5041" xr3:uid="{00000000-0010-0000-0300-0000B1130000}" name="Column5036" dataDxfId="11367"/>
    <tableColumn id="5042" xr3:uid="{00000000-0010-0000-0300-0000B2130000}" name="Column5037" dataDxfId="11366"/>
    <tableColumn id="5043" xr3:uid="{00000000-0010-0000-0300-0000B3130000}" name="Column5038" dataDxfId="11365"/>
    <tableColumn id="5044" xr3:uid="{00000000-0010-0000-0300-0000B4130000}" name="Column5039" dataDxfId="11364"/>
    <tableColumn id="5045" xr3:uid="{00000000-0010-0000-0300-0000B5130000}" name="Column5040" dataDxfId="11363"/>
    <tableColumn id="5046" xr3:uid="{00000000-0010-0000-0300-0000B6130000}" name="Column5041" dataDxfId="11362"/>
    <tableColumn id="5047" xr3:uid="{00000000-0010-0000-0300-0000B7130000}" name="Column5042" dataDxfId="11361"/>
    <tableColumn id="5048" xr3:uid="{00000000-0010-0000-0300-0000B8130000}" name="Column5043" dataDxfId="11360"/>
    <tableColumn id="5049" xr3:uid="{00000000-0010-0000-0300-0000B9130000}" name="Column5044" dataDxfId="11359"/>
    <tableColumn id="5050" xr3:uid="{00000000-0010-0000-0300-0000BA130000}" name="Column5045" dataDxfId="11358"/>
    <tableColumn id="5051" xr3:uid="{00000000-0010-0000-0300-0000BB130000}" name="Column5046" dataDxfId="11357"/>
    <tableColumn id="5052" xr3:uid="{00000000-0010-0000-0300-0000BC130000}" name="Column5047" dataDxfId="11356"/>
    <tableColumn id="5053" xr3:uid="{00000000-0010-0000-0300-0000BD130000}" name="Column5048" dataDxfId="11355"/>
    <tableColumn id="5054" xr3:uid="{00000000-0010-0000-0300-0000BE130000}" name="Column5049" dataDxfId="11354"/>
    <tableColumn id="5055" xr3:uid="{00000000-0010-0000-0300-0000BF130000}" name="Column5050" dataDxfId="11353"/>
    <tableColumn id="5056" xr3:uid="{00000000-0010-0000-0300-0000C0130000}" name="Column5051" dataDxfId="11352"/>
    <tableColumn id="5057" xr3:uid="{00000000-0010-0000-0300-0000C1130000}" name="Column5052" dataDxfId="11351"/>
    <tableColumn id="5058" xr3:uid="{00000000-0010-0000-0300-0000C2130000}" name="Column5053" dataDxfId="11350"/>
    <tableColumn id="5059" xr3:uid="{00000000-0010-0000-0300-0000C3130000}" name="Column5054" dataDxfId="11349"/>
    <tableColumn id="5060" xr3:uid="{00000000-0010-0000-0300-0000C4130000}" name="Column5055" dataDxfId="11348"/>
    <tableColumn id="5061" xr3:uid="{00000000-0010-0000-0300-0000C5130000}" name="Column5056" dataDxfId="11347"/>
    <tableColumn id="5062" xr3:uid="{00000000-0010-0000-0300-0000C6130000}" name="Column5057" dataDxfId="11346"/>
    <tableColumn id="5063" xr3:uid="{00000000-0010-0000-0300-0000C7130000}" name="Column5058" dataDxfId="11345"/>
    <tableColumn id="5064" xr3:uid="{00000000-0010-0000-0300-0000C8130000}" name="Column5059" dataDxfId="11344"/>
    <tableColumn id="5065" xr3:uid="{00000000-0010-0000-0300-0000C9130000}" name="Column5060" dataDxfId="11343"/>
    <tableColumn id="5066" xr3:uid="{00000000-0010-0000-0300-0000CA130000}" name="Column5061" dataDxfId="11342"/>
    <tableColumn id="5067" xr3:uid="{00000000-0010-0000-0300-0000CB130000}" name="Column5062" dataDxfId="11341"/>
    <tableColumn id="5068" xr3:uid="{00000000-0010-0000-0300-0000CC130000}" name="Column5063" dataDxfId="11340"/>
    <tableColumn id="5069" xr3:uid="{00000000-0010-0000-0300-0000CD130000}" name="Column5064" dataDxfId="11339"/>
    <tableColumn id="5070" xr3:uid="{00000000-0010-0000-0300-0000CE130000}" name="Column5065" dataDxfId="11338"/>
    <tableColumn id="5071" xr3:uid="{00000000-0010-0000-0300-0000CF130000}" name="Column5066" dataDxfId="11337"/>
    <tableColumn id="5072" xr3:uid="{00000000-0010-0000-0300-0000D0130000}" name="Column5067" dataDxfId="11336"/>
    <tableColumn id="5073" xr3:uid="{00000000-0010-0000-0300-0000D1130000}" name="Column5068" dataDxfId="11335"/>
    <tableColumn id="5074" xr3:uid="{00000000-0010-0000-0300-0000D2130000}" name="Column5069" dataDxfId="11334"/>
    <tableColumn id="5075" xr3:uid="{00000000-0010-0000-0300-0000D3130000}" name="Column5070" dataDxfId="11333"/>
    <tableColumn id="5076" xr3:uid="{00000000-0010-0000-0300-0000D4130000}" name="Column5071" dataDxfId="11332"/>
    <tableColumn id="5077" xr3:uid="{00000000-0010-0000-0300-0000D5130000}" name="Column5072" dataDxfId="11331"/>
    <tableColumn id="5078" xr3:uid="{00000000-0010-0000-0300-0000D6130000}" name="Column5073" dataDxfId="11330"/>
    <tableColumn id="5079" xr3:uid="{00000000-0010-0000-0300-0000D7130000}" name="Column5074" dataDxfId="11329"/>
    <tableColumn id="5080" xr3:uid="{00000000-0010-0000-0300-0000D8130000}" name="Column5075" dataDxfId="11328"/>
    <tableColumn id="5081" xr3:uid="{00000000-0010-0000-0300-0000D9130000}" name="Column5076" dataDxfId="11327"/>
    <tableColumn id="5082" xr3:uid="{00000000-0010-0000-0300-0000DA130000}" name="Column5077" dataDxfId="11326"/>
    <tableColumn id="5083" xr3:uid="{00000000-0010-0000-0300-0000DB130000}" name="Column5078" dataDxfId="11325"/>
    <tableColumn id="5084" xr3:uid="{00000000-0010-0000-0300-0000DC130000}" name="Column5079" dataDxfId="11324"/>
    <tableColumn id="5085" xr3:uid="{00000000-0010-0000-0300-0000DD130000}" name="Column5080" dataDxfId="11323"/>
    <tableColumn id="5086" xr3:uid="{00000000-0010-0000-0300-0000DE130000}" name="Column5081" dataDxfId="11322"/>
    <tableColumn id="5087" xr3:uid="{00000000-0010-0000-0300-0000DF130000}" name="Column5082" dataDxfId="11321"/>
    <tableColumn id="5088" xr3:uid="{00000000-0010-0000-0300-0000E0130000}" name="Column5083" dataDxfId="11320"/>
    <tableColumn id="5089" xr3:uid="{00000000-0010-0000-0300-0000E1130000}" name="Column5084" dataDxfId="11319"/>
    <tableColumn id="5090" xr3:uid="{00000000-0010-0000-0300-0000E2130000}" name="Column5085" dataDxfId="11318"/>
    <tableColumn id="5091" xr3:uid="{00000000-0010-0000-0300-0000E3130000}" name="Column5086" dataDxfId="11317"/>
    <tableColumn id="5092" xr3:uid="{00000000-0010-0000-0300-0000E4130000}" name="Column5087" dataDxfId="11316"/>
    <tableColumn id="5093" xr3:uid="{00000000-0010-0000-0300-0000E5130000}" name="Column5088" dataDxfId="11315"/>
    <tableColumn id="5094" xr3:uid="{00000000-0010-0000-0300-0000E6130000}" name="Column5089" dataDxfId="11314"/>
    <tableColumn id="5095" xr3:uid="{00000000-0010-0000-0300-0000E7130000}" name="Column5090" dataDxfId="11313"/>
    <tableColumn id="5096" xr3:uid="{00000000-0010-0000-0300-0000E8130000}" name="Column5091" dataDxfId="11312"/>
    <tableColumn id="5097" xr3:uid="{00000000-0010-0000-0300-0000E9130000}" name="Column5092" dataDxfId="11311"/>
    <tableColumn id="5098" xr3:uid="{00000000-0010-0000-0300-0000EA130000}" name="Column5093" dataDxfId="11310"/>
    <tableColumn id="5099" xr3:uid="{00000000-0010-0000-0300-0000EB130000}" name="Column5094" dataDxfId="11309"/>
    <tableColumn id="5100" xr3:uid="{00000000-0010-0000-0300-0000EC130000}" name="Column5095" dataDxfId="11308"/>
    <tableColumn id="5101" xr3:uid="{00000000-0010-0000-0300-0000ED130000}" name="Column5096" dataDxfId="11307"/>
    <tableColumn id="5102" xr3:uid="{00000000-0010-0000-0300-0000EE130000}" name="Column5097" dataDxfId="11306"/>
    <tableColumn id="5103" xr3:uid="{00000000-0010-0000-0300-0000EF130000}" name="Column5098" dataDxfId="11305"/>
    <tableColumn id="5104" xr3:uid="{00000000-0010-0000-0300-0000F0130000}" name="Column5099" dataDxfId="11304"/>
    <tableColumn id="5105" xr3:uid="{00000000-0010-0000-0300-0000F1130000}" name="Column5100" dataDxfId="11303"/>
    <tableColumn id="5106" xr3:uid="{00000000-0010-0000-0300-0000F2130000}" name="Column5101" dataDxfId="11302"/>
    <tableColumn id="5107" xr3:uid="{00000000-0010-0000-0300-0000F3130000}" name="Column5102" dataDxfId="11301"/>
    <tableColumn id="5108" xr3:uid="{00000000-0010-0000-0300-0000F4130000}" name="Column5103" dataDxfId="11300"/>
    <tableColumn id="5109" xr3:uid="{00000000-0010-0000-0300-0000F5130000}" name="Column5104" dataDxfId="11299"/>
    <tableColumn id="5110" xr3:uid="{00000000-0010-0000-0300-0000F6130000}" name="Column5105" dataDxfId="11298"/>
    <tableColumn id="5111" xr3:uid="{00000000-0010-0000-0300-0000F7130000}" name="Column5106" dataDxfId="11297"/>
    <tableColumn id="5112" xr3:uid="{00000000-0010-0000-0300-0000F8130000}" name="Column5107" dataDxfId="11296"/>
    <tableColumn id="5113" xr3:uid="{00000000-0010-0000-0300-0000F9130000}" name="Column5108" dataDxfId="11295"/>
    <tableColumn id="5114" xr3:uid="{00000000-0010-0000-0300-0000FA130000}" name="Column5109" dataDxfId="11294"/>
    <tableColumn id="5115" xr3:uid="{00000000-0010-0000-0300-0000FB130000}" name="Column5110" dataDxfId="11293"/>
    <tableColumn id="5116" xr3:uid="{00000000-0010-0000-0300-0000FC130000}" name="Column5111" dataDxfId="11292"/>
    <tableColumn id="5117" xr3:uid="{00000000-0010-0000-0300-0000FD130000}" name="Column5112" dataDxfId="11291"/>
    <tableColumn id="5118" xr3:uid="{00000000-0010-0000-0300-0000FE130000}" name="Column5113" dataDxfId="11290"/>
    <tableColumn id="5119" xr3:uid="{00000000-0010-0000-0300-0000FF130000}" name="Column5114" dataDxfId="11289"/>
    <tableColumn id="5120" xr3:uid="{00000000-0010-0000-0300-000000140000}" name="Column5115" dataDxfId="11288"/>
    <tableColumn id="5121" xr3:uid="{00000000-0010-0000-0300-000001140000}" name="Column5116" dataDxfId="11287"/>
    <tableColumn id="5122" xr3:uid="{00000000-0010-0000-0300-000002140000}" name="Column5117" dataDxfId="11286"/>
    <tableColumn id="5123" xr3:uid="{00000000-0010-0000-0300-000003140000}" name="Column5118" dataDxfId="11285"/>
    <tableColumn id="5124" xr3:uid="{00000000-0010-0000-0300-000004140000}" name="Column5119" dataDxfId="11284"/>
    <tableColumn id="5125" xr3:uid="{00000000-0010-0000-0300-000005140000}" name="Column5120" dataDxfId="11283"/>
    <tableColumn id="5126" xr3:uid="{00000000-0010-0000-0300-000006140000}" name="Column5121" dataDxfId="11282"/>
    <tableColumn id="5127" xr3:uid="{00000000-0010-0000-0300-000007140000}" name="Column5122" dataDxfId="11281"/>
    <tableColumn id="5128" xr3:uid="{00000000-0010-0000-0300-000008140000}" name="Column5123" dataDxfId="11280"/>
    <tableColumn id="5129" xr3:uid="{00000000-0010-0000-0300-000009140000}" name="Column5124" dataDxfId="11279"/>
    <tableColumn id="5130" xr3:uid="{00000000-0010-0000-0300-00000A140000}" name="Column5125" dataDxfId="11278"/>
    <tableColumn id="5131" xr3:uid="{00000000-0010-0000-0300-00000B140000}" name="Column5126" dataDxfId="11277"/>
    <tableColumn id="5132" xr3:uid="{00000000-0010-0000-0300-00000C140000}" name="Column5127" dataDxfId="11276"/>
    <tableColumn id="5133" xr3:uid="{00000000-0010-0000-0300-00000D140000}" name="Column5128" dataDxfId="11275"/>
    <tableColumn id="5134" xr3:uid="{00000000-0010-0000-0300-00000E140000}" name="Column5129" dataDxfId="11274"/>
    <tableColumn id="5135" xr3:uid="{00000000-0010-0000-0300-00000F140000}" name="Column5130" dataDxfId="11273"/>
    <tableColumn id="5136" xr3:uid="{00000000-0010-0000-0300-000010140000}" name="Column5131" dataDxfId="11272"/>
    <tableColumn id="5137" xr3:uid="{00000000-0010-0000-0300-000011140000}" name="Column5132" dataDxfId="11271"/>
    <tableColumn id="5138" xr3:uid="{00000000-0010-0000-0300-000012140000}" name="Column5133" dataDxfId="11270"/>
    <tableColumn id="5139" xr3:uid="{00000000-0010-0000-0300-000013140000}" name="Column5134" dataDxfId="11269"/>
    <tableColumn id="5140" xr3:uid="{00000000-0010-0000-0300-000014140000}" name="Column5135" dataDxfId="11268"/>
    <tableColumn id="5141" xr3:uid="{00000000-0010-0000-0300-000015140000}" name="Column5136" dataDxfId="11267"/>
    <tableColumn id="5142" xr3:uid="{00000000-0010-0000-0300-000016140000}" name="Column5137" dataDxfId="11266"/>
    <tableColumn id="5143" xr3:uid="{00000000-0010-0000-0300-000017140000}" name="Column5138" dataDxfId="11265"/>
    <tableColumn id="5144" xr3:uid="{00000000-0010-0000-0300-000018140000}" name="Column5139" dataDxfId="11264"/>
    <tableColumn id="5145" xr3:uid="{00000000-0010-0000-0300-000019140000}" name="Column5140" dataDxfId="11263"/>
    <tableColumn id="5146" xr3:uid="{00000000-0010-0000-0300-00001A140000}" name="Column5141" dataDxfId="11262"/>
    <tableColumn id="5147" xr3:uid="{00000000-0010-0000-0300-00001B140000}" name="Column5142" dataDxfId="11261"/>
    <tableColumn id="5148" xr3:uid="{00000000-0010-0000-0300-00001C140000}" name="Column5143" dataDxfId="11260"/>
    <tableColumn id="5149" xr3:uid="{00000000-0010-0000-0300-00001D140000}" name="Column5144" dataDxfId="11259"/>
    <tableColumn id="5150" xr3:uid="{00000000-0010-0000-0300-00001E140000}" name="Column5145" dataDxfId="11258"/>
    <tableColumn id="5151" xr3:uid="{00000000-0010-0000-0300-00001F140000}" name="Column5146" dataDxfId="11257"/>
    <tableColumn id="5152" xr3:uid="{00000000-0010-0000-0300-000020140000}" name="Column5147" dataDxfId="11256"/>
    <tableColumn id="5153" xr3:uid="{00000000-0010-0000-0300-000021140000}" name="Column5148" dataDxfId="11255"/>
    <tableColumn id="5154" xr3:uid="{00000000-0010-0000-0300-000022140000}" name="Column5149" dataDxfId="11254"/>
    <tableColumn id="5155" xr3:uid="{00000000-0010-0000-0300-000023140000}" name="Column5150" dataDxfId="11253"/>
    <tableColumn id="5156" xr3:uid="{00000000-0010-0000-0300-000024140000}" name="Column5151" dataDxfId="11252"/>
    <tableColumn id="5157" xr3:uid="{00000000-0010-0000-0300-000025140000}" name="Column5152" dataDxfId="11251"/>
    <tableColumn id="5158" xr3:uid="{00000000-0010-0000-0300-000026140000}" name="Column5153" dataDxfId="11250"/>
    <tableColumn id="5159" xr3:uid="{00000000-0010-0000-0300-000027140000}" name="Column5154" dataDxfId="11249"/>
    <tableColumn id="5160" xr3:uid="{00000000-0010-0000-0300-000028140000}" name="Column5155" dataDxfId="11248"/>
    <tableColumn id="5161" xr3:uid="{00000000-0010-0000-0300-000029140000}" name="Column5156" dataDxfId="11247"/>
    <tableColumn id="5162" xr3:uid="{00000000-0010-0000-0300-00002A140000}" name="Column5157" dataDxfId="11246"/>
    <tableColumn id="5163" xr3:uid="{00000000-0010-0000-0300-00002B140000}" name="Column5158" dataDxfId="11245"/>
    <tableColumn id="5164" xr3:uid="{00000000-0010-0000-0300-00002C140000}" name="Column5159" dataDxfId="11244"/>
    <tableColumn id="5165" xr3:uid="{00000000-0010-0000-0300-00002D140000}" name="Column5160" dataDxfId="11243"/>
    <tableColumn id="5166" xr3:uid="{00000000-0010-0000-0300-00002E140000}" name="Column5161" dataDxfId="11242"/>
    <tableColumn id="5167" xr3:uid="{00000000-0010-0000-0300-00002F140000}" name="Column5162" dataDxfId="11241"/>
    <tableColumn id="5168" xr3:uid="{00000000-0010-0000-0300-000030140000}" name="Column5163" dataDxfId="11240"/>
    <tableColumn id="5169" xr3:uid="{00000000-0010-0000-0300-000031140000}" name="Column5164" dataDxfId="11239"/>
    <tableColumn id="5170" xr3:uid="{00000000-0010-0000-0300-000032140000}" name="Column5165" dataDxfId="11238"/>
    <tableColumn id="5171" xr3:uid="{00000000-0010-0000-0300-000033140000}" name="Column5166" dataDxfId="11237"/>
    <tableColumn id="5172" xr3:uid="{00000000-0010-0000-0300-000034140000}" name="Column5167" dataDxfId="11236"/>
    <tableColumn id="5173" xr3:uid="{00000000-0010-0000-0300-000035140000}" name="Column5168" dataDxfId="11235"/>
    <tableColumn id="5174" xr3:uid="{00000000-0010-0000-0300-000036140000}" name="Column5169" dataDxfId="11234"/>
    <tableColumn id="5175" xr3:uid="{00000000-0010-0000-0300-000037140000}" name="Column5170" dataDxfId="11233"/>
    <tableColumn id="5176" xr3:uid="{00000000-0010-0000-0300-000038140000}" name="Column5171" dataDxfId="11232"/>
    <tableColumn id="5177" xr3:uid="{00000000-0010-0000-0300-000039140000}" name="Column5172" dataDxfId="11231"/>
    <tableColumn id="5178" xr3:uid="{00000000-0010-0000-0300-00003A140000}" name="Column5173" dataDxfId="11230"/>
    <tableColumn id="5179" xr3:uid="{00000000-0010-0000-0300-00003B140000}" name="Column5174" dataDxfId="11229"/>
    <tableColumn id="5180" xr3:uid="{00000000-0010-0000-0300-00003C140000}" name="Column5175" dataDxfId="11228"/>
    <tableColumn id="5181" xr3:uid="{00000000-0010-0000-0300-00003D140000}" name="Column5176" dataDxfId="11227"/>
    <tableColumn id="5182" xr3:uid="{00000000-0010-0000-0300-00003E140000}" name="Column5177" dataDxfId="11226"/>
    <tableColumn id="5183" xr3:uid="{00000000-0010-0000-0300-00003F140000}" name="Column5178" dataDxfId="11225"/>
    <tableColumn id="5184" xr3:uid="{00000000-0010-0000-0300-000040140000}" name="Column5179" dataDxfId="11224"/>
    <tableColumn id="5185" xr3:uid="{00000000-0010-0000-0300-000041140000}" name="Column5180" dataDxfId="11223"/>
    <tableColumn id="5186" xr3:uid="{00000000-0010-0000-0300-000042140000}" name="Column5181" dataDxfId="11222"/>
    <tableColumn id="5187" xr3:uid="{00000000-0010-0000-0300-000043140000}" name="Column5182" dataDxfId="11221"/>
    <tableColumn id="5188" xr3:uid="{00000000-0010-0000-0300-000044140000}" name="Column5183" dataDxfId="11220"/>
    <tableColumn id="5189" xr3:uid="{00000000-0010-0000-0300-000045140000}" name="Column5184" dataDxfId="11219"/>
    <tableColumn id="5190" xr3:uid="{00000000-0010-0000-0300-000046140000}" name="Column5185" dataDxfId="11218"/>
    <tableColumn id="5191" xr3:uid="{00000000-0010-0000-0300-000047140000}" name="Column5186" dataDxfId="11217"/>
    <tableColumn id="5192" xr3:uid="{00000000-0010-0000-0300-000048140000}" name="Column5187" dataDxfId="11216"/>
    <tableColumn id="5193" xr3:uid="{00000000-0010-0000-0300-000049140000}" name="Column5188" dataDxfId="11215"/>
    <tableColumn id="5194" xr3:uid="{00000000-0010-0000-0300-00004A140000}" name="Column5189" dataDxfId="11214"/>
    <tableColumn id="5195" xr3:uid="{00000000-0010-0000-0300-00004B140000}" name="Column5190" dataDxfId="11213"/>
    <tableColumn id="5196" xr3:uid="{00000000-0010-0000-0300-00004C140000}" name="Column5191" dataDxfId="11212"/>
    <tableColumn id="5197" xr3:uid="{00000000-0010-0000-0300-00004D140000}" name="Column5192" dataDxfId="11211"/>
    <tableColumn id="5198" xr3:uid="{00000000-0010-0000-0300-00004E140000}" name="Column5193" dataDxfId="11210"/>
    <tableColumn id="5199" xr3:uid="{00000000-0010-0000-0300-00004F140000}" name="Column5194" dataDxfId="11209"/>
    <tableColumn id="5200" xr3:uid="{00000000-0010-0000-0300-000050140000}" name="Column5195" dataDxfId="11208"/>
    <tableColumn id="5201" xr3:uid="{00000000-0010-0000-0300-000051140000}" name="Column5196" dataDxfId="11207"/>
    <tableColumn id="5202" xr3:uid="{00000000-0010-0000-0300-000052140000}" name="Column5197" dataDxfId="11206"/>
    <tableColumn id="5203" xr3:uid="{00000000-0010-0000-0300-000053140000}" name="Column5198" dataDxfId="11205"/>
    <tableColumn id="5204" xr3:uid="{00000000-0010-0000-0300-000054140000}" name="Column5199" dataDxfId="11204"/>
    <tableColumn id="5205" xr3:uid="{00000000-0010-0000-0300-000055140000}" name="Column5200" dataDxfId="11203"/>
    <tableColumn id="5206" xr3:uid="{00000000-0010-0000-0300-000056140000}" name="Column5201" dataDxfId="11202"/>
    <tableColumn id="5207" xr3:uid="{00000000-0010-0000-0300-000057140000}" name="Column5202" dataDxfId="11201"/>
    <tableColumn id="5208" xr3:uid="{00000000-0010-0000-0300-000058140000}" name="Column5203" dataDxfId="11200"/>
    <tableColumn id="5209" xr3:uid="{00000000-0010-0000-0300-000059140000}" name="Column5204" dataDxfId="11199"/>
    <tableColumn id="5210" xr3:uid="{00000000-0010-0000-0300-00005A140000}" name="Column5205" dataDxfId="11198"/>
    <tableColumn id="5211" xr3:uid="{00000000-0010-0000-0300-00005B140000}" name="Column5206" dataDxfId="11197"/>
    <tableColumn id="5212" xr3:uid="{00000000-0010-0000-0300-00005C140000}" name="Column5207" dataDxfId="11196"/>
    <tableColumn id="5213" xr3:uid="{00000000-0010-0000-0300-00005D140000}" name="Column5208" dataDxfId="11195"/>
    <tableColumn id="5214" xr3:uid="{00000000-0010-0000-0300-00005E140000}" name="Column5209" dataDxfId="11194"/>
    <tableColumn id="5215" xr3:uid="{00000000-0010-0000-0300-00005F140000}" name="Column5210" dataDxfId="11193"/>
    <tableColumn id="5216" xr3:uid="{00000000-0010-0000-0300-000060140000}" name="Column5211" dataDxfId="11192"/>
    <tableColumn id="5217" xr3:uid="{00000000-0010-0000-0300-000061140000}" name="Column5212" dataDxfId="11191"/>
    <tableColumn id="5218" xr3:uid="{00000000-0010-0000-0300-000062140000}" name="Column5213" dataDxfId="11190"/>
    <tableColumn id="5219" xr3:uid="{00000000-0010-0000-0300-000063140000}" name="Column5214" dataDxfId="11189"/>
    <tableColumn id="5220" xr3:uid="{00000000-0010-0000-0300-000064140000}" name="Column5215" dataDxfId="11188"/>
    <tableColumn id="5221" xr3:uid="{00000000-0010-0000-0300-000065140000}" name="Column5216" dataDxfId="11187"/>
    <tableColumn id="5222" xr3:uid="{00000000-0010-0000-0300-000066140000}" name="Column5217" dataDxfId="11186"/>
    <tableColumn id="5223" xr3:uid="{00000000-0010-0000-0300-000067140000}" name="Column5218" dataDxfId="11185"/>
    <tableColumn id="5224" xr3:uid="{00000000-0010-0000-0300-000068140000}" name="Column5219" dataDxfId="11184"/>
    <tableColumn id="5225" xr3:uid="{00000000-0010-0000-0300-000069140000}" name="Column5220" dataDxfId="11183"/>
    <tableColumn id="5226" xr3:uid="{00000000-0010-0000-0300-00006A140000}" name="Column5221" dataDxfId="11182"/>
    <tableColumn id="5227" xr3:uid="{00000000-0010-0000-0300-00006B140000}" name="Column5222" dataDxfId="11181"/>
    <tableColumn id="5228" xr3:uid="{00000000-0010-0000-0300-00006C140000}" name="Column5223" dataDxfId="11180"/>
    <tableColumn id="5229" xr3:uid="{00000000-0010-0000-0300-00006D140000}" name="Column5224" dataDxfId="11179"/>
    <tableColumn id="5230" xr3:uid="{00000000-0010-0000-0300-00006E140000}" name="Column5225" dataDxfId="11178"/>
    <tableColumn id="5231" xr3:uid="{00000000-0010-0000-0300-00006F140000}" name="Column5226" dataDxfId="11177"/>
    <tableColumn id="5232" xr3:uid="{00000000-0010-0000-0300-000070140000}" name="Column5227" dataDxfId="11176"/>
    <tableColumn id="5233" xr3:uid="{00000000-0010-0000-0300-000071140000}" name="Column5228" dataDxfId="11175"/>
    <tableColumn id="5234" xr3:uid="{00000000-0010-0000-0300-000072140000}" name="Column5229" dataDxfId="11174"/>
    <tableColumn id="5235" xr3:uid="{00000000-0010-0000-0300-000073140000}" name="Column5230" dataDxfId="11173"/>
    <tableColumn id="5236" xr3:uid="{00000000-0010-0000-0300-000074140000}" name="Column5231" dataDxfId="11172"/>
    <tableColumn id="5237" xr3:uid="{00000000-0010-0000-0300-000075140000}" name="Column5232" dataDxfId="11171"/>
    <tableColumn id="5238" xr3:uid="{00000000-0010-0000-0300-000076140000}" name="Column5233" dataDxfId="11170"/>
    <tableColumn id="5239" xr3:uid="{00000000-0010-0000-0300-000077140000}" name="Column5234" dataDxfId="11169"/>
    <tableColumn id="5240" xr3:uid="{00000000-0010-0000-0300-000078140000}" name="Column5235" dataDxfId="11168"/>
    <tableColumn id="5241" xr3:uid="{00000000-0010-0000-0300-000079140000}" name="Column5236" dataDxfId="11167"/>
    <tableColumn id="5242" xr3:uid="{00000000-0010-0000-0300-00007A140000}" name="Column5237" dataDxfId="11166"/>
    <tableColumn id="5243" xr3:uid="{00000000-0010-0000-0300-00007B140000}" name="Column5238" dataDxfId="11165"/>
    <tableColumn id="5244" xr3:uid="{00000000-0010-0000-0300-00007C140000}" name="Column5239" dataDxfId="11164"/>
    <tableColumn id="5245" xr3:uid="{00000000-0010-0000-0300-00007D140000}" name="Column5240" dataDxfId="11163"/>
    <tableColumn id="5246" xr3:uid="{00000000-0010-0000-0300-00007E140000}" name="Column5241" dataDxfId="11162"/>
    <tableColumn id="5247" xr3:uid="{00000000-0010-0000-0300-00007F140000}" name="Column5242" dataDxfId="11161"/>
    <tableColumn id="5248" xr3:uid="{00000000-0010-0000-0300-000080140000}" name="Column5243" dataDxfId="11160"/>
    <tableColumn id="5249" xr3:uid="{00000000-0010-0000-0300-000081140000}" name="Column5244" dataDxfId="11159"/>
    <tableColumn id="5250" xr3:uid="{00000000-0010-0000-0300-000082140000}" name="Column5245" dataDxfId="11158"/>
    <tableColumn id="5251" xr3:uid="{00000000-0010-0000-0300-000083140000}" name="Column5246" dataDxfId="11157"/>
    <tableColumn id="5252" xr3:uid="{00000000-0010-0000-0300-000084140000}" name="Column5247" dataDxfId="11156"/>
    <tableColumn id="5253" xr3:uid="{00000000-0010-0000-0300-000085140000}" name="Column5248" dataDxfId="11155"/>
    <tableColumn id="5254" xr3:uid="{00000000-0010-0000-0300-000086140000}" name="Column5249" dataDxfId="11154"/>
    <tableColumn id="5255" xr3:uid="{00000000-0010-0000-0300-000087140000}" name="Column5250" dataDxfId="11153"/>
    <tableColumn id="5256" xr3:uid="{00000000-0010-0000-0300-000088140000}" name="Column5251" dataDxfId="11152"/>
    <tableColumn id="5257" xr3:uid="{00000000-0010-0000-0300-000089140000}" name="Column5252" dataDxfId="11151"/>
    <tableColumn id="5258" xr3:uid="{00000000-0010-0000-0300-00008A140000}" name="Column5253" dataDxfId="11150"/>
    <tableColumn id="5259" xr3:uid="{00000000-0010-0000-0300-00008B140000}" name="Column5254" dataDxfId="11149"/>
    <tableColumn id="5260" xr3:uid="{00000000-0010-0000-0300-00008C140000}" name="Column5255" dataDxfId="11148"/>
    <tableColumn id="5261" xr3:uid="{00000000-0010-0000-0300-00008D140000}" name="Column5256" dataDxfId="11147"/>
    <tableColumn id="5262" xr3:uid="{00000000-0010-0000-0300-00008E140000}" name="Column5257" dataDxfId="11146"/>
    <tableColumn id="5263" xr3:uid="{00000000-0010-0000-0300-00008F140000}" name="Column5258" dataDxfId="11145"/>
    <tableColumn id="5264" xr3:uid="{00000000-0010-0000-0300-000090140000}" name="Column5259" dataDxfId="11144"/>
    <tableColumn id="5265" xr3:uid="{00000000-0010-0000-0300-000091140000}" name="Column5260" dataDxfId="11143"/>
    <tableColumn id="5266" xr3:uid="{00000000-0010-0000-0300-000092140000}" name="Column5261" dataDxfId="11142"/>
    <tableColumn id="5267" xr3:uid="{00000000-0010-0000-0300-000093140000}" name="Column5262" dataDxfId="11141"/>
    <tableColumn id="5268" xr3:uid="{00000000-0010-0000-0300-000094140000}" name="Column5263" dataDxfId="11140"/>
    <tableColumn id="5269" xr3:uid="{00000000-0010-0000-0300-000095140000}" name="Column5264" dataDxfId="11139"/>
    <tableColumn id="5270" xr3:uid="{00000000-0010-0000-0300-000096140000}" name="Column5265" dataDxfId="11138"/>
    <tableColumn id="5271" xr3:uid="{00000000-0010-0000-0300-000097140000}" name="Column5266" dataDxfId="11137"/>
    <tableColumn id="5272" xr3:uid="{00000000-0010-0000-0300-000098140000}" name="Column5267" dataDxfId="11136"/>
    <tableColumn id="5273" xr3:uid="{00000000-0010-0000-0300-000099140000}" name="Column5268" dataDxfId="11135"/>
    <tableColumn id="5274" xr3:uid="{00000000-0010-0000-0300-00009A140000}" name="Column5269" dataDxfId="11134"/>
    <tableColumn id="5275" xr3:uid="{00000000-0010-0000-0300-00009B140000}" name="Column5270" dataDxfId="11133"/>
    <tableColumn id="5276" xr3:uid="{00000000-0010-0000-0300-00009C140000}" name="Column5271" dataDxfId="11132"/>
    <tableColumn id="5277" xr3:uid="{00000000-0010-0000-0300-00009D140000}" name="Column5272" dataDxfId="11131"/>
    <tableColumn id="5278" xr3:uid="{00000000-0010-0000-0300-00009E140000}" name="Column5273" dataDxfId="11130"/>
    <tableColumn id="5279" xr3:uid="{00000000-0010-0000-0300-00009F140000}" name="Column5274" dataDxfId="11129"/>
    <tableColumn id="5280" xr3:uid="{00000000-0010-0000-0300-0000A0140000}" name="Column5275" dataDxfId="11128"/>
    <tableColumn id="5281" xr3:uid="{00000000-0010-0000-0300-0000A1140000}" name="Column5276" dataDxfId="11127"/>
    <tableColumn id="5282" xr3:uid="{00000000-0010-0000-0300-0000A2140000}" name="Column5277" dataDxfId="11126"/>
    <tableColumn id="5283" xr3:uid="{00000000-0010-0000-0300-0000A3140000}" name="Column5278" dataDxfId="11125"/>
    <tableColumn id="5284" xr3:uid="{00000000-0010-0000-0300-0000A4140000}" name="Column5279" dataDxfId="11124"/>
    <tableColumn id="5285" xr3:uid="{00000000-0010-0000-0300-0000A5140000}" name="Column5280" dataDxfId="11123"/>
    <tableColumn id="5286" xr3:uid="{00000000-0010-0000-0300-0000A6140000}" name="Column5281" dataDxfId="11122"/>
    <tableColumn id="5287" xr3:uid="{00000000-0010-0000-0300-0000A7140000}" name="Column5282" dataDxfId="11121"/>
    <tableColumn id="5288" xr3:uid="{00000000-0010-0000-0300-0000A8140000}" name="Column5283" dataDxfId="11120"/>
    <tableColumn id="5289" xr3:uid="{00000000-0010-0000-0300-0000A9140000}" name="Column5284" dataDxfId="11119"/>
    <tableColumn id="5290" xr3:uid="{00000000-0010-0000-0300-0000AA140000}" name="Column5285" dataDxfId="11118"/>
    <tableColumn id="5291" xr3:uid="{00000000-0010-0000-0300-0000AB140000}" name="Column5286" dataDxfId="11117"/>
    <tableColumn id="5292" xr3:uid="{00000000-0010-0000-0300-0000AC140000}" name="Column5287" dataDxfId="11116"/>
    <tableColumn id="5293" xr3:uid="{00000000-0010-0000-0300-0000AD140000}" name="Column5288" dataDxfId="11115"/>
    <tableColumn id="5294" xr3:uid="{00000000-0010-0000-0300-0000AE140000}" name="Column5289" dataDxfId="11114"/>
    <tableColumn id="5295" xr3:uid="{00000000-0010-0000-0300-0000AF140000}" name="Column5290" dataDxfId="11113"/>
    <tableColumn id="5296" xr3:uid="{00000000-0010-0000-0300-0000B0140000}" name="Column5291" dataDxfId="11112"/>
    <tableColumn id="5297" xr3:uid="{00000000-0010-0000-0300-0000B1140000}" name="Column5292" dataDxfId="11111"/>
    <tableColumn id="5298" xr3:uid="{00000000-0010-0000-0300-0000B2140000}" name="Column5293" dataDxfId="11110"/>
    <tableColumn id="5299" xr3:uid="{00000000-0010-0000-0300-0000B3140000}" name="Column5294" dataDxfId="11109"/>
    <tableColumn id="5300" xr3:uid="{00000000-0010-0000-0300-0000B4140000}" name="Column5295" dataDxfId="11108"/>
    <tableColumn id="5301" xr3:uid="{00000000-0010-0000-0300-0000B5140000}" name="Column5296" dataDxfId="11107"/>
    <tableColumn id="5302" xr3:uid="{00000000-0010-0000-0300-0000B6140000}" name="Column5297" dataDxfId="11106"/>
    <tableColumn id="5303" xr3:uid="{00000000-0010-0000-0300-0000B7140000}" name="Column5298" dataDxfId="11105"/>
    <tableColumn id="5304" xr3:uid="{00000000-0010-0000-0300-0000B8140000}" name="Column5299" dataDxfId="11104"/>
    <tableColumn id="5305" xr3:uid="{00000000-0010-0000-0300-0000B9140000}" name="Column5300" dataDxfId="11103"/>
    <tableColumn id="5306" xr3:uid="{00000000-0010-0000-0300-0000BA140000}" name="Column5301" dataDxfId="11102"/>
    <tableColumn id="5307" xr3:uid="{00000000-0010-0000-0300-0000BB140000}" name="Column5302" dataDxfId="11101"/>
    <tableColumn id="5308" xr3:uid="{00000000-0010-0000-0300-0000BC140000}" name="Column5303" dataDxfId="11100"/>
    <tableColumn id="5309" xr3:uid="{00000000-0010-0000-0300-0000BD140000}" name="Column5304" dataDxfId="11099"/>
    <tableColumn id="5310" xr3:uid="{00000000-0010-0000-0300-0000BE140000}" name="Column5305" dataDxfId="11098"/>
    <tableColumn id="5311" xr3:uid="{00000000-0010-0000-0300-0000BF140000}" name="Column5306" dataDxfId="11097"/>
    <tableColumn id="5312" xr3:uid="{00000000-0010-0000-0300-0000C0140000}" name="Column5307" dataDxfId="11096"/>
    <tableColumn id="5313" xr3:uid="{00000000-0010-0000-0300-0000C1140000}" name="Column5308" dataDxfId="11095"/>
    <tableColumn id="5314" xr3:uid="{00000000-0010-0000-0300-0000C2140000}" name="Column5309" dataDxfId="11094"/>
    <tableColumn id="5315" xr3:uid="{00000000-0010-0000-0300-0000C3140000}" name="Column5310" dataDxfId="11093"/>
    <tableColumn id="5316" xr3:uid="{00000000-0010-0000-0300-0000C4140000}" name="Column5311" dataDxfId="11092"/>
    <tableColumn id="5317" xr3:uid="{00000000-0010-0000-0300-0000C5140000}" name="Column5312" dataDxfId="11091"/>
    <tableColumn id="5318" xr3:uid="{00000000-0010-0000-0300-0000C6140000}" name="Column5313" dataDxfId="11090"/>
    <tableColumn id="5319" xr3:uid="{00000000-0010-0000-0300-0000C7140000}" name="Column5314" dataDxfId="11089"/>
    <tableColumn id="5320" xr3:uid="{00000000-0010-0000-0300-0000C8140000}" name="Column5315" dataDxfId="11088"/>
    <tableColumn id="5321" xr3:uid="{00000000-0010-0000-0300-0000C9140000}" name="Column5316" dataDxfId="11087"/>
    <tableColumn id="5322" xr3:uid="{00000000-0010-0000-0300-0000CA140000}" name="Column5317" dataDxfId="11086"/>
    <tableColumn id="5323" xr3:uid="{00000000-0010-0000-0300-0000CB140000}" name="Column5318" dataDxfId="11085"/>
    <tableColumn id="5324" xr3:uid="{00000000-0010-0000-0300-0000CC140000}" name="Column5319" dataDxfId="11084"/>
    <tableColumn id="5325" xr3:uid="{00000000-0010-0000-0300-0000CD140000}" name="Column5320" dataDxfId="11083"/>
    <tableColumn id="5326" xr3:uid="{00000000-0010-0000-0300-0000CE140000}" name="Column5321" dataDxfId="11082"/>
    <tableColumn id="5327" xr3:uid="{00000000-0010-0000-0300-0000CF140000}" name="Column5322" dataDxfId="11081"/>
    <tableColumn id="5328" xr3:uid="{00000000-0010-0000-0300-0000D0140000}" name="Column5323" dataDxfId="11080"/>
    <tableColumn id="5329" xr3:uid="{00000000-0010-0000-0300-0000D1140000}" name="Column5324" dataDxfId="11079"/>
    <tableColumn id="5330" xr3:uid="{00000000-0010-0000-0300-0000D2140000}" name="Column5325" dataDxfId="11078"/>
    <tableColumn id="5331" xr3:uid="{00000000-0010-0000-0300-0000D3140000}" name="Column5326" dataDxfId="11077"/>
    <tableColumn id="5332" xr3:uid="{00000000-0010-0000-0300-0000D4140000}" name="Column5327" dataDxfId="11076"/>
    <tableColumn id="5333" xr3:uid="{00000000-0010-0000-0300-0000D5140000}" name="Column5328" dataDxfId="11075"/>
    <tableColumn id="5334" xr3:uid="{00000000-0010-0000-0300-0000D6140000}" name="Column5329" dataDxfId="11074"/>
    <tableColumn id="5335" xr3:uid="{00000000-0010-0000-0300-0000D7140000}" name="Column5330" dataDxfId="11073"/>
    <tableColumn id="5336" xr3:uid="{00000000-0010-0000-0300-0000D8140000}" name="Column5331" dataDxfId="11072"/>
    <tableColumn id="5337" xr3:uid="{00000000-0010-0000-0300-0000D9140000}" name="Column5332" dataDxfId="11071"/>
    <tableColumn id="5338" xr3:uid="{00000000-0010-0000-0300-0000DA140000}" name="Column5333" dataDxfId="11070"/>
    <tableColumn id="5339" xr3:uid="{00000000-0010-0000-0300-0000DB140000}" name="Column5334" dataDxfId="11069"/>
    <tableColumn id="5340" xr3:uid="{00000000-0010-0000-0300-0000DC140000}" name="Column5335" dataDxfId="11068"/>
    <tableColumn id="5341" xr3:uid="{00000000-0010-0000-0300-0000DD140000}" name="Column5336" dataDxfId="11067"/>
    <tableColumn id="5342" xr3:uid="{00000000-0010-0000-0300-0000DE140000}" name="Column5337" dataDxfId="11066"/>
    <tableColumn id="5343" xr3:uid="{00000000-0010-0000-0300-0000DF140000}" name="Column5338" dataDxfId="11065"/>
    <tableColumn id="5344" xr3:uid="{00000000-0010-0000-0300-0000E0140000}" name="Column5339" dataDxfId="11064"/>
    <tableColumn id="5345" xr3:uid="{00000000-0010-0000-0300-0000E1140000}" name="Column5340" dataDxfId="11063"/>
    <tableColumn id="5346" xr3:uid="{00000000-0010-0000-0300-0000E2140000}" name="Column5341" dataDxfId="11062"/>
    <tableColumn id="5347" xr3:uid="{00000000-0010-0000-0300-0000E3140000}" name="Column5342" dataDxfId="11061"/>
    <tableColumn id="5348" xr3:uid="{00000000-0010-0000-0300-0000E4140000}" name="Column5343" dataDxfId="11060"/>
    <tableColumn id="5349" xr3:uid="{00000000-0010-0000-0300-0000E5140000}" name="Column5344" dataDxfId="11059"/>
    <tableColumn id="5350" xr3:uid="{00000000-0010-0000-0300-0000E6140000}" name="Column5345" dataDxfId="11058"/>
    <tableColumn id="5351" xr3:uid="{00000000-0010-0000-0300-0000E7140000}" name="Column5346" dataDxfId="11057"/>
    <tableColumn id="5352" xr3:uid="{00000000-0010-0000-0300-0000E8140000}" name="Column5347" dataDxfId="11056"/>
    <tableColumn id="5353" xr3:uid="{00000000-0010-0000-0300-0000E9140000}" name="Column5348" dataDxfId="11055"/>
    <tableColumn id="5354" xr3:uid="{00000000-0010-0000-0300-0000EA140000}" name="Column5349" dataDxfId="11054"/>
    <tableColumn id="5355" xr3:uid="{00000000-0010-0000-0300-0000EB140000}" name="Column5350" dataDxfId="11053"/>
    <tableColumn id="5356" xr3:uid="{00000000-0010-0000-0300-0000EC140000}" name="Column5351" dataDxfId="11052"/>
    <tableColumn id="5357" xr3:uid="{00000000-0010-0000-0300-0000ED140000}" name="Column5352" dataDxfId="11051"/>
    <tableColumn id="5358" xr3:uid="{00000000-0010-0000-0300-0000EE140000}" name="Column5353" dataDxfId="11050"/>
    <tableColumn id="5359" xr3:uid="{00000000-0010-0000-0300-0000EF140000}" name="Column5354" dataDxfId="11049"/>
    <tableColumn id="5360" xr3:uid="{00000000-0010-0000-0300-0000F0140000}" name="Column5355" dataDxfId="11048"/>
    <tableColumn id="5361" xr3:uid="{00000000-0010-0000-0300-0000F1140000}" name="Column5356" dataDxfId="11047"/>
    <tableColumn id="5362" xr3:uid="{00000000-0010-0000-0300-0000F2140000}" name="Column5357" dataDxfId="11046"/>
    <tableColumn id="5363" xr3:uid="{00000000-0010-0000-0300-0000F3140000}" name="Column5358" dataDxfId="11045"/>
    <tableColumn id="5364" xr3:uid="{00000000-0010-0000-0300-0000F4140000}" name="Column5359" dataDxfId="11044"/>
    <tableColumn id="5365" xr3:uid="{00000000-0010-0000-0300-0000F5140000}" name="Column5360" dataDxfId="11043"/>
    <tableColumn id="5366" xr3:uid="{00000000-0010-0000-0300-0000F6140000}" name="Column5361" dataDxfId="11042"/>
    <tableColumn id="5367" xr3:uid="{00000000-0010-0000-0300-0000F7140000}" name="Column5362" dataDxfId="11041"/>
    <tableColumn id="5368" xr3:uid="{00000000-0010-0000-0300-0000F8140000}" name="Column5363" dataDxfId="11040"/>
    <tableColumn id="5369" xr3:uid="{00000000-0010-0000-0300-0000F9140000}" name="Column5364" dataDxfId="11039"/>
    <tableColumn id="5370" xr3:uid="{00000000-0010-0000-0300-0000FA140000}" name="Column5365" dataDxfId="11038"/>
    <tableColumn id="5371" xr3:uid="{00000000-0010-0000-0300-0000FB140000}" name="Column5366" dataDxfId="11037"/>
    <tableColumn id="5372" xr3:uid="{00000000-0010-0000-0300-0000FC140000}" name="Column5367" dataDxfId="11036"/>
    <tableColumn id="5373" xr3:uid="{00000000-0010-0000-0300-0000FD140000}" name="Column5368" dataDxfId="11035"/>
    <tableColumn id="5374" xr3:uid="{00000000-0010-0000-0300-0000FE140000}" name="Column5369" dataDxfId="11034"/>
    <tableColumn id="5375" xr3:uid="{00000000-0010-0000-0300-0000FF140000}" name="Column5370" dataDxfId="11033"/>
    <tableColumn id="5376" xr3:uid="{00000000-0010-0000-0300-000000150000}" name="Column5371" dataDxfId="11032"/>
    <tableColumn id="5377" xr3:uid="{00000000-0010-0000-0300-000001150000}" name="Column5372" dataDxfId="11031"/>
    <tableColumn id="5378" xr3:uid="{00000000-0010-0000-0300-000002150000}" name="Column5373" dataDxfId="11030"/>
    <tableColumn id="5379" xr3:uid="{00000000-0010-0000-0300-000003150000}" name="Column5374" dataDxfId="11029"/>
    <tableColumn id="5380" xr3:uid="{00000000-0010-0000-0300-000004150000}" name="Column5375" dataDxfId="11028"/>
    <tableColumn id="5381" xr3:uid="{00000000-0010-0000-0300-000005150000}" name="Column5376" dataDxfId="11027"/>
    <tableColumn id="5382" xr3:uid="{00000000-0010-0000-0300-000006150000}" name="Column5377" dataDxfId="11026"/>
    <tableColumn id="5383" xr3:uid="{00000000-0010-0000-0300-000007150000}" name="Column5378" dataDxfId="11025"/>
    <tableColumn id="5384" xr3:uid="{00000000-0010-0000-0300-000008150000}" name="Column5379" dataDxfId="11024"/>
    <tableColumn id="5385" xr3:uid="{00000000-0010-0000-0300-000009150000}" name="Column5380" dataDxfId="11023"/>
    <tableColumn id="5386" xr3:uid="{00000000-0010-0000-0300-00000A150000}" name="Column5381" dataDxfId="11022"/>
    <tableColumn id="5387" xr3:uid="{00000000-0010-0000-0300-00000B150000}" name="Column5382" dataDxfId="11021"/>
    <tableColumn id="5388" xr3:uid="{00000000-0010-0000-0300-00000C150000}" name="Column5383" dataDxfId="11020"/>
    <tableColumn id="5389" xr3:uid="{00000000-0010-0000-0300-00000D150000}" name="Column5384" dataDxfId="11019"/>
    <tableColumn id="5390" xr3:uid="{00000000-0010-0000-0300-00000E150000}" name="Column5385" dataDxfId="11018"/>
    <tableColumn id="5391" xr3:uid="{00000000-0010-0000-0300-00000F150000}" name="Column5386" dataDxfId="11017"/>
    <tableColumn id="5392" xr3:uid="{00000000-0010-0000-0300-000010150000}" name="Column5387" dataDxfId="11016"/>
    <tableColumn id="5393" xr3:uid="{00000000-0010-0000-0300-000011150000}" name="Column5388" dataDxfId="11015"/>
    <tableColumn id="5394" xr3:uid="{00000000-0010-0000-0300-000012150000}" name="Column5389" dataDxfId="11014"/>
    <tableColumn id="5395" xr3:uid="{00000000-0010-0000-0300-000013150000}" name="Column5390" dataDxfId="11013"/>
    <tableColumn id="5396" xr3:uid="{00000000-0010-0000-0300-000014150000}" name="Column5391" dataDxfId="11012"/>
    <tableColumn id="5397" xr3:uid="{00000000-0010-0000-0300-000015150000}" name="Column5392" dataDxfId="11011"/>
    <tableColumn id="5398" xr3:uid="{00000000-0010-0000-0300-000016150000}" name="Column5393" dataDxfId="11010"/>
    <tableColumn id="5399" xr3:uid="{00000000-0010-0000-0300-000017150000}" name="Column5394" dataDxfId="11009"/>
    <tableColumn id="5400" xr3:uid="{00000000-0010-0000-0300-000018150000}" name="Column5395" dataDxfId="11008"/>
    <tableColumn id="5401" xr3:uid="{00000000-0010-0000-0300-000019150000}" name="Column5396" dataDxfId="11007"/>
    <tableColumn id="5402" xr3:uid="{00000000-0010-0000-0300-00001A150000}" name="Column5397" dataDxfId="11006"/>
    <tableColumn id="5403" xr3:uid="{00000000-0010-0000-0300-00001B150000}" name="Column5398" dataDxfId="11005"/>
    <tableColumn id="5404" xr3:uid="{00000000-0010-0000-0300-00001C150000}" name="Column5399" dataDxfId="11004"/>
    <tableColumn id="5405" xr3:uid="{00000000-0010-0000-0300-00001D150000}" name="Column5400" dataDxfId="11003"/>
    <tableColumn id="5406" xr3:uid="{00000000-0010-0000-0300-00001E150000}" name="Column5401" dataDxfId="11002"/>
    <tableColumn id="5407" xr3:uid="{00000000-0010-0000-0300-00001F150000}" name="Column5402" dataDxfId="11001"/>
    <tableColumn id="5408" xr3:uid="{00000000-0010-0000-0300-000020150000}" name="Column5403" dataDxfId="11000"/>
    <tableColumn id="5409" xr3:uid="{00000000-0010-0000-0300-000021150000}" name="Column5404" dataDxfId="10999"/>
    <tableColumn id="5410" xr3:uid="{00000000-0010-0000-0300-000022150000}" name="Column5405" dataDxfId="10998"/>
    <tableColumn id="5411" xr3:uid="{00000000-0010-0000-0300-000023150000}" name="Column5406" dataDxfId="10997"/>
    <tableColumn id="5412" xr3:uid="{00000000-0010-0000-0300-000024150000}" name="Column5407" dataDxfId="10996"/>
    <tableColumn id="5413" xr3:uid="{00000000-0010-0000-0300-000025150000}" name="Column5408" dataDxfId="10995"/>
    <tableColumn id="5414" xr3:uid="{00000000-0010-0000-0300-000026150000}" name="Column5409" dataDxfId="10994"/>
    <tableColumn id="5415" xr3:uid="{00000000-0010-0000-0300-000027150000}" name="Column5410" dataDxfId="10993"/>
    <tableColumn id="5416" xr3:uid="{00000000-0010-0000-0300-000028150000}" name="Column5411" dataDxfId="10992"/>
    <tableColumn id="5417" xr3:uid="{00000000-0010-0000-0300-000029150000}" name="Column5412" dataDxfId="10991"/>
    <tableColumn id="5418" xr3:uid="{00000000-0010-0000-0300-00002A150000}" name="Column5413" dataDxfId="10990"/>
    <tableColumn id="5419" xr3:uid="{00000000-0010-0000-0300-00002B150000}" name="Column5414" dataDxfId="10989"/>
    <tableColumn id="5420" xr3:uid="{00000000-0010-0000-0300-00002C150000}" name="Column5415" dataDxfId="10988"/>
    <tableColumn id="5421" xr3:uid="{00000000-0010-0000-0300-00002D150000}" name="Column5416" dataDxfId="10987"/>
    <tableColumn id="5422" xr3:uid="{00000000-0010-0000-0300-00002E150000}" name="Column5417" dataDxfId="10986"/>
    <tableColumn id="5423" xr3:uid="{00000000-0010-0000-0300-00002F150000}" name="Column5418" dataDxfId="10985"/>
    <tableColumn id="5424" xr3:uid="{00000000-0010-0000-0300-000030150000}" name="Column5419" dataDxfId="10984"/>
    <tableColumn id="5425" xr3:uid="{00000000-0010-0000-0300-000031150000}" name="Column5420" dataDxfId="10983"/>
    <tableColumn id="5426" xr3:uid="{00000000-0010-0000-0300-000032150000}" name="Column5421" dataDxfId="10982"/>
    <tableColumn id="5427" xr3:uid="{00000000-0010-0000-0300-000033150000}" name="Column5422" dataDxfId="10981"/>
    <tableColumn id="5428" xr3:uid="{00000000-0010-0000-0300-000034150000}" name="Column5423" dataDxfId="10980"/>
    <tableColumn id="5429" xr3:uid="{00000000-0010-0000-0300-000035150000}" name="Column5424" dataDxfId="10979"/>
    <tableColumn id="5430" xr3:uid="{00000000-0010-0000-0300-000036150000}" name="Column5425" dataDxfId="10978"/>
    <tableColumn id="5431" xr3:uid="{00000000-0010-0000-0300-000037150000}" name="Column5426" dataDxfId="10977"/>
    <tableColumn id="5432" xr3:uid="{00000000-0010-0000-0300-000038150000}" name="Column5427" dataDxfId="10976"/>
    <tableColumn id="5433" xr3:uid="{00000000-0010-0000-0300-000039150000}" name="Column5428" dataDxfId="10975"/>
    <tableColumn id="5434" xr3:uid="{00000000-0010-0000-0300-00003A150000}" name="Column5429" dataDxfId="10974"/>
    <tableColumn id="5435" xr3:uid="{00000000-0010-0000-0300-00003B150000}" name="Column5430" dataDxfId="10973"/>
    <tableColumn id="5436" xr3:uid="{00000000-0010-0000-0300-00003C150000}" name="Column5431" dataDxfId="10972"/>
    <tableColumn id="5437" xr3:uid="{00000000-0010-0000-0300-00003D150000}" name="Column5432" dataDxfId="10971"/>
    <tableColumn id="5438" xr3:uid="{00000000-0010-0000-0300-00003E150000}" name="Column5433" dataDxfId="10970"/>
    <tableColumn id="5439" xr3:uid="{00000000-0010-0000-0300-00003F150000}" name="Column5434" dataDxfId="10969"/>
    <tableColumn id="5440" xr3:uid="{00000000-0010-0000-0300-000040150000}" name="Column5435" dataDxfId="10968"/>
    <tableColumn id="5441" xr3:uid="{00000000-0010-0000-0300-000041150000}" name="Column5436" dataDxfId="10967"/>
    <tableColumn id="5442" xr3:uid="{00000000-0010-0000-0300-000042150000}" name="Column5437" dataDxfId="10966"/>
    <tableColumn id="5443" xr3:uid="{00000000-0010-0000-0300-000043150000}" name="Column5438" dataDxfId="10965"/>
    <tableColumn id="5444" xr3:uid="{00000000-0010-0000-0300-000044150000}" name="Column5439" dataDxfId="10964"/>
    <tableColumn id="5445" xr3:uid="{00000000-0010-0000-0300-000045150000}" name="Column5440" dataDxfId="10963"/>
    <tableColumn id="5446" xr3:uid="{00000000-0010-0000-0300-000046150000}" name="Column5441" dataDxfId="10962"/>
    <tableColumn id="5447" xr3:uid="{00000000-0010-0000-0300-000047150000}" name="Column5442" dataDxfId="10961"/>
    <tableColumn id="5448" xr3:uid="{00000000-0010-0000-0300-000048150000}" name="Column5443" dataDxfId="10960"/>
    <tableColumn id="5449" xr3:uid="{00000000-0010-0000-0300-000049150000}" name="Column5444" dataDxfId="10959"/>
    <tableColumn id="5450" xr3:uid="{00000000-0010-0000-0300-00004A150000}" name="Column5445" dataDxfId="10958"/>
    <tableColumn id="5451" xr3:uid="{00000000-0010-0000-0300-00004B150000}" name="Column5446" dataDxfId="10957"/>
    <tableColumn id="5452" xr3:uid="{00000000-0010-0000-0300-00004C150000}" name="Column5447" dataDxfId="10956"/>
    <tableColumn id="5453" xr3:uid="{00000000-0010-0000-0300-00004D150000}" name="Column5448" dataDxfId="10955"/>
    <tableColumn id="5454" xr3:uid="{00000000-0010-0000-0300-00004E150000}" name="Column5449" dataDxfId="10954"/>
    <tableColumn id="5455" xr3:uid="{00000000-0010-0000-0300-00004F150000}" name="Column5450" dataDxfId="10953"/>
    <tableColumn id="5456" xr3:uid="{00000000-0010-0000-0300-000050150000}" name="Column5451" dataDxfId="10952"/>
    <tableColumn id="5457" xr3:uid="{00000000-0010-0000-0300-000051150000}" name="Column5452" dataDxfId="10951"/>
    <tableColumn id="5458" xr3:uid="{00000000-0010-0000-0300-000052150000}" name="Column5453" dataDxfId="10950"/>
    <tableColumn id="5459" xr3:uid="{00000000-0010-0000-0300-000053150000}" name="Column5454" dataDxfId="10949"/>
    <tableColumn id="5460" xr3:uid="{00000000-0010-0000-0300-000054150000}" name="Column5455" dataDxfId="10948"/>
    <tableColumn id="5461" xr3:uid="{00000000-0010-0000-0300-000055150000}" name="Column5456" dataDxfId="10947"/>
    <tableColumn id="5462" xr3:uid="{00000000-0010-0000-0300-000056150000}" name="Column5457" dataDxfId="10946"/>
    <tableColumn id="5463" xr3:uid="{00000000-0010-0000-0300-000057150000}" name="Column5458" dataDxfId="10945"/>
    <tableColumn id="5464" xr3:uid="{00000000-0010-0000-0300-000058150000}" name="Column5459" dataDxfId="10944"/>
    <tableColumn id="5465" xr3:uid="{00000000-0010-0000-0300-000059150000}" name="Column5460" dataDxfId="10943"/>
    <tableColumn id="5466" xr3:uid="{00000000-0010-0000-0300-00005A150000}" name="Column5461" dataDxfId="10942"/>
    <tableColumn id="5467" xr3:uid="{00000000-0010-0000-0300-00005B150000}" name="Column5462" dataDxfId="10941"/>
    <tableColumn id="5468" xr3:uid="{00000000-0010-0000-0300-00005C150000}" name="Column5463" dataDxfId="10940"/>
    <tableColumn id="5469" xr3:uid="{00000000-0010-0000-0300-00005D150000}" name="Column5464" dataDxfId="10939"/>
    <tableColumn id="5470" xr3:uid="{00000000-0010-0000-0300-00005E150000}" name="Column5465" dataDxfId="10938"/>
    <tableColumn id="5471" xr3:uid="{00000000-0010-0000-0300-00005F150000}" name="Column5466" dataDxfId="10937"/>
    <tableColumn id="5472" xr3:uid="{00000000-0010-0000-0300-000060150000}" name="Column5467" dataDxfId="10936"/>
    <tableColumn id="5473" xr3:uid="{00000000-0010-0000-0300-000061150000}" name="Column5468" dataDxfId="10935"/>
    <tableColumn id="5474" xr3:uid="{00000000-0010-0000-0300-000062150000}" name="Column5469" dataDxfId="10934"/>
    <tableColumn id="5475" xr3:uid="{00000000-0010-0000-0300-000063150000}" name="Column5470" dataDxfId="10933"/>
    <tableColumn id="5476" xr3:uid="{00000000-0010-0000-0300-000064150000}" name="Column5471" dataDxfId="10932"/>
    <tableColumn id="5477" xr3:uid="{00000000-0010-0000-0300-000065150000}" name="Column5472" dataDxfId="10931"/>
    <tableColumn id="5478" xr3:uid="{00000000-0010-0000-0300-000066150000}" name="Column5473" dataDxfId="10930"/>
    <tableColumn id="5479" xr3:uid="{00000000-0010-0000-0300-000067150000}" name="Column5474" dataDxfId="10929"/>
    <tableColumn id="5480" xr3:uid="{00000000-0010-0000-0300-000068150000}" name="Column5475" dataDxfId="10928"/>
    <tableColumn id="5481" xr3:uid="{00000000-0010-0000-0300-000069150000}" name="Column5476" dataDxfId="10927"/>
    <tableColumn id="5482" xr3:uid="{00000000-0010-0000-0300-00006A150000}" name="Column5477" dataDxfId="10926"/>
    <tableColumn id="5483" xr3:uid="{00000000-0010-0000-0300-00006B150000}" name="Column5478" dataDxfId="10925"/>
    <tableColumn id="5484" xr3:uid="{00000000-0010-0000-0300-00006C150000}" name="Column5479" dataDxfId="10924"/>
    <tableColumn id="5485" xr3:uid="{00000000-0010-0000-0300-00006D150000}" name="Column5480" dataDxfId="10923"/>
    <tableColumn id="5486" xr3:uid="{00000000-0010-0000-0300-00006E150000}" name="Column5481" dataDxfId="10922"/>
    <tableColumn id="5487" xr3:uid="{00000000-0010-0000-0300-00006F150000}" name="Column5482" dataDxfId="10921"/>
    <tableColumn id="5488" xr3:uid="{00000000-0010-0000-0300-000070150000}" name="Column5483" dataDxfId="10920"/>
    <tableColumn id="5489" xr3:uid="{00000000-0010-0000-0300-000071150000}" name="Column5484" dataDxfId="10919"/>
    <tableColumn id="5490" xr3:uid="{00000000-0010-0000-0300-000072150000}" name="Column5485" dataDxfId="10918"/>
    <tableColumn id="5491" xr3:uid="{00000000-0010-0000-0300-000073150000}" name="Column5486" dataDxfId="10917"/>
    <tableColumn id="5492" xr3:uid="{00000000-0010-0000-0300-000074150000}" name="Column5487" dataDxfId="10916"/>
    <tableColumn id="5493" xr3:uid="{00000000-0010-0000-0300-000075150000}" name="Column5488" dataDxfId="10915"/>
    <tableColumn id="5494" xr3:uid="{00000000-0010-0000-0300-000076150000}" name="Column5489" dataDxfId="10914"/>
    <tableColumn id="5495" xr3:uid="{00000000-0010-0000-0300-000077150000}" name="Column5490" dataDxfId="10913"/>
    <tableColumn id="5496" xr3:uid="{00000000-0010-0000-0300-000078150000}" name="Column5491" dataDxfId="10912"/>
    <tableColumn id="5497" xr3:uid="{00000000-0010-0000-0300-000079150000}" name="Column5492" dataDxfId="10911"/>
    <tableColumn id="5498" xr3:uid="{00000000-0010-0000-0300-00007A150000}" name="Column5493" dataDxfId="10910"/>
    <tableColumn id="5499" xr3:uid="{00000000-0010-0000-0300-00007B150000}" name="Column5494" dataDxfId="10909"/>
    <tableColumn id="5500" xr3:uid="{00000000-0010-0000-0300-00007C150000}" name="Column5495" dataDxfId="10908"/>
    <tableColumn id="5501" xr3:uid="{00000000-0010-0000-0300-00007D150000}" name="Column5496" dataDxfId="10907"/>
    <tableColumn id="5502" xr3:uid="{00000000-0010-0000-0300-00007E150000}" name="Column5497" dataDxfId="10906"/>
    <tableColumn id="5503" xr3:uid="{00000000-0010-0000-0300-00007F150000}" name="Column5498" dataDxfId="10905"/>
    <tableColumn id="5504" xr3:uid="{00000000-0010-0000-0300-000080150000}" name="Column5499" dataDxfId="10904"/>
    <tableColumn id="5505" xr3:uid="{00000000-0010-0000-0300-000081150000}" name="Column5500" dataDxfId="10903"/>
    <tableColumn id="5506" xr3:uid="{00000000-0010-0000-0300-000082150000}" name="Column5501" dataDxfId="10902"/>
    <tableColumn id="5507" xr3:uid="{00000000-0010-0000-0300-000083150000}" name="Column5502" dataDxfId="10901"/>
    <tableColumn id="5508" xr3:uid="{00000000-0010-0000-0300-000084150000}" name="Column5503" dataDxfId="10900"/>
    <tableColumn id="5509" xr3:uid="{00000000-0010-0000-0300-000085150000}" name="Column5504" dataDxfId="10899"/>
    <tableColumn id="5510" xr3:uid="{00000000-0010-0000-0300-000086150000}" name="Column5505" dataDxfId="10898"/>
    <tableColumn id="5511" xr3:uid="{00000000-0010-0000-0300-000087150000}" name="Column5506" dataDxfId="10897"/>
    <tableColumn id="5512" xr3:uid="{00000000-0010-0000-0300-000088150000}" name="Column5507" dataDxfId="10896"/>
    <tableColumn id="5513" xr3:uid="{00000000-0010-0000-0300-000089150000}" name="Column5508" dataDxfId="10895"/>
    <tableColumn id="5514" xr3:uid="{00000000-0010-0000-0300-00008A150000}" name="Column5509" dataDxfId="10894"/>
    <tableColumn id="5515" xr3:uid="{00000000-0010-0000-0300-00008B150000}" name="Column5510" dataDxfId="10893"/>
    <tableColumn id="5516" xr3:uid="{00000000-0010-0000-0300-00008C150000}" name="Column5511" dataDxfId="10892"/>
    <tableColumn id="5517" xr3:uid="{00000000-0010-0000-0300-00008D150000}" name="Column5512" dataDxfId="10891"/>
    <tableColumn id="5518" xr3:uid="{00000000-0010-0000-0300-00008E150000}" name="Column5513" dataDxfId="10890"/>
    <tableColumn id="5519" xr3:uid="{00000000-0010-0000-0300-00008F150000}" name="Column5514" dataDxfId="10889"/>
    <tableColumn id="5520" xr3:uid="{00000000-0010-0000-0300-000090150000}" name="Column5515" dataDxfId="10888"/>
    <tableColumn id="5521" xr3:uid="{00000000-0010-0000-0300-000091150000}" name="Column5516" dataDxfId="10887"/>
    <tableColumn id="5522" xr3:uid="{00000000-0010-0000-0300-000092150000}" name="Column5517" dataDxfId="10886"/>
    <tableColumn id="5523" xr3:uid="{00000000-0010-0000-0300-000093150000}" name="Column5518" dataDxfId="10885"/>
    <tableColumn id="5524" xr3:uid="{00000000-0010-0000-0300-000094150000}" name="Column5519" dataDxfId="10884"/>
    <tableColumn id="5525" xr3:uid="{00000000-0010-0000-0300-000095150000}" name="Column5520" dataDxfId="10883"/>
    <tableColumn id="5526" xr3:uid="{00000000-0010-0000-0300-000096150000}" name="Column5521" dataDxfId="10882"/>
    <tableColumn id="5527" xr3:uid="{00000000-0010-0000-0300-000097150000}" name="Column5522" dataDxfId="10881"/>
    <tableColumn id="5528" xr3:uid="{00000000-0010-0000-0300-000098150000}" name="Column5523" dataDxfId="10880"/>
    <tableColumn id="5529" xr3:uid="{00000000-0010-0000-0300-000099150000}" name="Column5524" dataDxfId="10879"/>
    <tableColumn id="5530" xr3:uid="{00000000-0010-0000-0300-00009A150000}" name="Column5525" dataDxfId="10878"/>
    <tableColumn id="5531" xr3:uid="{00000000-0010-0000-0300-00009B150000}" name="Column5526" dataDxfId="10877"/>
    <tableColumn id="5532" xr3:uid="{00000000-0010-0000-0300-00009C150000}" name="Column5527" dataDxfId="10876"/>
    <tableColumn id="5533" xr3:uid="{00000000-0010-0000-0300-00009D150000}" name="Column5528" dataDxfId="10875"/>
    <tableColumn id="5534" xr3:uid="{00000000-0010-0000-0300-00009E150000}" name="Column5529" dataDxfId="10874"/>
    <tableColumn id="5535" xr3:uid="{00000000-0010-0000-0300-00009F150000}" name="Column5530" dataDxfId="10873"/>
    <tableColumn id="5536" xr3:uid="{00000000-0010-0000-0300-0000A0150000}" name="Column5531" dataDxfId="10872"/>
    <tableColumn id="5537" xr3:uid="{00000000-0010-0000-0300-0000A1150000}" name="Column5532" dataDxfId="10871"/>
    <tableColumn id="5538" xr3:uid="{00000000-0010-0000-0300-0000A2150000}" name="Column5533" dataDxfId="10870"/>
    <tableColumn id="5539" xr3:uid="{00000000-0010-0000-0300-0000A3150000}" name="Column5534" dataDxfId="10869"/>
    <tableColumn id="5540" xr3:uid="{00000000-0010-0000-0300-0000A4150000}" name="Column5535" dataDxfId="10868"/>
    <tableColumn id="5541" xr3:uid="{00000000-0010-0000-0300-0000A5150000}" name="Column5536" dataDxfId="10867"/>
    <tableColumn id="5542" xr3:uid="{00000000-0010-0000-0300-0000A6150000}" name="Column5537" dataDxfId="10866"/>
    <tableColumn id="5543" xr3:uid="{00000000-0010-0000-0300-0000A7150000}" name="Column5538" dataDxfId="10865"/>
    <tableColumn id="5544" xr3:uid="{00000000-0010-0000-0300-0000A8150000}" name="Column5539" dataDxfId="10864"/>
    <tableColumn id="5545" xr3:uid="{00000000-0010-0000-0300-0000A9150000}" name="Column5540" dataDxfId="10863"/>
    <tableColumn id="5546" xr3:uid="{00000000-0010-0000-0300-0000AA150000}" name="Column5541" dataDxfId="10862"/>
    <tableColumn id="5547" xr3:uid="{00000000-0010-0000-0300-0000AB150000}" name="Column5542" dataDxfId="10861"/>
    <tableColumn id="5548" xr3:uid="{00000000-0010-0000-0300-0000AC150000}" name="Column5543" dataDxfId="10860"/>
    <tableColumn id="5549" xr3:uid="{00000000-0010-0000-0300-0000AD150000}" name="Column5544" dataDxfId="10859"/>
    <tableColumn id="5550" xr3:uid="{00000000-0010-0000-0300-0000AE150000}" name="Column5545" dataDxfId="10858"/>
    <tableColumn id="5551" xr3:uid="{00000000-0010-0000-0300-0000AF150000}" name="Column5546" dataDxfId="10857"/>
    <tableColumn id="5552" xr3:uid="{00000000-0010-0000-0300-0000B0150000}" name="Column5547" dataDxfId="10856"/>
    <tableColumn id="5553" xr3:uid="{00000000-0010-0000-0300-0000B1150000}" name="Column5548" dataDxfId="10855"/>
    <tableColumn id="5554" xr3:uid="{00000000-0010-0000-0300-0000B2150000}" name="Column5549" dataDxfId="10854"/>
    <tableColumn id="5555" xr3:uid="{00000000-0010-0000-0300-0000B3150000}" name="Column5550" dataDxfId="10853"/>
    <tableColumn id="5556" xr3:uid="{00000000-0010-0000-0300-0000B4150000}" name="Column5551" dataDxfId="10852"/>
    <tableColumn id="5557" xr3:uid="{00000000-0010-0000-0300-0000B5150000}" name="Column5552" dataDxfId="10851"/>
    <tableColumn id="5558" xr3:uid="{00000000-0010-0000-0300-0000B6150000}" name="Column5553" dataDxfId="10850"/>
    <tableColumn id="5559" xr3:uid="{00000000-0010-0000-0300-0000B7150000}" name="Column5554" dataDxfId="10849"/>
    <tableColumn id="5560" xr3:uid="{00000000-0010-0000-0300-0000B8150000}" name="Column5555" dataDxfId="10848"/>
    <tableColumn id="5561" xr3:uid="{00000000-0010-0000-0300-0000B9150000}" name="Column5556" dataDxfId="10847"/>
    <tableColumn id="5562" xr3:uid="{00000000-0010-0000-0300-0000BA150000}" name="Column5557" dataDxfId="10846"/>
    <tableColumn id="5563" xr3:uid="{00000000-0010-0000-0300-0000BB150000}" name="Column5558" dataDxfId="10845"/>
    <tableColumn id="5564" xr3:uid="{00000000-0010-0000-0300-0000BC150000}" name="Column5559" dataDxfId="10844"/>
    <tableColumn id="5565" xr3:uid="{00000000-0010-0000-0300-0000BD150000}" name="Column5560" dataDxfId="10843"/>
    <tableColumn id="5566" xr3:uid="{00000000-0010-0000-0300-0000BE150000}" name="Column5561" dataDxfId="10842"/>
    <tableColumn id="5567" xr3:uid="{00000000-0010-0000-0300-0000BF150000}" name="Column5562" dataDxfId="10841"/>
    <tableColumn id="5568" xr3:uid="{00000000-0010-0000-0300-0000C0150000}" name="Column5563" dataDxfId="10840"/>
    <tableColumn id="5569" xr3:uid="{00000000-0010-0000-0300-0000C1150000}" name="Column5564" dataDxfId="10839"/>
    <tableColumn id="5570" xr3:uid="{00000000-0010-0000-0300-0000C2150000}" name="Column5565" dataDxfId="10838"/>
    <tableColumn id="5571" xr3:uid="{00000000-0010-0000-0300-0000C3150000}" name="Column5566" dataDxfId="10837"/>
    <tableColumn id="5572" xr3:uid="{00000000-0010-0000-0300-0000C4150000}" name="Column5567" dataDxfId="10836"/>
    <tableColumn id="5573" xr3:uid="{00000000-0010-0000-0300-0000C5150000}" name="Column5568" dataDxfId="10835"/>
    <tableColumn id="5574" xr3:uid="{00000000-0010-0000-0300-0000C6150000}" name="Column5569" dataDxfId="10834"/>
    <tableColumn id="5575" xr3:uid="{00000000-0010-0000-0300-0000C7150000}" name="Column5570" dataDxfId="10833"/>
    <tableColumn id="5576" xr3:uid="{00000000-0010-0000-0300-0000C8150000}" name="Column5571" dataDxfId="10832"/>
    <tableColumn id="5577" xr3:uid="{00000000-0010-0000-0300-0000C9150000}" name="Column5572" dataDxfId="10831"/>
    <tableColumn id="5578" xr3:uid="{00000000-0010-0000-0300-0000CA150000}" name="Column5573" dataDxfId="10830"/>
    <tableColumn id="5579" xr3:uid="{00000000-0010-0000-0300-0000CB150000}" name="Column5574" dataDxfId="10829"/>
    <tableColumn id="5580" xr3:uid="{00000000-0010-0000-0300-0000CC150000}" name="Column5575" dataDxfId="10828"/>
    <tableColumn id="5581" xr3:uid="{00000000-0010-0000-0300-0000CD150000}" name="Column5576" dataDxfId="10827"/>
    <tableColumn id="5582" xr3:uid="{00000000-0010-0000-0300-0000CE150000}" name="Column5577" dataDxfId="10826"/>
    <tableColumn id="5583" xr3:uid="{00000000-0010-0000-0300-0000CF150000}" name="Column5578" dataDxfId="10825"/>
    <tableColumn id="5584" xr3:uid="{00000000-0010-0000-0300-0000D0150000}" name="Column5579" dataDxfId="10824"/>
    <tableColumn id="5585" xr3:uid="{00000000-0010-0000-0300-0000D1150000}" name="Column5580" dataDxfId="10823"/>
    <tableColumn id="5586" xr3:uid="{00000000-0010-0000-0300-0000D2150000}" name="Column5581" dataDxfId="10822"/>
    <tableColumn id="5587" xr3:uid="{00000000-0010-0000-0300-0000D3150000}" name="Column5582" dataDxfId="10821"/>
    <tableColumn id="5588" xr3:uid="{00000000-0010-0000-0300-0000D4150000}" name="Column5583" dataDxfId="10820"/>
    <tableColumn id="5589" xr3:uid="{00000000-0010-0000-0300-0000D5150000}" name="Column5584" dataDxfId="10819"/>
    <tableColumn id="5590" xr3:uid="{00000000-0010-0000-0300-0000D6150000}" name="Column5585" dataDxfId="10818"/>
    <tableColumn id="5591" xr3:uid="{00000000-0010-0000-0300-0000D7150000}" name="Column5586" dataDxfId="10817"/>
    <tableColumn id="5592" xr3:uid="{00000000-0010-0000-0300-0000D8150000}" name="Column5587" dataDxfId="10816"/>
    <tableColumn id="5593" xr3:uid="{00000000-0010-0000-0300-0000D9150000}" name="Column5588" dataDxfId="10815"/>
    <tableColumn id="5594" xr3:uid="{00000000-0010-0000-0300-0000DA150000}" name="Column5589" dataDxfId="10814"/>
    <tableColumn id="5595" xr3:uid="{00000000-0010-0000-0300-0000DB150000}" name="Column5590" dataDxfId="10813"/>
    <tableColumn id="5596" xr3:uid="{00000000-0010-0000-0300-0000DC150000}" name="Column5591" dataDxfId="10812"/>
    <tableColumn id="5597" xr3:uid="{00000000-0010-0000-0300-0000DD150000}" name="Column5592" dataDxfId="10811"/>
    <tableColumn id="5598" xr3:uid="{00000000-0010-0000-0300-0000DE150000}" name="Column5593" dataDxfId="10810"/>
    <tableColumn id="5599" xr3:uid="{00000000-0010-0000-0300-0000DF150000}" name="Column5594" dataDxfId="10809"/>
    <tableColumn id="5600" xr3:uid="{00000000-0010-0000-0300-0000E0150000}" name="Column5595" dataDxfId="10808"/>
    <tableColumn id="5601" xr3:uid="{00000000-0010-0000-0300-0000E1150000}" name="Column5596" dataDxfId="10807"/>
    <tableColumn id="5602" xr3:uid="{00000000-0010-0000-0300-0000E2150000}" name="Column5597" dataDxfId="10806"/>
    <tableColumn id="5603" xr3:uid="{00000000-0010-0000-0300-0000E3150000}" name="Column5598" dataDxfId="10805"/>
    <tableColumn id="5604" xr3:uid="{00000000-0010-0000-0300-0000E4150000}" name="Column5599" dataDxfId="10804"/>
    <tableColumn id="5605" xr3:uid="{00000000-0010-0000-0300-0000E5150000}" name="Column5600" dataDxfId="10803"/>
    <tableColumn id="5606" xr3:uid="{00000000-0010-0000-0300-0000E6150000}" name="Column5601" dataDxfId="10802"/>
    <tableColumn id="5607" xr3:uid="{00000000-0010-0000-0300-0000E7150000}" name="Column5602" dataDxfId="10801"/>
    <tableColumn id="5608" xr3:uid="{00000000-0010-0000-0300-0000E8150000}" name="Column5603" dataDxfId="10800"/>
    <tableColumn id="5609" xr3:uid="{00000000-0010-0000-0300-0000E9150000}" name="Column5604" dataDxfId="10799"/>
    <tableColumn id="5610" xr3:uid="{00000000-0010-0000-0300-0000EA150000}" name="Column5605" dataDxfId="10798"/>
    <tableColumn id="5611" xr3:uid="{00000000-0010-0000-0300-0000EB150000}" name="Column5606" dataDxfId="10797"/>
    <tableColumn id="5612" xr3:uid="{00000000-0010-0000-0300-0000EC150000}" name="Column5607" dataDxfId="10796"/>
    <tableColumn id="5613" xr3:uid="{00000000-0010-0000-0300-0000ED150000}" name="Column5608" dataDxfId="10795"/>
    <tableColumn id="5614" xr3:uid="{00000000-0010-0000-0300-0000EE150000}" name="Column5609" dataDxfId="10794"/>
    <tableColumn id="5615" xr3:uid="{00000000-0010-0000-0300-0000EF150000}" name="Column5610" dataDxfId="10793"/>
    <tableColumn id="5616" xr3:uid="{00000000-0010-0000-0300-0000F0150000}" name="Column5611" dataDxfId="10792"/>
    <tableColumn id="5617" xr3:uid="{00000000-0010-0000-0300-0000F1150000}" name="Column5612" dataDxfId="10791"/>
    <tableColumn id="5618" xr3:uid="{00000000-0010-0000-0300-0000F2150000}" name="Column5613" dataDxfId="10790"/>
    <tableColumn id="5619" xr3:uid="{00000000-0010-0000-0300-0000F3150000}" name="Column5614" dataDxfId="10789"/>
    <tableColumn id="5620" xr3:uid="{00000000-0010-0000-0300-0000F4150000}" name="Column5615" dataDxfId="10788"/>
    <tableColumn id="5621" xr3:uid="{00000000-0010-0000-0300-0000F5150000}" name="Column5616" dataDxfId="10787"/>
    <tableColumn id="5622" xr3:uid="{00000000-0010-0000-0300-0000F6150000}" name="Column5617" dataDxfId="10786"/>
    <tableColumn id="5623" xr3:uid="{00000000-0010-0000-0300-0000F7150000}" name="Column5618" dataDxfId="10785"/>
    <tableColumn id="5624" xr3:uid="{00000000-0010-0000-0300-0000F8150000}" name="Column5619" dataDxfId="10784"/>
    <tableColumn id="5625" xr3:uid="{00000000-0010-0000-0300-0000F9150000}" name="Column5620" dataDxfId="10783"/>
    <tableColumn id="5626" xr3:uid="{00000000-0010-0000-0300-0000FA150000}" name="Column5621" dataDxfId="10782"/>
    <tableColumn id="5627" xr3:uid="{00000000-0010-0000-0300-0000FB150000}" name="Column5622" dataDxfId="10781"/>
    <tableColumn id="5628" xr3:uid="{00000000-0010-0000-0300-0000FC150000}" name="Column5623" dataDxfId="10780"/>
    <tableColumn id="5629" xr3:uid="{00000000-0010-0000-0300-0000FD150000}" name="Column5624" dataDxfId="10779"/>
    <tableColumn id="5630" xr3:uid="{00000000-0010-0000-0300-0000FE150000}" name="Column5625" dataDxfId="10778"/>
    <tableColumn id="5631" xr3:uid="{00000000-0010-0000-0300-0000FF150000}" name="Column5626" dataDxfId="10777"/>
    <tableColumn id="5632" xr3:uid="{00000000-0010-0000-0300-000000160000}" name="Column5627" dataDxfId="10776"/>
    <tableColumn id="5633" xr3:uid="{00000000-0010-0000-0300-000001160000}" name="Column5628" dataDxfId="10775"/>
    <tableColumn id="5634" xr3:uid="{00000000-0010-0000-0300-000002160000}" name="Column5629" dataDxfId="10774"/>
    <tableColumn id="5635" xr3:uid="{00000000-0010-0000-0300-000003160000}" name="Column5630" dataDxfId="10773"/>
    <tableColumn id="5636" xr3:uid="{00000000-0010-0000-0300-000004160000}" name="Column5631" dataDxfId="10772"/>
    <tableColumn id="5637" xr3:uid="{00000000-0010-0000-0300-000005160000}" name="Column5632" dataDxfId="10771"/>
    <tableColumn id="5638" xr3:uid="{00000000-0010-0000-0300-000006160000}" name="Column5633" dataDxfId="10770"/>
    <tableColumn id="5639" xr3:uid="{00000000-0010-0000-0300-000007160000}" name="Column5634" dataDxfId="10769"/>
    <tableColumn id="5640" xr3:uid="{00000000-0010-0000-0300-000008160000}" name="Column5635" dataDxfId="10768"/>
    <tableColumn id="5641" xr3:uid="{00000000-0010-0000-0300-000009160000}" name="Column5636" dataDxfId="10767"/>
    <tableColumn id="5642" xr3:uid="{00000000-0010-0000-0300-00000A160000}" name="Column5637" dataDxfId="10766"/>
    <tableColumn id="5643" xr3:uid="{00000000-0010-0000-0300-00000B160000}" name="Column5638" dataDxfId="10765"/>
    <tableColumn id="5644" xr3:uid="{00000000-0010-0000-0300-00000C160000}" name="Column5639" dataDxfId="10764"/>
    <tableColumn id="5645" xr3:uid="{00000000-0010-0000-0300-00000D160000}" name="Column5640" dataDxfId="10763"/>
    <tableColumn id="5646" xr3:uid="{00000000-0010-0000-0300-00000E160000}" name="Column5641" dataDxfId="10762"/>
    <tableColumn id="5647" xr3:uid="{00000000-0010-0000-0300-00000F160000}" name="Column5642" dataDxfId="10761"/>
    <tableColumn id="5648" xr3:uid="{00000000-0010-0000-0300-000010160000}" name="Column5643" dataDxfId="10760"/>
    <tableColumn id="5649" xr3:uid="{00000000-0010-0000-0300-000011160000}" name="Column5644" dataDxfId="10759"/>
    <tableColumn id="5650" xr3:uid="{00000000-0010-0000-0300-000012160000}" name="Column5645" dataDxfId="10758"/>
    <tableColumn id="5651" xr3:uid="{00000000-0010-0000-0300-000013160000}" name="Column5646" dataDxfId="10757"/>
    <tableColumn id="5652" xr3:uid="{00000000-0010-0000-0300-000014160000}" name="Column5647" dataDxfId="10756"/>
    <tableColumn id="5653" xr3:uid="{00000000-0010-0000-0300-000015160000}" name="Column5648" dataDxfId="10755"/>
    <tableColumn id="5654" xr3:uid="{00000000-0010-0000-0300-000016160000}" name="Column5649" dataDxfId="10754"/>
    <tableColumn id="5655" xr3:uid="{00000000-0010-0000-0300-000017160000}" name="Column5650" dataDxfId="10753"/>
    <tableColumn id="5656" xr3:uid="{00000000-0010-0000-0300-000018160000}" name="Column5651" dataDxfId="10752"/>
    <tableColumn id="5657" xr3:uid="{00000000-0010-0000-0300-000019160000}" name="Column5652" dataDxfId="10751"/>
    <tableColumn id="5658" xr3:uid="{00000000-0010-0000-0300-00001A160000}" name="Column5653" dataDxfId="10750"/>
    <tableColumn id="5659" xr3:uid="{00000000-0010-0000-0300-00001B160000}" name="Column5654" dataDxfId="10749"/>
    <tableColumn id="5660" xr3:uid="{00000000-0010-0000-0300-00001C160000}" name="Column5655" dataDxfId="10748"/>
    <tableColumn id="5661" xr3:uid="{00000000-0010-0000-0300-00001D160000}" name="Column5656" dataDxfId="10747"/>
    <tableColumn id="5662" xr3:uid="{00000000-0010-0000-0300-00001E160000}" name="Column5657" dataDxfId="10746"/>
    <tableColumn id="5663" xr3:uid="{00000000-0010-0000-0300-00001F160000}" name="Column5658" dataDxfId="10745"/>
    <tableColumn id="5664" xr3:uid="{00000000-0010-0000-0300-000020160000}" name="Column5659" dataDxfId="10744"/>
    <tableColumn id="5665" xr3:uid="{00000000-0010-0000-0300-000021160000}" name="Column5660" dataDxfId="10743"/>
    <tableColumn id="5666" xr3:uid="{00000000-0010-0000-0300-000022160000}" name="Column5661" dataDxfId="10742"/>
    <tableColumn id="5667" xr3:uid="{00000000-0010-0000-0300-000023160000}" name="Column5662" dataDxfId="10741"/>
    <tableColumn id="5668" xr3:uid="{00000000-0010-0000-0300-000024160000}" name="Column5663" dataDxfId="10740"/>
    <tableColumn id="5669" xr3:uid="{00000000-0010-0000-0300-000025160000}" name="Column5664" dataDxfId="10739"/>
    <tableColumn id="5670" xr3:uid="{00000000-0010-0000-0300-000026160000}" name="Column5665" dataDxfId="10738"/>
    <tableColumn id="5671" xr3:uid="{00000000-0010-0000-0300-000027160000}" name="Column5666" dataDxfId="10737"/>
    <tableColumn id="5672" xr3:uid="{00000000-0010-0000-0300-000028160000}" name="Column5667" dataDxfId="10736"/>
    <tableColumn id="5673" xr3:uid="{00000000-0010-0000-0300-000029160000}" name="Column5668" dataDxfId="10735"/>
    <tableColumn id="5674" xr3:uid="{00000000-0010-0000-0300-00002A160000}" name="Column5669" dataDxfId="10734"/>
    <tableColumn id="5675" xr3:uid="{00000000-0010-0000-0300-00002B160000}" name="Column5670" dataDxfId="10733"/>
    <tableColumn id="5676" xr3:uid="{00000000-0010-0000-0300-00002C160000}" name="Column5671" dataDxfId="10732"/>
    <tableColumn id="5677" xr3:uid="{00000000-0010-0000-0300-00002D160000}" name="Column5672" dataDxfId="10731"/>
    <tableColumn id="5678" xr3:uid="{00000000-0010-0000-0300-00002E160000}" name="Column5673" dataDxfId="10730"/>
    <tableColumn id="5679" xr3:uid="{00000000-0010-0000-0300-00002F160000}" name="Column5674" dataDxfId="10729"/>
    <tableColumn id="5680" xr3:uid="{00000000-0010-0000-0300-000030160000}" name="Column5675" dataDxfId="10728"/>
    <tableColumn id="5681" xr3:uid="{00000000-0010-0000-0300-000031160000}" name="Column5676" dataDxfId="10727"/>
    <tableColumn id="5682" xr3:uid="{00000000-0010-0000-0300-000032160000}" name="Column5677" dataDxfId="10726"/>
    <tableColumn id="5683" xr3:uid="{00000000-0010-0000-0300-000033160000}" name="Column5678" dataDxfId="10725"/>
    <tableColumn id="5684" xr3:uid="{00000000-0010-0000-0300-000034160000}" name="Column5679" dataDxfId="10724"/>
    <tableColumn id="5685" xr3:uid="{00000000-0010-0000-0300-000035160000}" name="Column5680" dataDxfId="10723"/>
    <tableColumn id="5686" xr3:uid="{00000000-0010-0000-0300-000036160000}" name="Column5681" dataDxfId="10722"/>
    <tableColumn id="5687" xr3:uid="{00000000-0010-0000-0300-000037160000}" name="Column5682" dataDxfId="10721"/>
    <tableColumn id="5688" xr3:uid="{00000000-0010-0000-0300-000038160000}" name="Column5683" dataDxfId="10720"/>
    <tableColumn id="5689" xr3:uid="{00000000-0010-0000-0300-000039160000}" name="Column5684" dataDxfId="10719"/>
    <tableColumn id="5690" xr3:uid="{00000000-0010-0000-0300-00003A160000}" name="Column5685" dataDxfId="10718"/>
    <tableColumn id="5691" xr3:uid="{00000000-0010-0000-0300-00003B160000}" name="Column5686" dataDxfId="10717"/>
    <tableColumn id="5692" xr3:uid="{00000000-0010-0000-0300-00003C160000}" name="Column5687" dataDxfId="10716"/>
    <tableColumn id="5693" xr3:uid="{00000000-0010-0000-0300-00003D160000}" name="Column5688" dataDxfId="10715"/>
    <tableColumn id="5694" xr3:uid="{00000000-0010-0000-0300-00003E160000}" name="Column5689" dataDxfId="10714"/>
    <tableColumn id="5695" xr3:uid="{00000000-0010-0000-0300-00003F160000}" name="Column5690" dataDxfId="10713"/>
    <tableColumn id="5696" xr3:uid="{00000000-0010-0000-0300-000040160000}" name="Column5691" dataDxfId="10712"/>
    <tableColumn id="5697" xr3:uid="{00000000-0010-0000-0300-000041160000}" name="Column5692" dataDxfId="10711"/>
    <tableColumn id="5698" xr3:uid="{00000000-0010-0000-0300-000042160000}" name="Column5693" dataDxfId="10710"/>
    <tableColumn id="5699" xr3:uid="{00000000-0010-0000-0300-000043160000}" name="Column5694" dataDxfId="10709"/>
    <tableColumn id="5700" xr3:uid="{00000000-0010-0000-0300-000044160000}" name="Column5695" dataDxfId="10708"/>
    <tableColumn id="5701" xr3:uid="{00000000-0010-0000-0300-000045160000}" name="Column5696" dataDxfId="10707"/>
    <tableColumn id="5702" xr3:uid="{00000000-0010-0000-0300-000046160000}" name="Column5697" dataDxfId="10706"/>
    <tableColumn id="5703" xr3:uid="{00000000-0010-0000-0300-000047160000}" name="Column5698" dataDxfId="10705"/>
    <tableColumn id="5704" xr3:uid="{00000000-0010-0000-0300-000048160000}" name="Column5699" dataDxfId="10704"/>
    <tableColumn id="5705" xr3:uid="{00000000-0010-0000-0300-000049160000}" name="Column5700" dataDxfId="10703"/>
    <tableColumn id="5706" xr3:uid="{00000000-0010-0000-0300-00004A160000}" name="Column5701" dataDxfId="10702"/>
    <tableColumn id="5707" xr3:uid="{00000000-0010-0000-0300-00004B160000}" name="Column5702" dataDxfId="10701"/>
    <tableColumn id="5708" xr3:uid="{00000000-0010-0000-0300-00004C160000}" name="Column5703" dataDxfId="10700"/>
    <tableColumn id="5709" xr3:uid="{00000000-0010-0000-0300-00004D160000}" name="Column5704" dataDxfId="10699"/>
    <tableColumn id="5710" xr3:uid="{00000000-0010-0000-0300-00004E160000}" name="Column5705" dataDxfId="10698"/>
    <tableColumn id="5711" xr3:uid="{00000000-0010-0000-0300-00004F160000}" name="Column5706" dataDxfId="10697"/>
    <tableColumn id="5712" xr3:uid="{00000000-0010-0000-0300-000050160000}" name="Column5707" dataDxfId="10696"/>
    <tableColumn id="5713" xr3:uid="{00000000-0010-0000-0300-000051160000}" name="Column5708" dataDxfId="10695"/>
    <tableColumn id="5714" xr3:uid="{00000000-0010-0000-0300-000052160000}" name="Column5709" dataDxfId="10694"/>
    <tableColumn id="5715" xr3:uid="{00000000-0010-0000-0300-000053160000}" name="Column5710" dataDxfId="10693"/>
    <tableColumn id="5716" xr3:uid="{00000000-0010-0000-0300-000054160000}" name="Column5711" dataDxfId="10692"/>
    <tableColumn id="5717" xr3:uid="{00000000-0010-0000-0300-000055160000}" name="Column5712" dataDxfId="10691"/>
    <tableColumn id="5718" xr3:uid="{00000000-0010-0000-0300-000056160000}" name="Column5713" dataDxfId="10690"/>
    <tableColumn id="5719" xr3:uid="{00000000-0010-0000-0300-000057160000}" name="Column5714" dataDxfId="10689"/>
    <tableColumn id="5720" xr3:uid="{00000000-0010-0000-0300-000058160000}" name="Column5715" dataDxfId="10688"/>
    <tableColumn id="5721" xr3:uid="{00000000-0010-0000-0300-000059160000}" name="Column5716" dataDxfId="10687"/>
    <tableColumn id="5722" xr3:uid="{00000000-0010-0000-0300-00005A160000}" name="Column5717" dataDxfId="10686"/>
    <tableColumn id="5723" xr3:uid="{00000000-0010-0000-0300-00005B160000}" name="Column5718" dataDxfId="10685"/>
    <tableColumn id="5724" xr3:uid="{00000000-0010-0000-0300-00005C160000}" name="Column5719" dataDxfId="10684"/>
    <tableColumn id="5725" xr3:uid="{00000000-0010-0000-0300-00005D160000}" name="Column5720" dataDxfId="10683"/>
    <tableColumn id="5726" xr3:uid="{00000000-0010-0000-0300-00005E160000}" name="Column5721" dataDxfId="10682"/>
    <tableColumn id="5727" xr3:uid="{00000000-0010-0000-0300-00005F160000}" name="Column5722" dataDxfId="10681"/>
    <tableColumn id="5728" xr3:uid="{00000000-0010-0000-0300-000060160000}" name="Column5723" dataDxfId="10680"/>
    <tableColumn id="5729" xr3:uid="{00000000-0010-0000-0300-000061160000}" name="Column5724" dataDxfId="10679"/>
    <tableColumn id="5730" xr3:uid="{00000000-0010-0000-0300-000062160000}" name="Column5725" dataDxfId="10678"/>
    <tableColumn id="5731" xr3:uid="{00000000-0010-0000-0300-000063160000}" name="Column5726" dataDxfId="10677"/>
    <tableColumn id="5732" xr3:uid="{00000000-0010-0000-0300-000064160000}" name="Column5727" dataDxfId="10676"/>
    <tableColumn id="5733" xr3:uid="{00000000-0010-0000-0300-000065160000}" name="Column5728" dataDxfId="10675"/>
    <tableColumn id="5734" xr3:uid="{00000000-0010-0000-0300-000066160000}" name="Column5729" dataDxfId="10674"/>
    <tableColumn id="5735" xr3:uid="{00000000-0010-0000-0300-000067160000}" name="Column5730" dataDxfId="10673"/>
    <tableColumn id="5736" xr3:uid="{00000000-0010-0000-0300-000068160000}" name="Column5731" dataDxfId="10672"/>
    <tableColumn id="5737" xr3:uid="{00000000-0010-0000-0300-000069160000}" name="Column5732" dataDxfId="10671"/>
    <tableColumn id="5738" xr3:uid="{00000000-0010-0000-0300-00006A160000}" name="Column5733" dataDxfId="10670"/>
    <tableColumn id="5739" xr3:uid="{00000000-0010-0000-0300-00006B160000}" name="Column5734" dataDxfId="10669"/>
    <tableColumn id="5740" xr3:uid="{00000000-0010-0000-0300-00006C160000}" name="Column5735" dataDxfId="10668"/>
    <tableColumn id="5741" xr3:uid="{00000000-0010-0000-0300-00006D160000}" name="Column5736" dataDxfId="10667"/>
    <tableColumn id="5742" xr3:uid="{00000000-0010-0000-0300-00006E160000}" name="Column5737" dataDxfId="10666"/>
    <tableColumn id="5743" xr3:uid="{00000000-0010-0000-0300-00006F160000}" name="Column5738" dataDxfId="10665"/>
    <tableColumn id="5744" xr3:uid="{00000000-0010-0000-0300-000070160000}" name="Column5739" dataDxfId="10664"/>
    <tableColumn id="5745" xr3:uid="{00000000-0010-0000-0300-000071160000}" name="Column5740" dataDxfId="10663"/>
    <tableColumn id="5746" xr3:uid="{00000000-0010-0000-0300-000072160000}" name="Column5741" dataDxfId="10662"/>
    <tableColumn id="5747" xr3:uid="{00000000-0010-0000-0300-000073160000}" name="Column5742" dataDxfId="10661"/>
    <tableColumn id="5748" xr3:uid="{00000000-0010-0000-0300-000074160000}" name="Column5743" dataDxfId="10660"/>
    <tableColumn id="5749" xr3:uid="{00000000-0010-0000-0300-000075160000}" name="Column5744" dataDxfId="10659"/>
    <tableColumn id="5750" xr3:uid="{00000000-0010-0000-0300-000076160000}" name="Column5745" dataDxfId="10658"/>
    <tableColumn id="5751" xr3:uid="{00000000-0010-0000-0300-000077160000}" name="Column5746" dataDxfId="10657"/>
    <tableColumn id="5752" xr3:uid="{00000000-0010-0000-0300-000078160000}" name="Column5747" dataDxfId="10656"/>
    <tableColumn id="5753" xr3:uid="{00000000-0010-0000-0300-000079160000}" name="Column5748" dataDxfId="10655"/>
    <tableColumn id="5754" xr3:uid="{00000000-0010-0000-0300-00007A160000}" name="Column5749" dataDxfId="10654"/>
    <tableColumn id="5755" xr3:uid="{00000000-0010-0000-0300-00007B160000}" name="Column5750" dataDxfId="10653"/>
    <tableColumn id="5756" xr3:uid="{00000000-0010-0000-0300-00007C160000}" name="Column5751" dataDxfId="10652"/>
    <tableColumn id="5757" xr3:uid="{00000000-0010-0000-0300-00007D160000}" name="Column5752" dataDxfId="10651"/>
    <tableColumn id="5758" xr3:uid="{00000000-0010-0000-0300-00007E160000}" name="Column5753" dataDxfId="10650"/>
    <tableColumn id="5759" xr3:uid="{00000000-0010-0000-0300-00007F160000}" name="Column5754" dataDxfId="10649"/>
    <tableColumn id="5760" xr3:uid="{00000000-0010-0000-0300-000080160000}" name="Column5755" dataDxfId="10648"/>
    <tableColumn id="5761" xr3:uid="{00000000-0010-0000-0300-000081160000}" name="Column5756" dataDxfId="10647"/>
    <tableColumn id="5762" xr3:uid="{00000000-0010-0000-0300-000082160000}" name="Column5757" dataDxfId="10646"/>
    <tableColumn id="5763" xr3:uid="{00000000-0010-0000-0300-000083160000}" name="Column5758" dataDxfId="10645"/>
    <tableColumn id="5764" xr3:uid="{00000000-0010-0000-0300-000084160000}" name="Column5759" dataDxfId="10644"/>
    <tableColumn id="5765" xr3:uid="{00000000-0010-0000-0300-000085160000}" name="Column5760" dataDxfId="10643"/>
    <tableColumn id="5766" xr3:uid="{00000000-0010-0000-0300-000086160000}" name="Column5761" dataDxfId="10642"/>
    <tableColumn id="5767" xr3:uid="{00000000-0010-0000-0300-000087160000}" name="Column5762" dataDxfId="10641"/>
    <tableColumn id="5768" xr3:uid="{00000000-0010-0000-0300-000088160000}" name="Column5763" dataDxfId="10640"/>
    <tableColumn id="5769" xr3:uid="{00000000-0010-0000-0300-000089160000}" name="Column5764" dataDxfId="10639"/>
    <tableColumn id="5770" xr3:uid="{00000000-0010-0000-0300-00008A160000}" name="Column5765" dataDxfId="10638"/>
    <tableColumn id="5771" xr3:uid="{00000000-0010-0000-0300-00008B160000}" name="Column5766" dataDxfId="10637"/>
    <tableColumn id="5772" xr3:uid="{00000000-0010-0000-0300-00008C160000}" name="Column5767" dataDxfId="10636"/>
    <tableColumn id="5773" xr3:uid="{00000000-0010-0000-0300-00008D160000}" name="Column5768" dataDxfId="10635"/>
    <tableColumn id="5774" xr3:uid="{00000000-0010-0000-0300-00008E160000}" name="Column5769" dataDxfId="10634"/>
    <tableColumn id="5775" xr3:uid="{00000000-0010-0000-0300-00008F160000}" name="Column5770" dataDxfId="10633"/>
    <tableColumn id="5776" xr3:uid="{00000000-0010-0000-0300-000090160000}" name="Column5771" dataDxfId="10632"/>
    <tableColumn id="5777" xr3:uid="{00000000-0010-0000-0300-000091160000}" name="Column5772" dataDxfId="10631"/>
    <tableColumn id="5778" xr3:uid="{00000000-0010-0000-0300-000092160000}" name="Column5773" dataDxfId="10630"/>
    <tableColumn id="5779" xr3:uid="{00000000-0010-0000-0300-000093160000}" name="Column5774" dataDxfId="10629"/>
    <tableColumn id="5780" xr3:uid="{00000000-0010-0000-0300-000094160000}" name="Column5775" dataDxfId="10628"/>
    <tableColumn id="5781" xr3:uid="{00000000-0010-0000-0300-000095160000}" name="Column5776" dataDxfId="10627"/>
    <tableColumn id="5782" xr3:uid="{00000000-0010-0000-0300-000096160000}" name="Column5777" dataDxfId="10626"/>
    <tableColumn id="5783" xr3:uid="{00000000-0010-0000-0300-000097160000}" name="Column5778" dataDxfId="10625"/>
    <tableColumn id="5784" xr3:uid="{00000000-0010-0000-0300-000098160000}" name="Column5779" dataDxfId="10624"/>
    <tableColumn id="5785" xr3:uid="{00000000-0010-0000-0300-000099160000}" name="Column5780" dataDxfId="10623"/>
    <tableColumn id="5786" xr3:uid="{00000000-0010-0000-0300-00009A160000}" name="Column5781" dataDxfId="10622"/>
    <tableColumn id="5787" xr3:uid="{00000000-0010-0000-0300-00009B160000}" name="Column5782" dataDxfId="10621"/>
    <tableColumn id="5788" xr3:uid="{00000000-0010-0000-0300-00009C160000}" name="Column5783" dataDxfId="10620"/>
    <tableColumn id="5789" xr3:uid="{00000000-0010-0000-0300-00009D160000}" name="Column5784" dataDxfId="10619"/>
    <tableColumn id="5790" xr3:uid="{00000000-0010-0000-0300-00009E160000}" name="Column5785" dataDxfId="10618"/>
    <tableColumn id="5791" xr3:uid="{00000000-0010-0000-0300-00009F160000}" name="Column5786" dataDxfId="10617"/>
    <tableColumn id="5792" xr3:uid="{00000000-0010-0000-0300-0000A0160000}" name="Column5787" dataDxfId="10616"/>
    <tableColumn id="5793" xr3:uid="{00000000-0010-0000-0300-0000A1160000}" name="Column5788" dataDxfId="10615"/>
    <tableColumn id="5794" xr3:uid="{00000000-0010-0000-0300-0000A2160000}" name="Column5789" dataDxfId="10614"/>
    <tableColumn id="5795" xr3:uid="{00000000-0010-0000-0300-0000A3160000}" name="Column5790" dataDxfId="10613"/>
    <tableColumn id="5796" xr3:uid="{00000000-0010-0000-0300-0000A4160000}" name="Column5791" dataDxfId="10612"/>
    <tableColumn id="5797" xr3:uid="{00000000-0010-0000-0300-0000A5160000}" name="Column5792" dataDxfId="10611"/>
    <tableColumn id="5798" xr3:uid="{00000000-0010-0000-0300-0000A6160000}" name="Column5793" dataDxfId="10610"/>
    <tableColumn id="5799" xr3:uid="{00000000-0010-0000-0300-0000A7160000}" name="Column5794" dataDxfId="10609"/>
    <tableColumn id="5800" xr3:uid="{00000000-0010-0000-0300-0000A8160000}" name="Column5795" dataDxfId="10608"/>
    <tableColumn id="5801" xr3:uid="{00000000-0010-0000-0300-0000A9160000}" name="Column5796" dataDxfId="10607"/>
    <tableColumn id="5802" xr3:uid="{00000000-0010-0000-0300-0000AA160000}" name="Column5797" dataDxfId="10606"/>
    <tableColumn id="5803" xr3:uid="{00000000-0010-0000-0300-0000AB160000}" name="Column5798" dataDxfId="10605"/>
    <tableColumn id="5804" xr3:uid="{00000000-0010-0000-0300-0000AC160000}" name="Column5799" dataDxfId="10604"/>
    <tableColumn id="5805" xr3:uid="{00000000-0010-0000-0300-0000AD160000}" name="Column5800" dataDxfId="10603"/>
    <tableColumn id="5806" xr3:uid="{00000000-0010-0000-0300-0000AE160000}" name="Column5801" dataDxfId="10602"/>
    <tableColumn id="5807" xr3:uid="{00000000-0010-0000-0300-0000AF160000}" name="Column5802" dataDxfId="10601"/>
    <tableColumn id="5808" xr3:uid="{00000000-0010-0000-0300-0000B0160000}" name="Column5803" dataDxfId="10600"/>
    <tableColumn id="5809" xr3:uid="{00000000-0010-0000-0300-0000B1160000}" name="Column5804" dataDxfId="10599"/>
    <tableColumn id="5810" xr3:uid="{00000000-0010-0000-0300-0000B2160000}" name="Column5805" dataDxfId="10598"/>
    <tableColumn id="5811" xr3:uid="{00000000-0010-0000-0300-0000B3160000}" name="Column5806" dataDxfId="10597"/>
    <tableColumn id="5812" xr3:uid="{00000000-0010-0000-0300-0000B4160000}" name="Column5807" dataDxfId="10596"/>
    <tableColumn id="5813" xr3:uid="{00000000-0010-0000-0300-0000B5160000}" name="Column5808" dataDxfId="10595"/>
    <tableColumn id="5814" xr3:uid="{00000000-0010-0000-0300-0000B6160000}" name="Column5809" dataDxfId="10594"/>
    <tableColumn id="5815" xr3:uid="{00000000-0010-0000-0300-0000B7160000}" name="Column5810" dataDxfId="10593"/>
    <tableColumn id="5816" xr3:uid="{00000000-0010-0000-0300-0000B8160000}" name="Column5811" dataDxfId="10592"/>
    <tableColumn id="5817" xr3:uid="{00000000-0010-0000-0300-0000B9160000}" name="Column5812" dataDxfId="10591"/>
    <tableColumn id="5818" xr3:uid="{00000000-0010-0000-0300-0000BA160000}" name="Column5813" dataDxfId="10590"/>
    <tableColumn id="5819" xr3:uid="{00000000-0010-0000-0300-0000BB160000}" name="Column5814" dataDxfId="10589"/>
    <tableColumn id="5820" xr3:uid="{00000000-0010-0000-0300-0000BC160000}" name="Column5815" dataDxfId="10588"/>
    <tableColumn id="5821" xr3:uid="{00000000-0010-0000-0300-0000BD160000}" name="Column5816" dataDxfId="10587"/>
    <tableColumn id="5822" xr3:uid="{00000000-0010-0000-0300-0000BE160000}" name="Column5817" dataDxfId="10586"/>
    <tableColumn id="5823" xr3:uid="{00000000-0010-0000-0300-0000BF160000}" name="Column5818" dataDxfId="10585"/>
    <tableColumn id="5824" xr3:uid="{00000000-0010-0000-0300-0000C0160000}" name="Column5819" dataDxfId="10584"/>
    <tableColumn id="5825" xr3:uid="{00000000-0010-0000-0300-0000C1160000}" name="Column5820" dataDxfId="10583"/>
    <tableColumn id="5826" xr3:uid="{00000000-0010-0000-0300-0000C2160000}" name="Column5821" dataDxfId="10582"/>
    <tableColumn id="5827" xr3:uid="{00000000-0010-0000-0300-0000C3160000}" name="Column5822" dataDxfId="10581"/>
    <tableColumn id="5828" xr3:uid="{00000000-0010-0000-0300-0000C4160000}" name="Column5823" dataDxfId="10580"/>
    <tableColumn id="5829" xr3:uid="{00000000-0010-0000-0300-0000C5160000}" name="Column5824" dataDxfId="10579"/>
    <tableColumn id="5830" xr3:uid="{00000000-0010-0000-0300-0000C6160000}" name="Column5825" dataDxfId="10578"/>
    <tableColumn id="5831" xr3:uid="{00000000-0010-0000-0300-0000C7160000}" name="Column5826" dataDxfId="10577"/>
    <tableColumn id="5832" xr3:uid="{00000000-0010-0000-0300-0000C8160000}" name="Column5827" dataDxfId="10576"/>
    <tableColumn id="5833" xr3:uid="{00000000-0010-0000-0300-0000C9160000}" name="Column5828" dataDxfId="10575"/>
    <tableColumn id="5834" xr3:uid="{00000000-0010-0000-0300-0000CA160000}" name="Column5829" dataDxfId="10574"/>
    <tableColumn id="5835" xr3:uid="{00000000-0010-0000-0300-0000CB160000}" name="Column5830" dataDxfId="10573"/>
    <tableColumn id="5836" xr3:uid="{00000000-0010-0000-0300-0000CC160000}" name="Column5831" dataDxfId="10572"/>
    <tableColumn id="5837" xr3:uid="{00000000-0010-0000-0300-0000CD160000}" name="Column5832" dataDxfId="10571"/>
    <tableColumn id="5838" xr3:uid="{00000000-0010-0000-0300-0000CE160000}" name="Column5833" dataDxfId="10570"/>
    <tableColumn id="5839" xr3:uid="{00000000-0010-0000-0300-0000CF160000}" name="Column5834" dataDxfId="10569"/>
    <tableColumn id="5840" xr3:uid="{00000000-0010-0000-0300-0000D0160000}" name="Column5835" dataDxfId="10568"/>
    <tableColumn id="5841" xr3:uid="{00000000-0010-0000-0300-0000D1160000}" name="Column5836" dataDxfId="10567"/>
    <tableColumn id="5842" xr3:uid="{00000000-0010-0000-0300-0000D2160000}" name="Column5837" dataDxfId="10566"/>
    <tableColumn id="5843" xr3:uid="{00000000-0010-0000-0300-0000D3160000}" name="Column5838" dataDxfId="10565"/>
    <tableColumn id="5844" xr3:uid="{00000000-0010-0000-0300-0000D4160000}" name="Column5839" dataDxfId="10564"/>
    <tableColumn id="5845" xr3:uid="{00000000-0010-0000-0300-0000D5160000}" name="Column5840" dataDxfId="10563"/>
    <tableColumn id="5846" xr3:uid="{00000000-0010-0000-0300-0000D6160000}" name="Column5841" dataDxfId="10562"/>
    <tableColumn id="5847" xr3:uid="{00000000-0010-0000-0300-0000D7160000}" name="Column5842" dataDxfId="10561"/>
    <tableColumn id="5848" xr3:uid="{00000000-0010-0000-0300-0000D8160000}" name="Column5843" dataDxfId="10560"/>
    <tableColumn id="5849" xr3:uid="{00000000-0010-0000-0300-0000D9160000}" name="Column5844" dataDxfId="10559"/>
    <tableColumn id="5850" xr3:uid="{00000000-0010-0000-0300-0000DA160000}" name="Column5845" dataDxfId="10558"/>
    <tableColumn id="5851" xr3:uid="{00000000-0010-0000-0300-0000DB160000}" name="Column5846" dataDxfId="10557"/>
    <tableColumn id="5852" xr3:uid="{00000000-0010-0000-0300-0000DC160000}" name="Column5847" dataDxfId="10556"/>
    <tableColumn id="5853" xr3:uid="{00000000-0010-0000-0300-0000DD160000}" name="Column5848" dataDxfId="10555"/>
    <tableColumn id="5854" xr3:uid="{00000000-0010-0000-0300-0000DE160000}" name="Column5849" dataDxfId="10554"/>
    <tableColumn id="5855" xr3:uid="{00000000-0010-0000-0300-0000DF160000}" name="Column5850" dataDxfId="10553"/>
    <tableColumn id="5856" xr3:uid="{00000000-0010-0000-0300-0000E0160000}" name="Column5851" dataDxfId="10552"/>
    <tableColumn id="5857" xr3:uid="{00000000-0010-0000-0300-0000E1160000}" name="Column5852" dataDxfId="10551"/>
    <tableColumn id="5858" xr3:uid="{00000000-0010-0000-0300-0000E2160000}" name="Column5853" dataDxfId="10550"/>
    <tableColumn id="5859" xr3:uid="{00000000-0010-0000-0300-0000E3160000}" name="Column5854" dataDxfId="10549"/>
    <tableColumn id="5860" xr3:uid="{00000000-0010-0000-0300-0000E4160000}" name="Column5855" dataDxfId="10548"/>
    <tableColumn id="5861" xr3:uid="{00000000-0010-0000-0300-0000E5160000}" name="Column5856" dataDxfId="10547"/>
    <tableColumn id="5862" xr3:uid="{00000000-0010-0000-0300-0000E6160000}" name="Column5857" dataDxfId="10546"/>
    <tableColumn id="5863" xr3:uid="{00000000-0010-0000-0300-0000E7160000}" name="Column5858" dataDxfId="10545"/>
    <tableColumn id="5864" xr3:uid="{00000000-0010-0000-0300-0000E8160000}" name="Column5859" dataDxfId="10544"/>
    <tableColumn id="5865" xr3:uid="{00000000-0010-0000-0300-0000E9160000}" name="Column5860" dataDxfId="10543"/>
    <tableColumn id="5866" xr3:uid="{00000000-0010-0000-0300-0000EA160000}" name="Column5861" dataDxfId="10542"/>
    <tableColumn id="5867" xr3:uid="{00000000-0010-0000-0300-0000EB160000}" name="Column5862" dataDxfId="10541"/>
    <tableColumn id="5868" xr3:uid="{00000000-0010-0000-0300-0000EC160000}" name="Column5863" dataDxfId="10540"/>
    <tableColumn id="5869" xr3:uid="{00000000-0010-0000-0300-0000ED160000}" name="Column5864" dataDxfId="10539"/>
    <tableColumn id="5870" xr3:uid="{00000000-0010-0000-0300-0000EE160000}" name="Column5865" dataDxfId="10538"/>
    <tableColumn id="5871" xr3:uid="{00000000-0010-0000-0300-0000EF160000}" name="Column5866" dataDxfId="10537"/>
    <tableColumn id="5872" xr3:uid="{00000000-0010-0000-0300-0000F0160000}" name="Column5867" dataDxfId="10536"/>
    <tableColumn id="5873" xr3:uid="{00000000-0010-0000-0300-0000F1160000}" name="Column5868" dataDxfId="10535"/>
    <tableColumn id="5874" xr3:uid="{00000000-0010-0000-0300-0000F2160000}" name="Column5869" dataDxfId="10534"/>
    <tableColumn id="5875" xr3:uid="{00000000-0010-0000-0300-0000F3160000}" name="Column5870" dataDxfId="10533"/>
    <tableColumn id="5876" xr3:uid="{00000000-0010-0000-0300-0000F4160000}" name="Column5871" dataDxfId="10532"/>
    <tableColumn id="5877" xr3:uid="{00000000-0010-0000-0300-0000F5160000}" name="Column5872" dataDxfId="10531"/>
    <tableColumn id="5878" xr3:uid="{00000000-0010-0000-0300-0000F6160000}" name="Column5873" dataDxfId="10530"/>
    <tableColumn id="5879" xr3:uid="{00000000-0010-0000-0300-0000F7160000}" name="Column5874" dataDxfId="10529"/>
    <tableColumn id="5880" xr3:uid="{00000000-0010-0000-0300-0000F8160000}" name="Column5875" dataDxfId="10528"/>
    <tableColumn id="5881" xr3:uid="{00000000-0010-0000-0300-0000F9160000}" name="Column5876" dataDxfId="10527"/>
    <tableColumn id="5882" xr3:uid="{00000000-0010-0000-0300-0000FA160000}" name="Column5877" dataDxfId="10526"/>
    <tableColumn id="5883" xr3:uid="{00000000-0010-0000-0300-0000FB160000}" name="Column5878" dataDxfId="10525"/>
    <tableColumn id="5884" xr3:uid="{00000000-0010-0000-0300-0000FC160000}" name="Column5879" dataDxfId="10524"/>
    <tableColumn id="5885" xr3:uid="{00000000-0010-0000-0300-0000FD160000}" name="Column5880" dataDxfId="10523"/>
    <tableColumn id="5886" xr3:uid="{00000000-0010-0000-0300-0000FE160000}" name="Column5881" dataDxfId="10522"/>
    <tableColumn id="5887" xr3:uid="{00000000-0010-0000-0300-0000FF160000}" name="Column5882" dataDxfId="10521"/>
    <tableColumn id="5888" xr3:uid="{00000000-0010-0000-0300-000000170000}" name="Column5883" dataDxfId="10520"/>
    <tableColumn id="5889" xr3:uid="{00000000-0010-0000-0300-000001170000}" name="Column5884" dataDxfId="10519"/>
    <tableColumn id="5890" xr3:uid="{00000000-0010-0000-0300-000002170000}" name="Column5885" dataDxfId="10518"/>
    <tableColumn id="5891" xr3:uid="{00000000-0010-0000-0300-000003170000}" name="Column5886" dataDxfId="10517"/>
    <tableColumn id="5892" xr3:uid="{00000000-0010-0000-0300-000004170000}" name="Column5887" dataDxfId="10516"/>
    <tableColumn id="5893" xr3:uid="{00000000-0010-0000-0300-000005170000}" name="Column5888" dataDxfId="10515"/>
    <tableColumn id="5894" xr3:uid="{00000000-0010-0000-0300-000006170000}" name="Column5889" dataDxfId="10514"/>
    <tableColumn id="5895" xr3:uid="{00000000-0010-0000-0300-000007170000}" name="Column5890" dataDxfId="10513"/>
    <tableColumn id="5896" xr3:uid="{00000000-0010-0000-0300-000008170000}" name="Column5891" dataDxfId="10512"/>
    <tableColumn id="5897" xr3:uid="{00000000-0010-0000-0300-000009170000}" name="Column5892" dataDxfId="10511"/>
    <tableColumn id="5898" xr3:uid="{00000000-0010-0000-0300-00000A170000}" name="Column5893" dataDxfId="10510"/>
    <tableColumn id="5899" xr3:uid="{00000000-0010-0000-0300-00000B170000}" name="Column5894" dataDxfId="10509"/>
    <tableColumn id="5900" xr3:uid="{00000000-0010-0000-0300-00000C170000}" name="Column5895" dataDxfId="10508"/>
    <tableColumn id="5901" xr3:uid="{00000000-0010-0000-0300-00000D170000}" name="Column5896" dataDxfId="10507"/>
    <tableColumn id="5902" xr3:uid="{00000000-0010-0000-0300-00000E170000}" name="Column5897" dataDxfId="10506"/>
    <tableColumn id="5903" xr3:uid="{00000000-0010-0000-0300-00000F170000}" name="Column5898" dataDxfId="10505"/>
    <tableColumn id="5904" xr3:uid="{00000000-0010-0000-0300-000010170000}" name="Column5899" dataDxfId="10504"/>
    <tableColumn id="5905" xr3:uid="{00000000-0010-0000-0300-000011170000}" name="Column5900" dataDxfId="10503"/>
    <tableColumn id="5906" xr3:uid="{00000000-0010-0000-0300-000012170000}" name="Column5901" dataDxfId="10502"/>
    <tableColumn id="5907" xr3:uid="{00000000-0010-0000-0300-000013170000}" name="Column5902" dataDxfId="10501"/>
    <tableColumn id="5908" xr3:uid="{00000000-0010-0000-0300-000014170000}" name="Column5903" dataDxfId="10500"/>
    <tableColumn id="5909" xr3:uid="{00000000-0010-0000-0300-000015170000}" name="Column5904" dataDxfId="10499"/>
    <tableColumn id="5910" xr3:uid="{00000000-0010-0000-0300-000016170000}" name="Column5905" dataDxfId="10498"/>
    <tableColumn id="5911" xr3:uid="{00000000-0010-0000-0300-000017170000}" name="Column5906" dataDxfId="10497"/>
    <tableColumn id="5912" xr3:uid="{00000000-0010-0000-0300-000018170000}" name="Column5907" dataDxfId="10496"/>
    <tableColumn id="5913" xr3:uid="{00000000-0010-0000-0300-000019170000}" name="Column5908" dataDxfId="10495"/>
    <tableColumn id="5914" xr3:uid="{00000000-0010-0000-0300-00001A170000}" name="Column5909" dataDxfId="10494"/>
    <tableColumn id="5915" xr3:uid="{00000000-0010-0000-0300-00001B170000}" name="Column5910" dataDxfId="10493"/>
    <tableColumn id="5916" xr3:uid="{00000000-0010-0000-0300-00001C170000}" name="Column5911" dataDxfId="10492"/>
    <tableColumn id="5917" xr3:uid="{00000000-0010-0000-0300-00001D170000}" name="Column5912" dataDxfId="10491"/>
    <tableColumn id="5918" xr3:uid="{00000000-0010-0000-0300-00001E170000}" name="Column5913" dataDxfId="10490"/>
    <tableColumn id="5919" xr3:uid="{00000000-0010-0000-0300-00001F170000}" name="Column5914" dataDxfId="10489"/>
    <tableColumn id="5920" xr3:uid="{00000000-0010-0000-0300-000020170000}" name="Column5915" dataDxfId="10488"/>
    <tableColumn id="5921" xr3:uid="{00000000-0010-0000-0300-000021170000}" name="Column5916" dataDxfId="10487"/>
    <tableColumn id="5922" xr3:uid="{00000000-0010-0000-0300-000022170000}" name="Column5917" dataDxfId="10486"/>
    <tableColumn id="5923" xr3:uid="{00000000-0010-0000-0300-000023170000}" name="Column5918" dataDxfId="10485"/>
    <tableColumn id="5924" xr3:uid="{00000000-0010-0000-0300-000024170000}" name="Column5919" dataDxfId="10484"/>
    <tableColumn id="5925" xr3:uid="{00000000-0010-0000-0300-000025170000}" name="Column5920" dataDxfId="10483"/>
    <tableColumn id="5926" xr3:uid="{00000000-0010-0000-0300-000026170000}" name="Column5921" dataDxfId="10482"/>
    <tableColumn id="5927" xr3:uid="{00000000-0010-0000-0300-000027170000}" name="Column5922" dataDxfId="10481"/>
    <tableColumn id="5928" xr3:uid="{00000000-0010-0000-0300-000028170000}" name="Column5923" dataDxfId="10480"/>
    <tableColumn id="5929" xr3:uid="{00000000-0010-0000-0300-000029170000}" name="Column5924" dataDxfId="10479"/>
    <tableColumn id="5930" xr3:uid="{00000000-0010-0000-0300-00002A170000}" name="Column5925" dataDxfId="10478"/>
    <tableColumn id="5931" xr3:uid="{00000000-0010-0000-0300-00002B170000}" name="Column5926" dataDxfId="10477"/>
    <tableColumn id="5932" xr3:uid="{00000000-0010-0000-0300-00002C170000}" name="Column5927" dataDxfId="10476"/>
    <tableColumn id="5933" xr3:uid="{00000000-0010-0000-0300-00002D170000}" name="Column5928" dataDxfId="10475"/>
    <tableColumn id="5934" xr3:uid="{00000000-0010-0000-0300-00002E170000}" name="Column5929" dataDxfId="10474"/>
    <tableColumn id="5935" xr3:uid="{00000000-0010-0000-0300-00002F170000}" name="Column5930" dataDxfId="10473"/>
    <tableColumn id="5936" xr3:uid="{00000000-0010-0000-0300-000030170000}" name="Column5931" dataDxfId="10472"/>
    <tableColumn id="5937" xr3:uid="{00000000-0010-0000-0300-000031170000}" name="Column5932" dataDxfId="10471"/>
    <tableColumn id="5938" xr3:uid="{00000000-0010-0000-0300-000032170000}" name="Column5933" dataDxfId="10470"/>
    <tableColumn id="5939" xr3:uid="{00000000-0010-0000-0300-000033170000}" name="Column5934" dataDxfId="10469"/>
    <tableColumn id="5940" xr3:uid="{00000000-0010-0000-0300-000034170000}" name="Column5935" dataDxfId="10468"/>
    <tableColumn id="5941" xr3:uid="{00000000-0010-0000-0300-000035170000}" name="Column5936" dataDxfId="10467"/>
    <tableColumn id="5942" xr3:uid="{00000000-0010-0000-0300-000036170000}" name="Column5937" dataDxfId="10466"/>
    <tableColumn id="5943" xr3:uid="{00000000-0010-0000-0300-000037170000}" name="Column5938" dataDxfId="10465"/>
    <tableColumn id="5944" xr3:uid="{00000000-0010-0000-0300-000038170000}" name="Column5939" dataDxfId="10464"/>
    <tableColumn id="5945" xr3:uid="{00000000-0010-0000-0300-000039170000}" name="Column5940" dataDxfId="10463"/>
    <tableColumn id="5946" xr3:uid="{00000000-0010-0000-0300-00003A170000}" name="Column5941" dataDxfId="10462"/>
    <tableColumn id="5947" xr3:uid="{00000000-0010-0000-0300-00003B170000}" name="Column5942" dataDxfId="10461"/>
    <tableColumn id="5948" xr3:uid="{00000000-0010-0000-0300-00003C170000}" name="Column5943" dataDxfId="10460"/>
    <tableColumn id="5949" xr3:uid="{00000000-0010-0000-0300-00003D170000}" name="Column5944" dataDxfId="10459"/>
    <tableColumn id="5950" xr3:uid="{00000000-0010-0000-0300-00003E170000}" name="Column5945" dataDxfId="10458"/>
    <tableColumn id="5951" xr3:uid="{00000000-0010-0000-0300-00003F170000}" name="Column5946" dataDxfId="10457"/>
    <tableColumn id="5952" xr3:uid="{00000000-0010-0000-0300-000040170000}" name="Column5947" dataDxfId="10456"/>
    <tableColumn id="5953" xr3:uid="{00000000-0010-0000-0300-000041170000}" name="Column5948" dataDxfId="10455"/>
    <tableColumn id="5954" xr3:uid="{00000000-0010-0000-0300-000042170000}" name="Column5949" dataDxfId="10454"/>
    <tableColumn id="5955" xr3:uid="{00000000-0010-0000-0300-000043170000}" name="Column5950" dataDxfId="10453"/>
    <tableColumn id="5956" xr3:uid="{00000000-0010-0000-0300-000044170000}" name="Column5951" dataDxfId="10452"/>
    <tableColumn id="5957" xr3:uid="{00000000-0010-0000-0300-000045170000}" name="Column5952" dataDxfId="10451"/>
    <tableColumn id="5958" xr3:uid="{00000000-0010-0000-0300-000046170000}" name="Column5953" dataDxfId="10450"/>
    <tableColumn id="5959" xr3:uid="{00000000-0010-0000-0300-000047170000}" name="Column5954" dataDxfId="10449"/>
    <tableColumn id="5960" xr3:uid="{00000000-0010-0000-0300-000048170000}" name="Column5955" dataDxfId="10448"/>
    <tableColumn id="5961" xr3:uid="{00000000-0010-0000-0300-000049170000}" name="Column5956" dataDxfId="10447"/>
    <tableColumn id="5962" xr3:uid="{00000000-0010-0000-0300-00004A170000}" name="Column5957" dataDxfId="10446"/>
    <tableColumn id="5963" xr3:uid="{00000000-0010-0000-0300-00004B170000}" name="Column5958" dataDxfId="10445"/>
    <tableColumn id="5964" xr3:uid="{00000000-0010-0000-0300-00004C170000}" name="Column5959" dataDxfId="10444"/>
    <tableColumn id="5965" xr3:uid="{00000000-0010-0000-0300-00004D170000}" name="Column5960" dataDxfId="10443"/>
    <tableColumn id="5966" xr3:uid="{00000000-0010-0000-0300-00004E170000}" name="Column5961" dataDxfId="10442"/>
    <tableColumn id="5967" xr3:uid="{00000000-0010-0000-0300-00004F170000}" name="Column5962" dataDxfId="10441"/>
    <tableColumn id="5968" xr3:uid="{00000000-0010-0000-0300-000050170000}" name="Column5963" dataDxfId="10440"/>
    <tableColumn id="5969" xr3:uid="{00000000-0010-0000-0300-000051170000}" name="Column5964" dataDxfId="10439"/>
    <tableColumn id="5970" xr3:uid="{00000000-0010-0000-0300-000052170000}" name="Column5965" dataDxfId="10438"/>
    <tableColumn id="5971" xr3:uid="{00000000-0010-0000-0300-000053170000}" name="Column5966" dataDxfId="10437"/>
    <tableColumn id="5972" xr3:uid="{00000000-0010-0000-0300-000054170000}" name="Column5967" dataDxfId="10436"/>
    <tableColumn id="5973" xr3:uid="{00000000-0010-0000-0300-000055170000}" name="Column5968" dataDxfId="10435"/>
    <tableColumn id="5974" xr3:uid="{00000000-0010-0000-0300-000056170000}" name="Column5969" dataDxfId="10434"/>
    <tableColumn id="5975" xr3:uid="{00000000-0010-0000-0300-000057170000}" name="Column5970" dataDxfId="10433"/>
    <tableColumn id="5976" xr3:uid="{00000000-0010-0000-0300-000058170000}" name="Column5971" dataDxfId="10432"/>
    <tableColumn id="5977" xr3:uid="{00000000-0010-0000-0300-000059170000}" name="Column5972" dataDxfId="10431"/>
    <tableColumn id="5978" xr3:uid="{00000000-0010-0000-0300-00005A170000}" name="Column5973" dataDxfId="10430"/>
    <tableColumn id="5979" xr3:uid="{00000000-0010-0000-0300-00005B170000}" name="Column5974" dataDxfId="10429"/>
    <tableColumn id="5980" xr3:uid="{00000000-0010-0000-0300-00005C170000}" name="Column5975" dataDxfId="10428"/>
    <tableColumn id="5981" xr3:uid="{00000000-0010-0000-0300-00005D170000}" name="Column5976" dataDxfId="10427"/>
    <tableColumn id="5982" xr3:uid="{00000000-0010-0000-0300-00005E170000}" name="Column5977" dataDxfId="10426"/>
    <tableColumn id="5983" xr3:uid="{00000000-0010-0000-0300-00005F170000}" name="Column5978" dataDxfId="10425"/>
    <tableColumn id="5984" xr3:uid="{00000000-0010-0000-0300-000060170000}" name="Column5979" dataDxfId="10424"/>
    <tableColumn id="5985" xr3:uid="{00000000-0010-0000-0300-000061170000}" name="Column5980" dataDxfId="10423"/>
    <tableColumn id="5986" xr3:uid="{00000000-0010-0000-0300-000062170000}" name="Column5981" dataDxfId="10422"/>
    <tableColumn id="5987" xr3:uid="{00000000-0010-0000-0300-000063170000}" name="Column5982" dataDxfId="10421"/>
    <tableColumn id="5988" xr3:uid="{00000000-0010-0000-0300-000064170000}" name="Column5983" dataDxfId="10420"/>
    <tableColumn id="5989" xr3:uid="{00000000-0010-0000-0300-000065170000}" name="Column5984" dataDxfId="10419"/>
    <tableColumn id="5990" xr3:uid="{00000000-0010-0000-0300-000066170000}" name="Column5985" dataDxfId="10418"/>
    <tableColumn id="5991" xr3:uid="{00000000-0010-0000-0300-000067170000}" name="Column5986" dataDxfId="10417"/>
    <tableColumn id="5992" xr3:uid="{00000000-0010-0000-0300-000068170000}" name="Column5987" dataDxfId="10416"/>
    <tableColumn id="5993" xr3:uid="{00000000-0010-0000-0300-000069170000}" name="Column5988" dataDxfId="10415"/>
    <tableColumn id="5994" xr3:uid="{00000000-0010-0000-0300-00006A170000}" name="Column5989" dataDxfId="10414"/>
    <tableColumn id="5995" xr3:uid="{00000000-0010-0000-0300-00006B170000}" name="Column5990" dataDxfId="10413"/>
    <tableColumn id="5996" xr3:uid="{00000000-0010-0000-0300-00006C170000}" name="Column5991" dataDxfId="10412"/>
    <tableColumn id="5997" xr3:uid="{00000000-0010-0000-0300-00006D170000}" name="Column5992" dataDxfId="10411"/>
    <tableColumn id="5998" xr3:uid="{00000000-0010-0000-0300-00006E170000}" name="Column5993" dataDxfId="10410"/>
    <tableColumn id="5999" xr3:uid="{00000000-0010-0000-0300-00006F170000}" name="Column5994" dataDxfId="10409"/>
    <tableColumn id="6000" xr3:uid="{00000000-0010-0000-0300-000070170000}" name="Column5995" dataDxfId="10408"/>
    <tableColumn id="6001" xr3:uid="{00000000-0010-0000-0300-000071170000}" name="Column5996" dataDxfId="10407"/>
    <tableColumn id="6002" xr3:uid="{00000000-0010-0000-0300-000072170000}" name="Column5997" dataDxfId="10406"/>
    <tableColumn id="6003" xr3:uid="{00000000-0010-0000-0300-000073170000}" name="Column5998" dataDxfId="10405"/>
    <tableColumn id="6004" xr3:uid="{00000000-0010-0000-0300-000074170000}" name="Column5999" dataDxfId="10404"/>
    <tableColumn id="6005" xr3:uid="{00000000-0010-0000-0300-000075170000}" name="Column6000" dataDxfId="10403"/>
    <tableColumn id="6006" xr3:uid="{00000000-0010-0000-0300-000076170000}" name="Column6001" dataDxfId="10402"/>
    <tableColumn id="6007" xr3:uid="{00000000-0010-0000-0300-000077170000}" name="Column6002" dataDxfId="10401"/>
    <tableColumn id="6008" xr3:uid="{00000000-0010-0000-0300-000078170000}" name="Column6003" dataDxfId="10400"/>
    <tableColumn id="6009" xr3:uid="{00000000-0010-0000-0300-000079170000}" name="Column6004" dataDxfId="10399"/>
    <tableColumn id="6010" xr3:uid="{00000000-0010-0000-0300-00007A170000}" name="Column6005" dataDxfId="10398"/>
    <tableColumn id="6011" xr3:uid="{00000000-0010-0000-0300-00007B170000}" name="Column6006" dataDxfId="10397"/>
    <tableColumn id="6012" xr3:uid="{00000000-0010-0000-0300-00007C170000}" name="Column6007" dataDxfId="10396"/>
    <tableColumn id="6013" xr3:uid="{00000000-0010-0000-0300-00007D170000}" name="Column6008" dataDxfId="10395"/>
    <tableColumn id="6014" xr3:uid="{00000000-0010-0000-0300-00007E170000}" name="Column6009" dataDxfId="10394"/>
    <tableColumn id="6015" xr3:uid="{00000000-0010-0000-0300-00007F170000}" name="Column6010" dataDxfId="10393"/>
    <tableColumn id="6016" xr3:uid="{00000000-0010-0000-0300-000080170000}" name="Column6011" dataDxfId="10392"/>
    <tableColumn id="6017" xr3:uid="{00000000-0010-0000-0300-000081170000}" name="Column6012" dataDxfId="10391"/>
    <tableColumn id="6018" xr3:uid="{00000000-0010-0000-0300-000082170000}" name="Column6013" dataDxfId="10390"/>
    <tableColumn id="6019" xr3:uid="{00000000-0010-0000-0300-000083170000}" name="Column6014" dataDxfId="10389"/>
    <tableColumn id="6020" xr3:uid="{00000000-0010-0000-0300-000084170000}" name="Column6015" dataDxfId="10388"/>
    <tableColumn id="6021" xr3:uid="{00000000-0010-0000-0300-000085170000}" name="Column6016" dataDxfId="10387"/>
    <tableColumn id="6022" xr3:uid="{00000000-0010-0000-0300-000086170000}" name="Column6017" dataDxfId="10386"/>
    <tableColumn id="6023" xr3:uid="{00000000-0010-0000-0300-000087170000}" name="Column6018" dataDxfId="10385"/>
    <tableColumn id="6024" xr3:uid="{00000000-0010-0000-0300-000088170000}" name="Column6019" dataDxfId="10384"/>
    <tableColumn id="6025" xr3:uid="{00000000-0010-0000-0300-000089170000}" name="Column6020" dataDxfId="10383"/>
    <tableColumn id="6026" xr3:uid="{00000000-0010-0000-0300-00008A170000}" name="Column6021" dataDxfId="10382"/>
    <tableColumn id="6027" xr3:uid="{00000000-0010-0000-0300-00008B170000}" name="Column6022" dataDxfId="10381"/>
    <tableColumn id="6028" xr3:uid="{00000000-0010-0000-0300-00008C170000}" name="Column6023" dataDxfId="10380"/>
    <tableColumn id="6029" xr3:uid="{00000000-0010-0000-0300-00008D170000}" name="Column6024" dataDxfId="10379"/>
    <tableColumn id="6030" xr3:uid="{00000000-0010-0000-0300-00008E170000}" name="Column6025" dataDxfId="10378"/>
    <tableColumn id="6031" xr3:uid="{00000000-0010-0000-0300-00008F170000}" name="Column6026" dataDxfId="10377"/>
    <tableColumn id="6032" xr3:uid="{00000000-0010-0000-0300-000090170000}" name="Column6027" dataDxfId="10376"/>
    <tableColumn id="6033" xr3:uid="{00000000-0010-0000-0300-000091170000}" name="Column6028" dataDxfId="10375"/>
    <tableColumn id="6034" xr3:uid="{00000000-0010-0000-0300-000092170000}" name="Column6029" dataDxfId="10374"/>
    <tableColumn id="6035" xr3:uid="{00000000-0010-0000-0300-000093170000}" name="Column6030" dataDxfId="10373"/>
    <tableColumn id="6036" xr3:uid="{00000000-0010-0000-0300-000094170000}" name="Column6031" dataDxfId="10372"/>
    <tableColumn id="6037" xr3:uid="{00000000-0010-0000-0300-000095170000}" name="Column6032" dataDxfId="10371"/>
    <tableColumn id="6038" xr3:uid="{00000000-0010-0000-0300-000096170000}" name="Column6033" dataDxfId="10370"/>
    <tableColumn id="6039" xr3:uid="{00000000-0010-0000-0300-000097170000}" name="Column6034" dataDxfId="10369"/>
    <tableColumn id="6040" xr3:uid="{00000000-0010-0000-0300-000098170000}" name="Column6035" dataDxfId="10368"/>
    <tableColumn id="6041" xr3:uid="{00000000-0010-0000-0300-000099170000}" name="Column6036" dataDxfId="10367"/>
    <tableColumn id="6042" xr3:uid="{00000000-0010-0000-0300-00009A170000}" name="Column6037" dataDxfId="10366"/>
    <tableColumn id="6043" xr3:uid="{00000000-0010-0000-0300-00009B170000}" name="Column6038" dataDxfId="10365"/>
    <tableColumn id="6044" xr3:uid="{00000000-0010-0000-0300-00009C170000}" name="Column6039" dataDxfId="10364"/>
    <tableColumn id="6045" xr3:uid="{00000000-0010-0000-0300-00009D170000}" name="Column6040" dataDxfId="10363"/>
    <tableColumn id="6046" xr3:uid="{00000000-0010-0000-0300-00009E170000}" name="Column6041" dataDxfId="10362"/>
    <tableColumn id="6047" xr3:uid="{00000000-0010-0000-0300-00009F170000}" name="Column6042" dataDxfId="10361"/>
    <tableColumn id="6048" xr3:uid="{00000000-0010-0000-0300-0000A0170000}" name="Column6043" dataDxfId="10360"/>
    <tableColumn id="6049" xr3:uid="{00000000-0010-0000-0300-0000A1170000}" name="Column6044" dataDxfId="10359"/>
    <tableColumn id="6050" xr3:uid="{00000000-0010-0000-0300-0000A2170000}" name="Column6045" dataDxfId="10358"/>
    <tableColumn id="6051" xr3:uid="{00000000-0010-0000-0300-0000A3170000}" name="Column6046" dataDxfId="10357"/>
    <tableColumn id="6052" xr3:uid="{00000000-0010-0000-0300-0000A4170000}" name="Column6047" dataDxfId="10356"/>
    <tableColumn id="6053" xr3:uid="{00000000-0010-0000-0300-0000A5170000}" name="Column6048" dataDxfId="10355"/>
    <tableColumn id="6054" xr3:uid="{00000000-0010-0000-0300-0000A6170000}" name="Column6049" dataDxfId="10354"/>
    <tableColumn id="6055" xr3:uid="{00000000-0010-0000-0300-0000A7170000}" name="Column6050" dataDxfId="10353"/>
    <tableColumn id="6056" xr3:uid="{00000000-0010-0000-0300-0000A8170000}" name="Column6051" dataDxfId="10352"/>
    <tableColumn id="6057" xr3:uid="{00000000-0010-0000-0300-0000A9170000}" name="Column6052" dataDxfId="10351"/>
    <tableColumn id="6058" xr3:uid="{00000000-0010-0000-0300-0000AA170000}" name="Column6053" dataDxfId="10350"/>
    <tableColumn id="6059" xr3:uid="{00000000-0010-0000-0300-0000AB170000}" name="Column6054" dataDxfId="10349"/>
    <tableColumn id="6060" xr3:uid="{00000000-0010-0000-0300-0000AC170000}" name="Column6055" dataDxfId="10348"/>
    <tableColumn id="6061" xr3:uid="{00000000-0010-0000-0300-0000AD170000}" name="Column6056" dataDxfId="10347"/>
    <tableColumn id="6062" xr3:uid="{00000000-0010-0000-0300-0000AE170000}" name="Column6057" dataDxfId="10346"/>
    <tableColumn id="6063" xr3:uid="{00000000-0010-0000-0300-0000AF170000}" name="Column6058" dataDxfId="10345"/>
    <tableColumn id="6064" xr3:uid="{00000000-0010-0000-0300-0000B0170000}" name="Column6059" dataDxfId="10344"/>
    <tableColumn id="6065" xr3:uid="{00000000-0010-0000-0300-0000B1170000}" name="Column6060" dataDxfId="10343"/>
    <tableColumn id="6066" xr3:uid="{00000000-0010-0000-0300-0000B2170000}" name="Column6061" dataDxfId="10342"/>
    <tableColumn id="6067" xr3:uid="{00000000-0010-0000-0300-0000B3170000}" name="Column6062" dataDxfId="10341"/>
    <tableColumn id="6068" xr3:uid="{00000000-0010-0000-0300-0000B4170000}" name="Column6063" dataDxfId="10340"/>
    <tableColumn id="6069" xr3:uid="{00000000-0010-0000-0300-0000B5170000}" name="Column6064" dataDxfId="10339"/>
    <tableColumn id="6070" xr3:uid="{00000000-0010-0000-0300-0000B6170000}" name="Column6065" dataDxfId="10338"/>
    <tableColumn id="6071" xr3:uid="{00000000-0010-0000-0300-0000B7170000}" name="Column6066" dataDxfId="10337"/>
    <tableColumn id="6072" xr3:uid="{00000000-0010-0000-0300-0000B8170000}" name="Column6067" dataDxfId="10336"/>
    <tableColumn id="6073" xr3:uid="{00000000-0010-0000-0300-0000B9170000}" name="Column6068" dataDxfId="10335"/>
    <tableColumn id="6074" xr3:uid="{00000000-0010-0000-0300-0000BA170000}" name="Column6069" dataDxfId="10334"/>
    <tableColumn id="6075" xr3:uid="{00000000-0010-0000-0300-0000BB170000}" name="Column6070" dataDxfId="10333"/>
    <tableColumn id="6076" xr3:uid="{00000000-0010-0000-0300-0000BC170000}" name="Column6071" dataDxfId="10332"/>
    <tableColumn id="6077" xr3:uid="{00000000-0010-0000-0300-0000BD170000}" name="Column6072" dataDxfId="10331"/>
    <tableColumn id="6078" xr3:uid="{00000000-0010-0000-0300-0000BE170000}" name="Column6073" dataDxfId="10330"/>
    <tableColumn id="6079" xr3:uid="{00000000-0010-0000-0300-0000BF170000}" name="Column6074" dataDxfId="10329"/>
    <tableColumn id="6080" xr3:uid="{00000000-0010-0000-0300-0000C0170000}" name="Column6075" dataDxfId="10328"/>
    <tableColumn id="6081" xr3:uid="{00000000-0010-0000-0300-0000C1170000}" name="Column6076" dataDxfId="10327"/>
    <tableColumn id="6082" xr3:uid="{00000000-0010-0000-0300-0000C2170000}" name="Column6077" dataDxfId="10326"/>
    <tableColumn id="6083" xr3:uid="{00000000-0010-0000-0300-0000C3170000}" name="Column6078" dataDxfId="10325"/>
    <tableColumn id="6084" xr3:uid="{00000000-0010-0000-0300-0000C4170000}" name="Column6079" dataDxfId="10324"/>
    <tableColumn id="6085" xr3:uid="{00000000-0010-0000-0300-0000C5170000}" name="Column6080" dataDxfId="10323"/>
    <tableColumn id="6086" xr3:uid="{00000000-0010-0000-0300-0000C6170000}" name="Column6081" dataDxfId="10322"/>
    <tableColumn id="6087" xr3:uid="{00000000-0010-0000-0300-0000C7170000}" name="Column6082" dataDxfId="10321"/>
    <tableColumn id="6088" xr3:uid="{00000000-0010-0000-0300-0000C8170000}" name="Column6083" dataDxfId="10320"/>
    <tableColumn id="6089" xr3:uid="{00000000-0010-0000-0300-0000C9170000}" name="Column6084" dataDxfId="10319"/>
    <tableColumn id="6090" xr3:uid="{00000000-0010-0000-0300-0000CA170000}" name="Column6085" dataDxfId="10318"/>
    <tableColumn id="6091" xr3:uid="{00000000-0010-0000-0300-0000CB170000}" name="Column6086" dataDxfId="10317"/>
    <tableColumn id="6092" xr3:uid="{00000000-0010-0000-0300-0000CC170000}" name="Column6087" dataDxfId="10316"/>
    <tableColumn id="6093" xr3:uid="{00000000-0010-0000-0300-0000CD170000}" name="Column6088" dataDxfId="10315"/>
    <tableColumn id="6094" xr3:uid="{00000000-0010-0000-0300-0000CE170000}" name="Column6089" dataDxfId="10314"/>
    <tableColumn id="6095" xr3:uid="{00000000-0010-0000-0300-0000CF170000}" name="Column6090" dataDxfId="10313"/>
    <tableColumn id="6096" xr3:uid="{00000000-0010-0000-0300-0000D0170000}" name="Column6091" dataDxfId="10312"/>
    <tableColumn id="6097" xr3:uid="{00000000-0010-0000-0300-0000D1170000}" name="Column6092" dataDxfId="10311"/>
    <tableColumn id="6098" xr3:uid="{00000000-0010-0000-0300-0000D2170000}" name="Column6093" dataDxfId="10310"/>
    <tableColumn id="6099" xr3:uid="{00000000-0010-0000-0300-0000D3170000}" name="Column6094" dataDxfId="10309"/>
    <tableColumn id="6100" xr3:uid="{00000000-0010-0000-0300-0000D4170000}" name="Column6095" dataDxfId="10308"/>
    <tableColumn id="6101" xr3:uid="{00000000-0010-0000-0300-0000D5170000}" name="Column6096" dataDxfId="10307"/>
    <tableColumn id="6102" xr3:uid="{00000000-0010-0000-0300-0000D6170000}" name="Column6097" dataDxfId="10306"/>
    <tableColumn id="6103" xr3:uid="{00000000-0010-0000-0300-0000D7170000}" name="Column6098" dataDxfId="10305"/>
    <tableColumn id="6104" xr3:uid="{00000000-0010-0000-0300-0000D8170000}" name="Column6099" dataDxfId="10304"/>
    <tableColumn id="6105" xr3:uid="{00000000-0010-0000-0300-0000D9170000}" name="Column6100" dataDxfId="10303"/>
    <tableColumn id="6106" xr3:uid="{00000000-0010-0000-0300-0000DA170000}" name="Column6101" dataDxfId="10302"/>
    <tableColumn id="6107" xr3:uid="{00000000-0010-0000-0300-0000DB170000}" name="Column6102" dataDxfId="10301"/>
    <tableColumn id="6108" xr3:uid="{00000000-0010-0000-0300-0000DC170000}" name="Column6103" dataDxfId="10300"/>
    <tableColumn id="6109" xr3:uid="{00000000-0010-0000-0300-0000DD170000}" name="Column6104" dataDxfId="10299"/>
    <tableColumn id="6110" xr3:uid="{00000000-0010-0000-0300-0000DE170000}" name="Column6105" dataDxfId="10298"/>
    <tableColumn id="6111" xr3:uid="{00000000-0010-0000-0300-0000DF170000}" name="Column6106" dataDxfId="10297"/>
    <tableColumn id="6112" xr3:uid="{00000000-0010-0000-0300-0000E0170000}" name="Column6107" dataDxfId="10296"/>
    <tableColumn id="6113" xr3:uid="{00000000-0010-0000-0300-0000E1170000}" name="Column6108" dataDxfId="10295"/>
    <tableColumn id="6114" xr3:uid="{00000000-0010-0000-0300-0000E2170000}" name="Column6109" dataDxfId="10294"/>
    <tableColumn id="6115" xr3:uid="{00000000-0010-0000-0300-0000E3170000}" name="Column6110" dataDxfId="10293"/>
    <tableColumn id="6116" xr3:uid="{00000000-0010-0000-0300-0000E4170000}" name="Column6111" dataDxfId="10292"/>
    <tableColumn id="6117" xr3:uid="{00000000-0010-0000-0300-0000E5170000}" name="Column6112" dataDxfId="10291"/>
    <tableColumn id="6118" xr3:uid="{00000000-0010-0000-0300-0000E6170000}" name="Column6113" dataDxfId="10290"/>
    <tableColumn id="6119" xr3:uid="{00000000-0010-0000-0300-0000E7170000}" name="Column6114" dataDxfId="10289"/>
    <tableColumn id="6120" xr3:uid="{00000000-0010-0000-0300-0000E8170000}" name="Column6115" dataDxfId="10288"/>
    <tableColumn id="6121" xr3:uid="{00000000-0010-0000-0300-0000E9170000}" name="Column6116" dataDxfId="10287"/>
    <tableColumn id="6122" xr3:uid="{00000000-0010-0000-0300-0000EA170000}" name="Column6117" dataDxfId="10286"/>
    <tableColumn id="6123" xr3:uid="{00000000-0010-0000-0300-0000EB170000}" name="Column6118" dataDxfId="10285"/>
    <tableColumn id="6124" xr3:uid="{00000000-0010-0000-0300-0000EC170000}" name="Column6119" dataDxfId="10284"/>
    <tableColumn id="6125" xr3:uid="{00000000-0010-0000-0300-0000ED170000}" name="Column6120" dataDxfId="10283"/>
    <tableColumn id="6126" xr3:uid="{00000000-0010-0000-0300-0000EE170000}" name="Column6121" dataDxfId="10282"/>
    <tableColumn id="6127" xr3:uid="{00000000-0010-0000-0300-0000EF170000}" name="Column6122" dataDxfId="10281"/>
    <tableColumn id="6128" xr3:uid="{00000000-0010-0000-0300-0000F0170000}" name="Column6123" dataDxfId="10280"/>
    <tableColumn id="6129" xr3:uid="{00000000-0010-0000-0300-0000F1170000}" name="Column6124" dataDxfId="10279"/>
    <tableColumn id="6130" xr3:uid="{00000000-0010-0000-0300-0000F2170000}" name="Column6125" dataDxfId="10278"/>
    <tableColumn id="6131" xr3:uid="{00000000-0010-0000-0300-0000F3170000}" name="Column6126" dataDxfId="10277"/>
    <tableColumn id="6132" xr3:uid="{00000000-0010-0000-0300-0000F4170000}" name="Column6127" dataDxfId="10276"/>
    <tableColumn id="6133" xr3:uid="{00000000-0010-0000-0300-0000F5170000}" name="Column6128" dataDxfId="10275"/>
    <tableColumn id="6134" xr3:uid="{00000000-0010-0000-0300-0000F6170000}" name="Column6129" dataDxfId="10274"/>
    <tableColumn id="6135" xr3:uid="{00000000-0010-0000-0300-0000F7170000}" name="Column6130" dataDxfId="10273"/>
    <tableColumn id="6136" xr3:uid="{00000000-0010-0000-0300-0000F8170000}" name="Column6131" dataDxfId="10272"/>
    <tableColumn id="6137" xr3:uid="{00000000-0010-0000-0300-0000F9170000}" name="Column6132" dataDxfId="10271"/>
    <tableColumn id="6138" xr3:uid="{00000000-0010-0000-0300-0000FA170000}" name="Column6133" dataDxfId="10270"/>
    <tableColumn id="6139" xr3:uid="{00000000-0010-0000-0300-0000FB170000}" name="Column6134" dataDxfId="10269"/>
    <tableColumn id="6140" xr3:uid="{00000000-0010-0000-0300-0000FC170000}" name="Column6135" dataDxfId="10268"/>
    <tableColumn id="6141" xr3:uid="{00000000-0010-0000-0300-0000FD170000}" name="Column6136" dataDxfId="10267"/>
    <tableColumn id="6142" xr3:uid="{00000000-0010-0000-0300-0000FE170000}" name="Column6137" dataDxfId="10266"/>
    <tableColumn id="6143" xr3:uid="{00000000-0010-0000-0300-0000FF170000}" name="Column6138" dataDxfId="10265"/>
    <tableColumn id="6144" xr3:uid="{00000000-0010-0000-0300-000000180000}" name="Column6139" dataDxfId="10264"/>
    <tableColumn id="6145" xr3:uid="{00000000-0010-0000-0300-000001180000}" name="Column6140" dataDxfId="10263"/>
    <tableColumn id="6146" xr3:uid="{00000000-0010-0000-0300-000002180000}" name="Column6141" dataDxfId="10262"/>
    <tableColumn id="6147" xr3:uid="{00000000-0010-0000-0300-000003180000}" name="Column6142" dataDxfId="10261"/>
    <tableColumn id="6148" xr3:uid="{00000000-0010-0000-0300-000004180000}" name="Column6143" dataDxfId="10260"/>
    <tableColumn id="6149" xr3:uid="{00000000-0010-0000-0300-000005180000}" name="Column6144" dataDxfId="10259"/>
    <tableColumn id="6150" xr3:uid="{00000000-0010-0000-0300-000006180000}" name="Column6145" dataDxfId="10258"/>
    <tableColumn id="6151" xr3:uid="{00000000-0010-0000-0300-000007180000}" name="Column6146" dataDxfId="10257"/>
    <tableColumn id="6152" xr3:uid="{00000000-0010-0000-0300-000008180000}" name="Column6147" dataDxfId="10256"/>
    <tableColumn id="6153" xr3:uid="{00000000-0010-0000-0300-000009180000}" name="Column6148" dataDxfId="10255"/>
    <tableColumn id="6154" xr3:uid="{00000000-0010-0000-0300-00000A180000}" name="Column6149" dataDxfId="10254"/>
    <tableColumn id="6155" xr3:uid="{00000000-0010-0000-0300-00000B180000}" name="Column6150" dataDxfId="10253"/>
    <tableColumn id="6156" xr3:uid="{00000000-0010-0000-0300-00000C180000}" name="Column6151" dataDxfId="10252"/>
    <tableColumn id="6157" xr3:uid="{00000000-0010-0000-0300-00000D180000}" name="Column6152" dataDxfId="10251"/>
    <tableColumn id="6158" xr3:uid="{00000000-0010-0000-0300-00000E180000}" name="Column6153" dataDxfId="10250"/>
    <tableColumn id="6159" xr3:uid="{00000000-0010-0000-0300-00000F180000}" name="Column6154" dataDxfId="10249"/>
    <tableColumn id="6160" xr3:uid="{00000000-0010-0000-0300-000010180000}" name="Column6155" dataDxfId="10248"/>
    <tableColumn id="6161" xr3:uid="{00000000-0010-0000-0300-000011180000}" name="Column6156" dataDxfId="10247"/>
    <tableColumn id="6162" xr3:uid="{00000000-0010-0000-0300-000012180000}" name="Column6157" dataDxfId="10246"/>
    <tableColumn id="6163" xr3:uid="{00000000-0010-0000-0300-000013180000}" name="Column6158" dataDxfId="10245"/>
    <tableColumn id="6164" xr3:uid="{00000000-0010-0000-0300-000014180000}" name="Column6159" dataDxfId="10244"/>
    <tableColumn id="6165" xr3:uid="{00000000-0010-0000-0300-000015180000}" name="Column6160" dataDxfId="10243"/>
    <tableColumn id="6166" xr3:uid="{00000000-0010-0000-0300-000016180000}" name="Column6161" dataDxfId="10242"/>
    <tableColumn id="6167" xr3:uid="{00000000-0010-0000-0300-000017180000}" name="Column6162" dataDxfId="10241"/>
    <tableColumn id="6168" xr3:uid="{00000000-0010-0000-0300-000018180000}" name="Column6163" dataDxfId="10240"/>
    <tableColumn id="6169" xr3:uid="{00000000-0010-0000-0300-000019180000}" name="Column6164" dataDxfId="10239"/>
    <tableColumn id="6170" xr3:uid="{00000000-0010-0000-0300-00001A180000}" name="Column6165" dataDxfId="10238"/>
    <tableColumn id="6171" xr3:uid="{00000000-0010-0000-0300-00001B180000}" name="Column6166" dataDxfId="10237"/>
    <tableColumn id="6172" xr3:uid="{00000000-0010-0000-0300-00001C180000}" name="Column6167" dataDxfId="10236"/>
    <tableColumn id="6173" xr3:uid="{00000000-0010-0000-0300-00001D180000}" name="Column6168" dataDxfId="10235"/>
    <tableColumn id="6174" xr3:uid="{00000000-0010-0000-0300-00001E180000}" name="Column6169" dataDxfId="10234"/>
    <tableColumn id="6175" xr3:uid="{00000000-0010-0000-0300-00001F180000}" name="Column6170" dataDxfId="10233"/>
    <tableColumn id="6176" xr3:uid="{00000000-0010-0000-0300-000020180000}" name="Column6171" dataDxfId="10232"/>
    <tableColumn id="6177" xr3:uid="{00000000-0010-0000-0300-000021180000}" name="Column6172" dataDxfId="10231"/>
    <tableColumn id="6178" xr3:uid="{00000000-0010-0000-0300-000022180000}" name="Column6173" dataDxfId="10230"/>
    <tableColumn id="6179" xr3:uid="{00000000-0010-0000-0300-000023180000}" name="Column6174" dataDxfId="10229"/>
    <tableColumn id="6180" xr3:uid="{00000000-0010-0000-0300-000024180000}" name="Column6175" dataDxfId="10228"/>
    <tableColumn id="6181" xr3:uid="{00000000-0010-0000-0300-000025180000}" name="Column6176" dataDxfId="10227"/>
    <tableColumn id="6182" xr3:uid="{00000000-0010-0000-0300-000026180000}" name="Column6177" dataDxfId="10226"/>
    <tableColumn id="6183" xr3:uid="{00000000-0010-0000-0300-000027180000}" name="Column6178" dataDxfId="10225"/>
    <tableColumn id="6184" xr3:uid="{00000000-0010-0000-0300-000028180000}" name="Column6179" dataDxfId="10224"/>
    <tableColumn id="6185" xr3:uid="{00000000-0010-0000-0300-000029180000}" name="Column6180" dataDxfId="10223"/>
    <tableColumn id="6186" xr3:uid="{00000000-0010-0000-0300-00002A180000}" name="Column6181" dataDxfId="10222"/>
    <tableColumn id="6187" xr3:uid="{00000000-0010-0000-0300-00002B180000}" name="Column6182" dataDxfId="10221"/>
    <tableColumn id="6188" xr3:uid="{00000000-0010-0000-0300-00002C180000}" name="Column6183" dataDxfId="10220"/>
    <tableColumn id="6189" xr3:uid="{00000000-0010-0000-0300-00002D180000}" name="Column6184" dataDxfId="10219"/>
    <tableColumn id="6190" xr3:uid="{00000000-0010-0000-0300-00002E180000}" name="Column6185" dataDxfId="10218"/>
    <tableColumn id="6191" xr3:uid="{00000000-0010-0000-0300-00002F180000}" name="Column6186" dataDxfId="10217"/>
    <tableColumn id="6192" xr3:uid="{00000000-0010-0000-0300-000030180000}" name="Column6187" dataDxfId="10216"/>
    <tableColumn id="6193" xr3:uid="{00000000-0010-0000-0300-000031180000}" name="Column6188" dataDxfId="10215"/>
    <tableColumn id="6194" xr3:uid="{00000000-0010-0000-0300-000032180000}" name="Column6189" dataDxfId="10214"/>
    <tableColumn id="6195" xr3:uid="{00000000-0010-0000-0300-000033180000}" name="Column6190" dataDxfId="10213"/>
    <tableColumn id="6196" xr3:uid="{00000000-0010-0000-0300-000034180000}" name="Column6191" dataDxfId="10212"/>
    <tableColumn id="6197" xr3:uid="{00000000-0010-0000-0300-000035180000}" name="Column6192" dataDxfId="10211"/>
    <tableColumn id="6198" xr3:uid="{00000000-0010-0000-0300-000036180000}" name="Column6193" dataDxfId="10210"/>
    <tableColumn id="6199" xr3:uid="{00000000-0010-0000-0300-000037180000}" name="Column6194" dataDxfId="10209"/>
    <tableColumn id="6200" xr3:uid="{00000000-0010-0000-0300-000038180000}" name="Column6195" dataDxfId="10208"/>
    <tableColumn id="6201" xr3:uid="{00000000-0010-0000-0300-000039180000}" name="Column6196" dataDxfId="10207"/>
    <tableColumn id="6202" xr3:uid="{00000000-0010-0000-0300-00003A180000}" name="Column6197" dataDxfId="10206"/>
    <tableColumn id="6203" xr3:uid="{00000000-0010-0000-0300-00003B180000}" name="Column6198" dataDxfId="10205"/>
    <tableColumn id="6204" xr3:uid="{00000000-0010-0000-0300-00003C180000}" name="Column6199" dataDxfId="10204"/>
    <tableColumn id="6205" xr3:uid="{00000000-0010-0000-0300-00003D180000}" name="Column6200" dataDxfId="10203"/>
    <tableColumn id="6206" xr3:uid="{00000000-0010-0000-0300-00003E180000}" name="Column6201" dataDxfId="10202"/>
    <tableColumn id="6207" xr3:uid="{00000000-0010-0000-0300-00003F180000}" name="Column6202" dataDxfId="10201"/>
    <tableColumn id="6208" xr3:uid="{00000000-0010-0000-0300-000040180000}" name="Column6203" dataDxfId="10200"/>
    <tableColumn id="6209" xr3:uid="{00000000-0010-0000-0300-000041180000}" name="Column6204" dataDxfId="10199"/>
    <tableColumn id="6210" xr3:uid="{00000000-0010-0000-0300-000042180000}" name="Column6205" dataDxfId="10198"/>
    <tableColumn id="6211" xr3:uid="{00000000-0010-0000-0300-000043180000}" name="Column6206" dataDxfId="10197"/>
    <tableColumn id="6212" xr3:uid="{00000000-0010-0000-0300-000044180000}" name="Column6207" dataDxfId="10196"/>
    <tableColumn id="6213" xr3:uid="{00000000-0010-0000-0300-000045180000}" name="Column6208" dataDxfId="10195"/>
    <tableColumn id="6214" xr3:uid="{00000000-0010-0000-0300-000046180000}" name="Column6209" dataDxfId="10194"/>
    <tableColumn id="6215" xr3:uid="{00000000-0010-0000-0300-000047180000}" name="Column6210" dataDxfId="10193"/>
    <tableColumn id="6216" xr3:uid="{00000000-0010-0000-0300-000048180000}" name="Column6211" dataDxfId="10192"/>
    <tableColumn id="6217" xr3:uid="{00000000-0010-0000-0300-000049180000}" name="Column6212" dataDxfId="10191"/>
    <tableColumn id="6218" xr3:uid="{00000000-0010-0000-0300-00004A180000}" name="Column6213" dataDxfId="10190"/>
    <tableColumn id="6219" xr3:uid="{00000000-0010-0000-0300-00004B180000}" name="Column6214" dataDxfId="10189"/>
    <tableColumn id="6220" xr3:uid="{00000000-0010-0000-0300-00004C180000}" name="Column6215" dataDxfId="10188"/>
    <tableColumn id="6221" xr3:uid="{00000000-0010-0000-0300-00004D180000}" name="Column6216" dataDxfId="10187"/>
    <tableColumn id="6222" xr3:uid="{00000000-0010-0000-0300-00004E180000}" name="Column6217" dataDxfId="10186"/>
    <tableColumn id="6223" xr3:uid="{00000000-0010-0000-0300-00004F180000}" name="Column6218" dataDxfId="10185"/>
    <tableColumn id="6224" xr3:uid="{00000000-0010-0000-0300-000050180000}" name="Column6219" dataDxfId="10184"/>
    <tableColumn id="6225" xr3:uid="{00000000-0010-0000-0300-000051180000}" name="Column6220" dataDxfId="10183"/>
    <tableColumn id="6226" xr3:uid="{00000000-0010-0000-0300-000052180000}" name="Column6221" dataDxfId="10182"/>
    <tableColumn id="6227" xr3:uid="{00000000-0010-0000-0300-000053180000}" name="Column6222" dataDxfId="10181"/>
    <tableColumn id="6228" xr3:uid="{00000000-0010-0000-0300-000054180000}" name="Column6223" dataDxfId="10180"/>
    <tableColumn id="6229" xr3:uid="{00000000-0010-0000-0300-000055180000}" name="Column6224" dataDxfId="10179"/>
    <tableColumn id="6230" xr3:uid="{00000000-0010-0000-0300-000056180000}" name="Column6225" dataDxfId="10178"/>
    <tableColumn id="6231" xr3:uid="{00000000-0010-0000-0300-000057180000}" name="Column6226" dataDxfId="10177"/>
    <tableColumn id="6232" xr3:uid="{00000000-0010-0000-0300-000058180000}" name="Column6227" dataDxfId="10176"/>
    <tableColumn id="6233" xr3:uid="{00000000-0010-0000-0300-000059180000}" name="Column6228" dataDxfId="10175"/>
    <tableColumn id="6234" xr3:uid="{00000000-0010-0000-0300-00005A180000}" name="Column6229" dataDxfId="10174"/>
    <tableColumn id="6235" xr3:uid="{00000000-0010-0000-0300-00005B180000}" name="Column6230" dataDxfId="10173"/>
    <tableColumn id="6236" xr3:uid="{00000000-0010-0000-0300-00005C180000}" name="Column6231" dataDxfId="10172"/>
    <tableColumn id="6237" xr3:uid="{00000000-0010-0000-0300-00005D180000}" name="Column6232" dataDxfId="10171"/>
    <tableColumn id="6238" xr3:uid="{00000000-0010-0000-0300-00005E180000}" name="Column6233" dataDxfId="10170"/>
    <tableColumn id="6239" xr3:uid="{00000000-0010-0000-0300-00005F180000}" name="Column6234" dataDxfId="10169"/>
    <tableColumn id="6240" xr3:uid="{00000000-0010-0000-0300-000060180000}" name="Column6235" dataDxfId="10168"/>
    <tableColumn id="6241" xr3:uid="{00000000-0010-0000-0300-000061180000}" name="Column6236" dataDxfId="10167"/>
    <tableColumn id="6242" xr3:uid="{00000000-0010-0000-0300-000062180000}" name="Column6237" dataDxfId="10166"/>
    <tableColumn id="6243" xr3:uid="{00000000-0010-0000-0300-000063180000}" name="Column6238" dataDxfId="10165"/>
    <tableColumn id="6244" xr3:uid="{00000000-0010-0000-0300-000064180000}" name="Column6239" dataDxfId="10164"/>
    <tableColumn id="6245" xr3:uid="{00000000-0010-0000-0300-000065180000}" name="Column6240" dataDxfId="10163"/>
    <tableColumn id="6246" xr3:uid="{00000000-0010-0000-0300-000066180000}" name="Column6241" dataDxfId="10162"/>
    <tableColumn id="6247" xr3:uid="{00000000-0010-0000-0300-000067180000}" name="Column6242" dataDxfId="10161"/>
    <tableColumn id="6248" xr3:uid="{00000000-0010-0000-0300-000068180000}" name="Column6243" dataDxfId="10160"/>
    <tableColumn id="6249" xr3:uid="{00000000-0010-0000-0300-000069180000}" name="Column6244" dataDxfId="10159"/>
    <tableColumn id="6250" xr3:uid="{00000000-0010-0000-0300-00006A180000}" name="Column6245" dataDxfId="10158"/>
    <tableColumn id="6251" xr3:uid="{00000000-0010-0000-0300-00006B180000}" name="Column6246" dataDxfId="10157"/>
    <tableColumn id="6252" xr3:uid="{00000000-0010-0000-0300-00006C180000}" name="Column6247" dataDxfId="10156"/>
    <tableColumn id="6253" xr3:uid="{00000000-0010-0000-0300-00006D180000}" name="Column6248" dataDxfId="10155"/>
    <tableColumn id="6254" xr3:uid="{00000000-0010-0000-0300-00006E180000}" name="Column6249" dataDxfId="10154"/>
    <tableColumn id="6255" xr3:uid="{00000000-0010-0000-0300-00006F180000}" name="Column6250" dataDxfId="10153"/>
    <tableColumn id="6256" xr3:uid="{00000000-0010-0000-0300-000070180000}" name="Column6251" dataDxfId="10152"/>
    <tableColumn id="6257" xr3:uid="{00000000-0010-0000-0300-000071180000}" name="Column6252" dataDxfId="10151"/>
    <tableColumn id="6258" xr3:uid="{00000000-0010-0000-0300-000072180000}" name="Column6253" dataDxfId="10150"/>
    <tableColumn id="6259" xr3:uid="{00000000-0010-0000-0300-000073180000}" name="Column6254" dataDxfId="10149"/>
    <tableColumn id="6260" xr3:uid="{00000000-0010-0000-0300-000074180000}" name="Column6255" dataDxfId="10148"/>
    <tableColumn id="6261" xr3:uid="{00000000-0010-0000-0300-000075180000}" name="Column6256" dataDxfId="10147"/>
    <tableColumn id="6262" xr3:uid="{00000000-0010-0000-0300-000076180000}" name="Column6257" dataDxfId="10146"/>
    <tableColumn id="6263" xr3:uid="{00000000-0010-0000-0300-000077180000}" name="Column6258" dataDxfId="10145"/>
    <tableColumn id="6264" xr3:uid="{00000000-0010-0000-0300-000078180000}" name="Column6259" dataDxfId="10144"/>
    <tableColumn id="6265" xr3:uid="{00000000-0010-0000-0300-000079180000}" name="Column6260" dataDxfId="10143"/>
    <tableColumn id="6266" xr3:uid="{00000000-0010-0000-0300-00007A180000}" name="Column6261" dataDxfId="10142"/>
    <tableColumn id="6267" xr3:uid="{00000000-0010-0000-0300-00007B180000}" name="Column6262" dataDxfId="10141"/>
    <tableColumn id="6268" xr3:uid="{00000000-0010-0000-0300-00007C180000}" name="Column6263" dataDxfId="10140"/>
    <tableColumn id="6269" xr3:uid="{00000000-0010-0000-0300-00007D180000}" name="Column6264" dataDxfId="10139"/>
    <tableColumn id="6270" xr3:uid="{00000000-0010-0000-0300-00007E180000}" name="Column6265" dataDxfId="10138"/>
    <tableColumn id="6271" xr3:uid="{00000000-0010-0000-0300-00007F180000}" name="Column6266" dataDxfId="10137"/>
    <tableColumn id="6272" xr3:uid="{00000000-0010-0000-0300-000080180000}" name="Column6267" dataDxfId="10136"/>
    <tableColumn id="6273" xr3:uid="{00000000-0010-0000-0300-000081180000}" name="Column6268" dataDxfId="10135"/>
    <tableColumn id="6274" xr3:uid="{00000000-0010-0000-0300-000082180000}" name="Column6269" dataDxfId="10134"/>
    <tableColumn id="6275" xr3:uid="{00000000-0010-0000-0300-000083180000}" name="Column6270" dataDxfId="10133"/>
    <tableColumn id="6276" xr3:uid="{00000000-0010-0000-0300-000084180000}" name="Column6271" dataDxfId="10132"/>
    <tableColumn id="6277" xr3:uid="{00000000-0010-0000-0300-000085180000}" name="Column6272" dataDxfId="10131"/>
    <tableColumn id="6278" xr3:uid="{00000000-0010-0000-0300-000086180000}" name="Column6273" dataDxfId="10130"/>
    <tableColumn id="6279" xr3:uid="{00000000-0010-0000-0300-000087180000}" name="Column6274" dataDxfId="10129"/>
    <tableColumn id="6280" xr3:uid="{00000000-0010-0000-0300-000088180000}" name="Column6275" dataDxfId="10128"/>
    <tableColumn id="6281" xr3:uid="{00000000-0010-0000-0300-000089180000}" name="Column6276" dataDxfId="10127"/>
    <tableColumn id="6282" xr3:uid="{00000000-0010-0000-0300-00008A180000}" name="Column6277" dataDxfId="10126"/>
    <tableColumn id="6283" xr3:uid="{00000000-0010-0000-0300-00008B180000}" name="Column6278" dataDxfId="10125"/>
    <tableColumn id="6284" xr3:uid="{00000000-0010-0000-0300-00008C180000}" name="Column6279" dataDxfId="10124"/>
    <tableColumn id="6285" xr3:uid="{00000000-0010-0000-0300-00008D180000}" name="Column6280" dataDxfId="10123"/>
    <tableColumn id="6286" xr3:uid="{00000000-0010-0000-0300-00008E180000}" name="Column6281" dataDxfId="10122"/>
    <tableColumn id="6287" xr3:uid="{00000000-0010-0000-0300-00008F180000}" name="Column6282" dataDxfId="10121"/>
    <tableColumn id="6288" xr3:uid="{00000000-0010-0000-0300-000090180000}" name="Column6283" dataDxfId="10120"/>
    <tableColumn id="6289" xr3:uid="{00000000-0010-0000-0300-000091180000}" name="Column6284" dataDxfId="10119"/>
    <tableColumn id="6290" xr3:uid="{00000000-0010-0000-0300-000092180000}" name="Column6285" dataDxfId="10118"/>
    <tableColumn id="6291" xr3:uid="{00000000-0010-0000-0300-000093180000}" name="Column6286" dataDxfId="10117"/>
    <tableColumn id="6292" xr3:uid="{00000000-0010-0000-0300-000094180000}" name="Column6287" dataDxfId="10116"/>
    <tableColumn id="6293" xr3:uid="{00000000-0010-0000-0300-000095180000}" name="Column6288" dataDxfId="10115"/>
    <tableColumn id="6294" xr3:uid="{00000000-0010-0000-0300-000096180000}" name="Column6289" dataDxfId="10114"/>
    <tableColumn id="6295" xr3:uid="{00000000-0010-0000-0300-000097180000}" name="Column6290" dataDxfId="10113"/>
    <tableColumn id="6296" xr3:uid="{00000000-0010-0000-0300-000098180000}" name="Column6291" dataDxfId="10112"/>
    <tableColumn id="6297" xr3:uid="{00000000-0010-0000-0300-000099180000}" name="Column6292" dataDxfId="10111"/>
    <tableColumn id="6298" xr3:uid="{00000000-0010-0000-0300-00009A180000}" name="Column6293" dataDxfId="10110"/>
    <tableColumn id="6299" xr3:uid="{00000000-0010-0000-0300-00009B180000}" name="Column6294" dataDxfId="10109"/>
    <tableColumn id="6300" xr3:uid="{00000000-0010-0000-0300-00009C180000}" name="Column6295" dataDxfId="10108"/>
    <tableColumn id="6301" xr3:uid="{00000000-0010-0000-0300-00009D180000}" name="Column6296" dataDxfId="10107"/>
    <tableColumn id="6302" xr3:uid="{00000000-0010-0000-0300-00009E180000}" name="Column6297" dataDxfId="10106"/>
    <tableColumn id="6303" xr3:uid="{00000000-0010-0000-0300-00009F180000}" name="Column6298" dataDxfId="10105"/>
    <tableColumn id="6304" xr3:uid="{00000000-0010-0000-0300-0000A0180000}" name="Column6299" dataDxfId="10104"/>
    <tableColumn id="6305" xr3:uid="{00000000-0010-0000-0300-0000A1180000}" name="Column6300" dataDxfId="10103"/>
    <tableColumn id="6306" xr3:uid="{00000000-0010-0000-0300-0000A2180000}" name="Column6301" dataDxfId="10102"/>
    <tableColumn id="6307" xr3:uid="{00000000-0010-0000-0300-0000A3180000}" name="Column6302" dataDxfId="10101"/>
    <tableColumn id="6308" xr3:uid="{00000000-0010-0000-0300-0000A4180000}" name="Column6303" dataDxfId="10100"/>
    <tableColumn id="6309" xr3:uid="{00000000-0010-0000-0300-0000A5180000}" name="Column6304" dataDxfId="10099"/>
    <tableColumn id="6310" xr3:uid="{00000000-0010-0000-0300-0000A6180000}" name="Column6305" dataDxfId="10098"/>
    <tableColumn id="6311" xr3:uid="{00000000-0010-0000-0300-0000A7180000}" name="Column6306" dataDxfId="10097"/>
    <tableColumn id="6312" xr3:uid="{00000000-0010-0000-0300-0000A8180000}" name="Column6307" dataDxfId="10096"/>
    <tableColumn id="6313" xr3:uid="{00000000-0010-0000-0300-0000A9180000}" name="Column6308" dataDxfId="10095"/>
    <tableColumn id="6314" xr3:uid="{00000000-0010-0000-0300-0000AA180000}" name="Column6309" dataDxfId="10094"/>
    <tableColumn id="6315" xr3:uid="{00000000-0010-0000-0300-0000AB180000}" name="Column6310" dataDxfId="10093"/>
    <tableColumn id="6316" xr3:uid="{00000000-0010-0000-0300-0000AC180000}" name="Column6311" dataDxfId="10092"/>
    <tableColumn id="6317" xr3:uid="{00000000-0010-0000-0300-0000AD180000}" name="Column6312" dataDxfId="10091"/>
    <tableColumn id="6318" xr3:uid="{00000000-0010-0000-0300-0000AE180000}" name="Column6313" dataDxfId="10090"/>
    <tableColumn id="6319" xr3:uid="{00000000-0010-0000-0300-0000AF180000}" name="Column6314" dataDxfId="10089"/>
    <tableColumn id="6320" xr3:uid="{00000000-0010-0000-0300-0000B0180000}" name="Column6315" dataDxfId="10088"/>
    <tableColumn id="6321" xr3:uid="{00000000-0010-0000-0300-0000B1180000}" name="Column6316" dataDxfId="10087"/>
    <tableColumn id="6322" xr3:uid="{00000000-0010-0000-0300-0000B2180000}" name="Column6317" dataDxfId="10086"/>
    <tableColumn id="6323" xr3:uid="{00000000-0010-0000-0300-0000B3180000}" name="Column6318" dataDxfId="10085"/>
    <tableColumn id="6324" xr3:uid="{00000000-0010-0000-0300-0000B4180000}" name="Column6319" dataDxfId="10084"/>
    <tableColumn id="6325" xr3:uid="{00000000-0010-0000-0300-0000B5180000}" name="Column6320" dataDxfId="10083"/>
    <tableColumn id="6326" xr3:uid="{00000000-0010-0000-0300-0000B6180000}" name="Column6321" dataDxfId="10082"/>
    <tableColumn id="6327" xr3:uid="{00000000-0010-0000-0300-0000B7180000}" name="Column6322" dataDxfId="10081"/>
    <tableColumn id="6328" xr3:uid="{00000000-0010-0000-0300-0000B8180000}" name="Column6323" dataDxfId="10080"/>
    <tableColumn id="6329" xr3:uid="{00000000-0010-0000-0300-0000B9180000}" name="Column6324" dataDxfId="10079"/>
    <tableColumn id="6330" xr3:uid="{00000000-0010-0000-0300-0000BA180000}" name="Column6325" dataDxfId="10078"/>
    <tableColumn id="6331" xr3:uid="{00000000-0010-0000-0300-0000BB180000}" name="Column6326" dataDxfId="10077"/>
    <tableColumn id="6332" xr3:uid="{00000000-0010-0000-0300-0000BC180000}" name="Column6327" dataDxfId="10076"/>
    <tableColumn id="6333" xr3:uid="{00000000-0010-0000-0300-0000BD180000}" name="Column6328" dataDxfId="10075"/>
    <tableColumn id="6334" xr3:uid="{00000000-0010-0000-0300-0000BE180000}" name="Column6329" dataDxfId="10074"/>
    <tableColumn id="6335" xr3:uid="{00000000-0010-0000-0300-0000BF180000}" name="Column6330" dataDxfId="10073"/>
    <tableColumn id="6336" xr3:uid="{00000000-0010-0000-0300-0000C0180000}" name="Column6331" dataDxfId="10072"/>
    <tableColumn id="6337" xr3:uid="{00000000-0010-0000-0300-0000C1180000}" name="Column6332" dataDxfId="10071"/>
    <tableColumn id="6338" xr3:uid="{00000000-0010-0000-0300-0000C2180000}" name="Column6333" dataDxfId="10070"/>
    <tableColumn id="6339" xr3:uid="{00000000-0010-0000-0300-0000C3180000}" name="Column6334" dataDxfId="10069"/>
    <tableColumn id="6340" xr3:uid="{00000000-0010-0000-0300-0000C4180000}" name="Column6335" dataDxfId="10068"/>
    <tableColumn id="6341" xr3:uid="{00000000-0010-0000-0300-0000C5180000}" name="Column6336" dataDxfId="10067"/>
    <tableColumn id="6342" xr3:uid="{00000000-0010-0000-0300-0000C6180000}" name="Column6337" dataDxfId="10066"/>
    <tableColumn id="6343" xr3:uid="{00000000-0010-0000-0300-0000C7180000}" name="Column6338" dataDxfId="10065"/>
    <tableColumn id="6344" xr3:uid="{00000000-0010-0000-0300-0000C8180000}" name="Column6339" dataDxfId="10064"/>
    <tableColumn id="6345" xr3:uid="{00000000-0010-0000-0300-0000C9180000}" name="Column6340" dataDxfId="10063"/>
    <tableColumn id="6346" xr3:uid="{00000000-0010-0000-0300-0000CA180000}" name="Column6341" dataDxfId="10062"/>
    <tableColumn id="6347" xr3:uid="{00000000-0010-0000-0300-0000CB180000}" name="Column6342" dataDxfId="10061"/>
    <tableColumn id="6348" xr3:uid="{00000000-0010-0000-0300-0000CC180000}" name="Column6343" dataDxfId="10060"/>
    <tableColumn id="6349" xr3:uid="{00000000-0010-0000-0300-0000CD180000}" name="Column6344" dataDxfId="10059"/>
    <tableColumn id="6350" xr3:uid="{00000000-0010-0000-0300-0000CE180000}" name="Column6345" dataDxfId="10058"/>
    <tableColumn id="6351" xr3:uid="{00000000-0010-0000-0300-0000CF180000}" name="Column6346" dataDxfId="10057"/>
    <tableColumn id="6352" xr3:uid="{00000000-0010-0000-0300-0000D0180000}" name="Column6347" dataDxfId="10056"/>
    <tableColumn id="6353" xr3:uid="{00000000-0010-0000-0300-0000D1180000}" name="Column6348" dataDxfId="10055"/>
    <tableColumn id="6354" xr3:uid="{00000000-0010-0000-0300-0000D2180000}" name="Column6349" dataDxfId="10054"/>
    <tableColumn id="6355" xr3:uid="{00000000-0010-0000-0300-0000D3180000}" name="Column6350" dataDxfId="10053"/>
    <tableColumn id="6356" xr3:uid="{00000000-0010-0000-0300-0000D4180000}" name="Column6351" dataDxfId="10052"/>
    <tableColumn id="6357" xr3:uid="{00000000-0010-0000-0300-0000D5180000}" name="Column6352" dataDxfId="10051"/>
    <tableColumn id="6358" xr3:uid="{00000000-0010-0000-0300-0000D6180000}" name="Column6353" dataDxfId="10050"/>
    <tableColumn id="6359" xr3:uid="{00000000-0010-0000-0300-0000D7180000}" name="Column6354" dataDxfId="10049"/>
    <tableColumn id="6360" xr3:uid="{00000000-0010-0000-0300-0000D8180000}" name="Column6355" dataDxfId="10048"/>
    <tableColumn id="6361" xr3:uid="{00000000-0010-0000-0300-0000D9180000}" name="Column6356" dataDxfId="10047"/>
    <tableColumn id="6362" xr3:uid="{00000000-0010-0000-0300-0000DA180000}" name="Column6357" dataDxfId="10046"/>
    <tableColumn id="6363" xr3:uid="{00000000-0010-0000-0300-0000DB180000}" name="Column6358" dataDxfId="10045"/>
    <tableColumn id="6364" xr3:uid="{00000000-0010-0000-0300-0000DC180000}" name="Column6359" dataDxfId="10044"/>
    <tableColumn id="6365" xr3:uid="{00000000-0010-0000-0300-0000DD180000}" name="Column6360" dataDxfId="10043"/>
    <tableColumn id="6366" xr3:uid="{00000000-0010-0000-0300-0000DE180000}" name="Column6361" dataDxfId="10042"/>
    <tableColumn id="6367" xr3:uid="{00000000-0010-0000-0300-0000DF180000}" name="Column6362" dataDxfId="10041"/>
    <tableColumn id="6368" xr3:uid="{00000000-0010-0000-0300-0000E0180000}" name="Column6363" dataDxfId="10040"/>
    <tableColumn id="6369" xr3:uid="{00000000-0010-0000-0300-0000E1180000}" name="Column6364" dataDxfId="10039"/>
    <tableColumn id="6370" xr3:uid="{00000000-0010-0000-0300-0000E2180000}" name="Column6365" dataDxfId="10038"/>
    <tableColumn id="6371" xr3:uid="{00000000-0010-0000-0300-0000E3180000}" name="Column6366" dataDxfId="10037"/>
    <tableColumn id="6372" xr3:uid="{00000000-0010-0000-0300-0000E4180000}" name="Column6367" dataDxfId="10036"/>
    <tableColumn id="6373" xr3:uid="{00000000-0010-0000-0300-0000E5180000}" name="Column6368" dataDxfId="10035"/>
    <tableColumn id="6374" xr3:uid="{00000000-0010-0000-0300-0000E6180000}" name="Column6369" dataDxfId="10034"/>
    <tableColumn id="6375" xr3:uid="{00000000-0010-0000-0300-0000E7180000}" name="Column6370" dataDxfId="10033"/>
    <tableColumn id="6376" xr3:uid="{00000000-0010-0000-0300-0000E8180000}" name="Column6371" dataDxfId="10032"/>
    <tableColumn id="6377" xr3:uid="{00000000-0010-0000-0300-0000E9180000}" name="Column6372" dataDxfId="10031"/>
    <tableColumn id="6378" xr3:uid="{00000000-0010-0000-0300-0000EA180000}" name="Column6373" dataDxfId="10030"/>
    <tableColumn id="6379" xr3:uid="{00000000-0010-0000-0300-0000EB180000}" name="Column6374" dataDxfId="10029"/>
    <tableColumn id="6380" xr3:uid="{00000000-0010-0000-0300-0000EC180000}" name="Column6375" dataDxfId="10028"/>
    <tableColumn id="6381" xr3:uid="{00000000-0010-0000-0300-0000ED180000}" name="Column6376" dataDxfId="10027"/>
    <tableColumn id="6382" xr3:uid="{00000000-0010-0000-0300-0000EE180000}" name="Column6377" dataDxfId="10026"/>
    <tableColumn id="6383" xr3:uid="{00000000-0010-0000-0300-0000EF180000}" name="Column6378" dataDxfId="10025"/>
    <tableColumn id="6384" xr3:uid="{00000000-0010-0000-0300-0000F0180000}" name="Column6379" dataDxfId="10024"/>
    <tableColumn id="6385" xr3:uid="{00000000-0010-0000-0300-0000F1180000}" name="Column6380" dataDxfId="10023"/>
    <tableColumn id="6386" xr3:uid="{00000000-0010-0000-0300-0000F2180000}" name="Column6381" dataDxfId="10022"/>
    <tableColumn id="6387" xr3:uid="{00000000-0010-0000-0300-0000F3180000}" name="Column6382" dataDxfId="10021"/>
    <tableColumn id="6388" xr3:uid="{00000000-0010-0000-0300-0000F4180000}" name="Column6383" dataDxfId="10020"/>
    <tableColumn id="6389" xr3:uid="{00000000-0010-0000-0300-0000F5180000}" name="Column6384" dataDxfId="10019"/>
    <tableColumn id="6390" xr3:uid="{00000000-0010-0000-0300-0000F6180000}" name="Column6385" dataDxfId="10018"/>
    <tableColumn id="6391" xr3:uid="{00000000-0010-0000-0300-0000F7180000}" name="Column6386" dataDxfId="10017"/>
    <tableColumn id="6392" xr3:uid="{00000000-0010-0000-0300-0000F8180000}" name="Column6387" dataDxfId="10016"/>
    <tableColumn id="6393" xr3:uid="{00000000-0010-0000-0300-0000F9180000}" name="Column6388" dataDxfId="10015"/>
    <tableColumn id="6394" xr3:uid="{00000000-0010-0000-0300-0000FA180000}" name="Column6389" dataDxfId="10014"/>
    <tableColumn id="6395" xr3:uid="{00000000-0010-0000-0300-0000FB180000}" name="Column6390" dataDxfId="10013"/>
    <tableColumn id="6396" xr3:uid="{00000000-0010-0000-0300-0000FC180000}" name="Column6391" dataDxfId="10012"/>
    <tableColumn id="6397" xr3:uid="{00000000-0010-0000-0300-0000FD180000}" name="Column6392" dataDxfId="10011"/>
    <tableColumn id="6398" xr3:uid="{00000000-0010-0000-0300-0000FE180000}" name="Column6393" dataDxfId="10010"/>
    <tableColumn id="6399" xr3:uid="{00000000-0010-0000-0300-0000FF180000}" name="Column6394" dataDxfId="10009"/>
    <tableColumn id="6400" xr3:uid="{00000000-0010-0000-0300-000000190000}" name="Column6395" dataDxfId="10008"/>
    <tableColumn id="6401" xr3:uid="{00000000-0010-0000-0300-000001190000}" name="Column6396" dataDxfId="10007"/>
    <tableColumn id="6402" xr3:uid="{00000000-0010-0000-0300-000002190000}" name="Column6397" dataDxfId="10006"/>
    <tableColumn id="6403" xr3:uid="{00000000-0010-0000-0300-000003190000}" name="Column6398" dataDxfId="10005"/>
    <tableColumn id="6404" xr3:uid="{00000000-0010-0000-0300-000004190000}" name="Column6399" dataDxfId="10004"/>
    <tableColumn id="6405" xr3:uid="{00000000-0010-0000-0300-000005190000}" name="Column6400" dataDxfId="10003"/>
    <tableColumn id="6406" xr3:uid="{00000000-0010-0000-0300-000006190000}" name="Column6401" dataDxfId="10002"/>
    <tableColumn id="6407" xr3:uid="{00000000-0010-0000-0300-000007190000}" name="Column6402" dataDxfId="10001"/>
    <tableColumn id="6408" xr3:uid="{00000000-0010-0000-0300-000008190000}" name="Column6403" dataDxfId="10000"/>
    <tableColumn id="6409" xr3:uid="{00000000-0010-0000-0300-000009190000}" name="Column6404" dataDxfId="9999"/>
    <tableColumn id="6410" xr3:uid="{00000000-0010-0000-0300-00000A190000}" name="Column6405" dataDxfId="9998"/>
    <tableColumn id="6411" xr3:uid="{00000000-0010-0000-0300-00000B190000}" name="Column6406" dataDxfId="9997"/>
    <tableColumn id="6412" xr3:uid="{00000000-0010-0000-0300-00000C190000}" name="Column6407" dataDxfId="9996"/>
    <tableColumn id="6413" xr3:uid="{00000000-0010-0000-0300-00000D190000}" name="Column6408" dataDxfId="9995"/>
    <tableColumn id="6414" xr3:uid="{00000000-0010-0000-0300-00000E190000}" name="Column6409" dataDxfId="9994"/>
    <tableColumn id="6415" xr3:uid="{00000000-0010-0000-0300-00000F190000}" name="Column6410" dataDxfId="9993"/>
    <tableColumn id="6416" xr3:uid="{00000000-0010-0000-0300-000010190000}" name="Column6411" dataDxfId="9992"/>
    <tableColumn id="6417" xr3:uid="{00000000-0010-0000-0300-000011190000}" name="Column6412" dataDxfId="9991"/>
    <tableColumn id="6418" xr3:uid="{00000000-0010-0000-0300-000012190000}" name="Column6413" dataDxfId="9990"/>
    <tableColumn id="6419" xr3:uid="{00000000-0010-0000-0300-000013190000}" name="Column6414" dataDxfId="9989"/>
    <tableColumn id="6420" xr3:uid="{00000000-0010-0000-0300-000014190000}" name="Column6415" dataDxfId="9988"/>
    <tableColumn id="6421" xr3:uid="{00000000-0010-0000-0300-000015190000}" name="Column6416" dataDxfId="9987"/>
    <tableColumn id="6422" xr3:uid="{00000000-0010-0000-0300-000016190000}" name="Column6417" dataDxfId="9986"/>
    <tableColumn id="6423" xr3:uid="{00000000-0010-0000-0300-000017190000}" name="Column6418" dataDxfId="9985"/>
    <tableColumn id="6424" xr3:uid="{00000000-0010-0000-0300-000018190000}" name="Column6419" dataDxfId="9984"/>
    <tableColumn id="6425" xr3:uid="{00000000-0010-0000-0300-000019190000}" name="Column6420" dataDxfId="9983"/>
    <tableColumn id="6426" xr3:uid="{00000000-0010-0000-0300-00001A190000}" name="Column6421" dataDxfId="9982"/>
    <tableColumn id="6427" xr3:uid="{00000000-0010-0000-0300-00001B190000}" name="Column6422" dataDxfId="9981"/>
    <tableColumn id="6428" xr3:uid="{00000000-0010-0000-0300-00001C190000}" name="Column6423" dataDxfId="9980"/>
    <tableColumn id="6429" xr3:uid="{00000000-0010-0000-0300-00001D190000}" name="Column6424" dataDxfId="9979"/>
    <tableColumn id="6430" xr3:uid="{00000000-0010-0000-0300-00001E190000}" name="Column6425" dataDxfId="9978"/>
    <tableColumn id="6431" xr3:uid="{00000000-0010-0000-0300-00001F190000}" name="Column6426" dataDxfId="9977"/>
    <tableColumn id="6432" xr3:uid="{00000000-0010-0000-0300-000020190000}" name="Column6427" dataDxfId="9976"/>
    <tableColumn id="6433" xr3:uid="{00000000-0010-0000-0300-000021190000}" name="Column6428" dataDxfId="9975"/>
    <tableColumn id="6434" xr3:uid="{00000000-0010-0000-0300-000022190000}" name="Column6429" dataDxfId="9974"/>
    <tableColumn id="6435" xr3:uid="{00000000-0010-0000-0300-000023190000}" name="Column6430" dataDxfId="9973"/>
    <tableColumn id="6436" xr3:uid="{00000000-0010-0000-0300-000024190000}" name="Column6431" dataDxfId="9972"/>
    <tableColumn id="6437" xr3:uid="{00000000-0010-0000-0300-000025190000}" name="Column6432" dataDxfId="9971"/>
    <tableColumn id="6438" xr3:uid="{00000000-0010-0000-0300-000026190000}" name="Column6433" dataDxfId="9970"/>
    <tableColumn id="6439" xr3:uid="{00000000-0010-0000-0300-000027190000}" name="Column6434" dataDxfId="9969"/>
    <tableColumn id="6440" xr3:uid="{00000000-0010-0000-0300-000028190000}" name="Column6435" dataDxfId="9968"/>
    <tableColumn id="6441" xr3:uid="{00000000-0010-0000-0300-000029190000}" name="Column6436" dataDxfId="9967"/>
    <tableColumn id="6442" xr3:uid="{00000000-0010-0000-0300-00002A190000}" name="Column6437" dataDxfId="9966"/>
    <tableColumn id="6443" xr3:uid="{00000000-0010-0000-0300-00002B190000}" name="Column6438" dataDxfId="9965"/>
    <tableColumn id="6444" xr3:uid="{00000000-0010-0000-0300-00002C190000}" name="Column6439" dataDxfId="9964"/>
    <tableColumn id="6445" xr3:uid="{00000000-0010-0000-0300-00002D190000}" name="Column6440" dataDxfId="9963"/>
    <tableColumn id="6446" xr3:uid="{00000000-0010-0000-0300-00002E190000}" name="Column6441" dataDxfId="9962"/>
    <tableColumn id="6447" xr3:uid="{00000000-0010-0000-0300-00002F190000}" name="Column6442" dataDxfId="9961"/>
    <tableColumn id="6448" xr3:uid="{00000000-0010-0000-0300-000030190000}" name="Column6443" dataDxfId="9960"/>
    <tableColumn id="6449" xr3:uid="{00000000-0010-0000-0300-000031190000}" name="Column6444" dataDxfId="9959"/>
    <tableColumn id="6450" xr3:uid="{00000000-0010-0000-0300-000032190000}" name="Column6445" dataDxfId="9958"/>
    <tableColumn id="6451" xr3:uid="{00000000-0010-0000-0300-000033190000}" name="Column6446" dataDxfId="9957"/>
    <tableColumn id="6452" xr3:uid="{00000000-0010-0000-0300-000034190000}" name="Column6447" dataDxfId="9956"/>
    <tableColumn id="6453" xr3:uid="{00000000-0010-0000-0300-000035190000}" name="Column6448" dataDxfId="9955"/>
    <tableColumn id="6454" xr3:uid="{00000000-0010-0000-0300-000036190000}" name="Column6449" dataDxfId="9954"/>
    <tableColumn id="6455" xr3:uid="{00000000-0010-0000-0300-000037190000}" name="Column6450" dataDxfId="9953"/>
    <tableColumn id="6456" xr3:uid="{00000000-0010-0000-0300-000038190000}" name="Column6451" dataDxfId="9952"/>
    <tableColumn id="6457" xr3:uid="{00000000-0010-0000-0300-000039190000}" name="Column6452" dataDxfId="9951"/>
    <tableColumn id="6458" xr3:uid="{00000000-0010-0000-0300-00003A190000}" name="Column6453" dataDxfId="9950"/>
    <tableColumn id="6459" xr3:uid="{00000000-0010-0000-0300-00003B190000}" name="Column6454" dataDxfId="9949"/>
    <tableColumn id="6460" xr3:uid="{00000000-0010-0000-0300-00003C190000}" name="Column6455" dataDxfId="9948"/>
    <tableColumn id="6461" xr3:uid="{00000000-0010-0000-0300-00003D190000}" name="Column6456" dataDxfId="9947"/>
    <tableColumn id="6462" xr3:uid="{00000000-0010-0000-0300-00003E190000}" name="Column6457" dataDxfId="9946"/>
    <tableColumn id="6463" xr3:uid="{00000000-0010-0000-0300-00003F190000}" name="Column6458" dataDxfId="9945"/>
    <tableColumn id="6464" xr3:uid="{00000000-0010-0000-0300-000040190000}" name="Column6459" dataDxfId="9944"/>
    <tableColumn id="6465" xr3:uid="{00000000-0010-0000-0300-000041190000}" name="Column6460" dataDxfId="9943"/>
    <tableColumn id="6466" xr3:uid="{00000000-0010-0000-0300-000042190000}" name="Column6461" dataDxfId="9942"/>
    <tableColumn id="6467" xr3:uid="{00000000-0010-0000-0300-000043190000}" name="Column6462" dataDxfId="9941"/>
    <tableColumn id="6468" xr3:uid="{00000000-0010-0000-0300-000044190000}" name="Column6463" dataDxfId="9940"/>
    <tableColumn id="6469" xr3:uid="{00000000-0010-0000-0300-000045190000}" name="Column6464" dataDxfId="9939"/>
    <tableColumn id="6470" xr3:uid="{00000000-0010-0000-0300-000046190000}" name="Column6465" dataDxfId="9938"/>
    <tableColumn id="6471" xr3:uid="{00000000-0010-0000-0300-000047190000}" name="Column6466" dataDxfId="9937"/>
    <tableColumn id="6472" xr3:uid="{00000000-0010-0000-0300-000048190000}" name="Column6467" dataDxfId="9936"/>
    <tableColumn id="6473" xr3:uid="{00000000-0010-0000-0300-000049190000}" name="Column6468" dataDxfId="9935"/>
    <tableColumn id="6474" xr3:uid="{00000000-0010-0000-0300-00004A190000}" name="Column6469" dataDxfId="9934"/>
    <tableColumn id="6475" xr3:uid="{00000000-0010-0000-0300-00004B190000}" name="Column6470" dataDxfId="9933"/>
    <tableColumn id="6476" xr3:uid="{00000000-0010-0000-0300-00004C190000}" name="Column6471" dataDxfId="9932"/>
    <tableColumn id="6477" xr3:uid="{00000000-0010-0000-0300-00004D190000}" name="Column6472" dataDxfId="9931"/>
    <tableColumn id="6478" xr3:uid="{00000000-0010-0000-0300-00004E190000}" name="Column6473" dataDxfId="9930"/>
    <tableColumn id="6479" xr3:uid="{00000000-0010-0000-0300-00004F190000}" name="Column6474" dataDxfId="9929"/>
    <tableColumn id="6480" xr3:uid="{00000000-0010-0000-0300-000050190000}" name="Column6475" dataDxfId="9928"/>
    <tableColumn id="6481" xr3:uid="{00000000-0010-0000-0300-000051190000}" name="Column6476" dataDxfId="9927"/>
    <tableColumn id="6482" xr3:uid="{00000000-0010-0000-0300-000052190000}" name="Column6477" dataDxfId="9926"/>
    <tableColumn id="6483" xr3:uid="{00000000-0010-0000-0300-000053190000}" name="Column6478" dataDxfId="9925"/>
    <tableColumn id="6484" xr3:uid="{00000000-0010-0000-0300-000054190000}" name="Column6479" dataDxfId="9924"/>
    <tableColumn id="6485" xr3:uid="{00000000-0010-0000-0300-000055190000}" name="Column6480" dataDxfId="9923"/>
    <tableColumn id="6486" xr3:uid="{00000000-0010-0000-0300-000056190000}" name="Column6481" dataDxfId="9922"/>
    <tableColumn id="6487" xr3:uid="{00000000-0010-0000-0300-000057190000}" name="Column6482" dataDxfId="9921"/>
    <tableColumn id="6488" xr3:uid="{00000000-0010-0000-0300-000058190000}" name="Column6483" dataDxfId="9920"/>
    <tableColumn id="6489" xr3:uid="{00000000-0010-0000-0300-000059190000}" name="Column6484" dataDxfId="9919"/>
    <tableColumn id="6490" xr3:uid="{00000000-0010-0000-0300-00005A190000}" name="Column6485" dataDxfId="9918"/>
    <tableColumn id="6491" xr3:uid="{00000000-0010-0000-0300-00005B190000}" name="Column6486" dataDxfId="9917"/>
    <tableColumn id="6492" xr3:uid="{00000000-0010-0000-0300-00005C190000}" name="Column6487" dataDxfId="9916"/>
    <tableColumn id="6493" xr3:uid="{00000000-0010-0000-0300-00005D190000}" name="Column6488" dataDxfId="9915"/>
    <tableColumn id="6494" xr3:uid="{00000000-0010-0000-0300-00005E190000}" name="Column6489" dataDxfId="9914"/>
    <tableColumn id="6495" xr3:uid="{00000000-0010-0000-0300-00005F190000}" name="Column6490" dataDxfId="9913"/>
    <tableColumn id="6496" xr3:uid="{00000000-0010-0000-0300-000060190000}" name="Column6491" dataDxfId="9912"/>
    <tableColumn id="6497" xr3:uid="{00000000-0010-0000-0300-000061190000}" name="Column6492" dataDxfId="9911"/>
    <tableColumn id="6498" xr3:uid="{00000000-0010-0000-0300-000062190000}" name="Column6493" dataDxfId="9910"/>
    <tableColumn id="6499" xr3:uid="{00000000-0010-0000-0300-000063190000}" name="Column6494" dataDxfId="9909"/>
    <tableColumn id="6500" xr3:uid="{00000000-0010-0000-0300-000064190000}" name="Column6495" dataDxfId="9908"/>
    <tableColumn id="6501" xr3:uid="{00000000-0010-0000-0300-000065190000}" name="Column6496" dataDxfId="9907"/>
    <tableColumn id="6502" xr3:uid="{00000000-0010-0000-0300-000066190000}" name="Column6497" dataDxfId="9906"/>
    <tableColumn id="6503" xr3:uid="{00000000-0010-0000-0300-000067190000}" name="Column6498" dataDxfId="9905"/>
    <tableColumn id="6504" xr3:uid="{00000000-0010-0000-0300-000068190000}" name="Column6499" dataDxfId="9904"/>
    <tableColumn id="6505" xr3:uid="{00000000-0010-0000-0300-000069190000}" name="Column6500" dataDxfId="9903"/>
    <tableColumn id="6506" xr3:uid="{00000000-0010-0000-0300-00006A190000}" name="Column6501" dataDxfId="9902"/>
    <tableColumn id="6507" xr3:uid="{00000000-0010-0000-0300-00006B190000}" name="Column6502" dataDxfId="9901"/>
    <tableColumn id="6508" xr3:uid="{00000000-0010-0000-0300-00006C190000}" name="Column6503" dataDxfId="9900"/>
    <tableColumn id="6509" xr3:uid="{00000000-0010-0000-0300-00006D190000}" name="Column6504" dataDxfId="9899"/>
    <tableColumn id="6510" xr3:uid="{00000000-0010-0000-0300-00006E190000}" name="Column6505" dataDxfId="9898"/>
    <tableColumn id="6511" xr3:uid="{00000000-0010-0000-0300-00006F190000}" name="Column6506" dataDxfId="9897"/>
    <tableColumn id="6512" xr3:uid="{00000000-0010-0000-0300-000070190000}" name="Column6507" dataDxfId="9896"/>
    <tableColumn id="6513" xr3:uid="{00000000-0010-0000-0300-000071190000}" name="Column6508" dataDxfId="9895"/>
    <tableColumn id="6514" xr3:uid="{00000000-0010-0000-0300-000072190000}" name="Column6509" dataDxfId="9894"/>
    <tableColumn id="6515" xr3:uid="{00000000-0010-0000-0300-000073190000}" name="Column6510" dataDxfId="9893"/>
    <tableColumn id="6516" xr3:uid="{00000000-0010-0000-0300-000074190000}" name="Column6511" dataDxfId="9892"/>
    <tableColumn id="6517" xr3:uid="{00000000-0010-0000-0300-000075190000}" name="Column6512" dataDxfId="9891"/>
    <tableColumn id="6518" xr3:uid="{00000000-0010-0000-0300-000076190000}" name="Column6513" dataDxfId="9890"/>
    <tableColumn id="6519" xr3:uid="{00000000-0010-0000-0300-000077190000}" name="Column6514" dataDxfId="9889"/>
    <tableColumn id="6520" xr3:uid="{00000000-0010-0000-0300-000078190000}" name="Column6515" dataDxfId="9888"/>
    <tableColumn id="6521" xr3:uid="{00000000-0010-0000-0300-000079190000}" name="Column6516" dataDxfId="9887"/>
    <tableColumn id="6522" xr3:uid="{00000000-0010-0000-0300-00007A190000}" name="Column6517" dataDxfId="9886"/>
    <tableColumn id="6523" xr3:uid="{00000000-0010-0000-0300-00007B190000}" name="Column6518" dataDxfId="9885"/>
    <tableColumn id="6524" xr3:uid="{00000000-0010-0000-0300-00007C190000}" name="Column6519" dataDxfId="9884"/>
    <tableColumn id="6525" xr3:uid="{00000000-0010-0000-0300-00007D190000}" name="Column6520" dataDxfId="9883"/>
    <tableColumn id="6526" xr3:uid="{00000000-0010-0000-0300-00007E190000}" name="Column6521" dataDxfId="9882"/>
    <tableColumn id="6527" xr3:uid="{00000000-0010-0000-0300-00007F190000}" name="Column6522" dataDxfId="9881"/>
    <tableColumn id="6528" xr3:uid="{00000000-0010-0000-0300-000080190000}" name="Column6523" dataDxfId="9880"/>
    <tableColumn id="6529" xr3:uid="{00000000-0010-0000-0300-000081190000}" name="Column6524" dataDxfId="9879"/>
    <tableColumn id="6530" xr3:uid="{00000000-0010-0000-0300-000082190000}" name="Column6525" dataDxfId="9878"/>
    <tableColumn id="6531" xr3:uid="{00000000-0010-0000-0300-000083190000}" name="Column6526" dataDxfId="9877"/>
    <tableColumn id="6532" xr3:uid="{00000000-0010-0000-0300-000084190000}" name="Column6527" dataDxfId="9876"/>
    <tableColumn id="6533" xr3:uid="{00000000-0010-0000-0300-000085190000}" name="Column6528" dataDxfId="9875"/>
    <tableColumn id="6534" xr3:uid="{00000000-0010-0000-0300-000086190000}" name="Column6529" dataDxfId="9874"/>
    <tableColumn id="6535" xr3:uid="{00000000-0010-0000-0300-000087190000}" name="Column6530" dataDxfId="9873"/>
    <tableColumn id="6536" xr3:uid="{00000000-0010-0000-0300-000088190000}" name="Column6531" dataDxfId="9872"/>
    <tableColumn id="6537" xr3:uid="{00000000-0010-0000-0300-000089190000}" name="Column6532" dataDxfId="9871"/>
    <tableColumn id="6538" xr3:uid="{00000000-0010-0000-0300-00008A190000}" name="Column6533" dataDxfId="9870"/>
    <tableColumn id="6539" xr3:uid="{00000000-0010-0000-0300-00008B190000}" name="Column6534" dataDxfId="9869"/>
    <tableColumn id="6540" xr3:uid="{00000000-0010-0000-0300-00008C190000}" name="Column6535" dataDxfId="9868"/>
    <tableColumn id="6541" xr3:uid="{00000000-0010-0000-0300-00008D190000}" name="Column6536" dataDxfId="9867"/>
    <tableColumn id="6542" xr3:uid="{00000000-0010-0000-0300-00008E190000}" name="Column6537" dataDxfId="9866"/>
    <tableColumn id="6543" xr3:uid="{00000000-0010-0000-0300-00008F190000}" name="Column6538" dataDxfId="9865"/>
    <tableColumn id="6544" xr3:uid="{00000000-0010-0000-0300-000090190000}" name="Column6539" dataDxfId="9864"/>
    <tableColumn id="6545" xr3:uid="{00000000-0010-0000-0300-000091190000}" name="Column6540" dataDxfId="9863"/>
    <tableColumn id="6546" xr3:uid="{00000000-0010-0000-0300-000092190000}" name="Column6541" dataDxfId="9862"/>
    <tableColumn id="6547" xr3:uid="{00000000-0010-0000-0300-000093190000}" name="Column6542" dataDxfId="9861"/>
    <tableColumn id="6548" xr3:uid="{00000000-0010-0000-0300-000094190000}" name="Column6543" dataDxfId="9860"/>
    <tableColumn id="6549" xr3:uid="{00000000-0010-0000-0300-000095190000}" name="Column6544" dataDxfId="9859"/>
    <tableColumn id="6550" xr3:uid="{00000000-0010-0000-0300-000096190000}" name="Column6545" dataDxfId="9858"/>
    <tableColumn id="6551" xr3:uid="{00000000-0010-0000-0300-000097190000}" name="Column6546" dataDxfId="9857"/>
    <tableColumn id="6552" xr3:uid="{00000000-0010-0000-0300-000098190000}" name="Column6547" dataDxfId="9856"/>
    <tableColumn id="6553" xr3:uid="{00000000-0010-0000-0300-000099190000}" name="Column6548" dataDxfId="9855"/>
    <tableColumn id="6554" xr3:uid="{00000000-0010-0000-0300-00009A190000}" name="Column6549" dataDxfId="9854"/>
    <tableColumn id="6555" xr3:uid="{00000000-0010-0000-0300-00009B190000}" name="Column6550" dataDxfId="9853"/>
    <tableColumn id="6556" xr3:uid="{00000000-0010-0000-0300-00009C190000}" name="Column6551" dataDxfId="9852"/>
    <tableColumn id="6557" xr3:uid="{00000000-0010-0000-0300-00009D190000}" name="Column6552" dataDxfId="9851"/>
    <tableColumn id="6558" xr3:uid="{00000000-0010-0000-0300-00009E190000}" name="Column6553" dataDxfId="9850"/>
    <tableColumn id="6559" xr3:uid="{00000000-0010-0000-0300-00009F190000}" name="Column6554" dataDxfId="9849"/>
    <tableColumn id="6560" xr3:uid="{00000000-0010-0000-0300-0000A0190000}" name="Column6555" dataDxfId="9848"/>
    <tableColumn id="6561" xr3:uid="{00000000-0010-0000-0300-0000A1190000}" name="Column6556" dataDxfId="9847"/>
    <tableColumn id="6562" xr3:uid="{00000000-0010-0000-0300-0000A2190000}" name="Column6557" dataDxfId="9846"/>
    <tableColumn id="6563" xr3:uid="{00000000-0010-0000-0300-0000A3190000}" name="Column6558" dataDxfId="9845"/>
    <tableColumn id="6564" xr3:uid="{00000000-0010-0000-0300-0000A4190000}" name="Column6559" dataDxfId="9844"/>
    <tableColumn id="6565" xr3:uid="{00000000-0010-0000-0300-0000A5190000}" name="Column6560" dataDxfId="9843"/>
    <tableColumn id="6566" xr3:uid="{00000000-0010-0000-0300-0000A6190000}" name="Column6561" dataDxfId="9842"/>
    <tableColumn id="6567" xr3:uid="{00000000-0010-0000-0300-0000A7190000}" name="Column6562" dataDxfId="9841"/>
    <tableColumn id="6568" xr3:uid="{00000000-0010-0000-0300-0000A8190000}" name="Column6563" dataDxfId="9840"/>
    <tableColumn id="6569" xr3:uid="{00000000-0010-0000-0300-0000A9190000}" name="Column6564" dataDxfId="9839"/>
    <tableColumn id="6570" xr3:uid="{00000000-0010-0000-0300-0000AA190000}" name="Column6565" dataDxfId="9838"/>
    <tableColumn id="6571" xr3:uid="{00000000-0010-0000-0300-0000AB190000}" name="Column6566" dataDxfId="9837"/>
    <tableColumn id="6572" xr3:uid="{00000000-0010-0000-0300-0000AC190000}" name="Column6567" dataDxfId="9836"/>
    <tableColumn id="6573" xr3:uid="{00000000-0010-0000-0300-0000AD190000}" name="Column6568" dataDxfId="9835"/>
    <tableColumn id="6574" xr3:uid="{00000000-0010-0000-0300-0000AE190000}" name="Column6569" dataDxfId="9834"/>
    <tableColumn id="6575" xr3:uid="{00000000-0010-0000-0300-0000AF190000}" name="Column6570" dataDxfId="9833"/>
    <tableColumn id="6576" xr3:uid="{00000000-0010-0000-0300-0000B0190000}" name="Column6571" dataDxfId="9832"/>
    <tableColumn id="6577" xr3:uid="{00000000-0010-0000-0300-0000B1190000}" name="Column6572" dataDxfId="9831"/>
    <tableColumn id="6578" xr3:uid="{00000000-0010-0000-0300-0000B2190000}" name="Column6573" dataDxfId="9830"/>
    <tableColumn id="6579" xr3:uid="{00000000-0010-0000-0300-0000B3190000}" name="Column6574" dataDxfId="9829"/>
    <tableColumn id="6580" xr3:uid="{00000000-0010-0000-0300-0000B4190000}" name="Column6575" dataDxfId="9828"/>
    <tableColumn id="6581" xr3:uid="{00000000-0010-0000-0300-0000B5190000}" name="Column6576" dataDxfId="9827"/>
    <tableColumn id="6582" xr3:uid="{00000000-0010-0000-0300-0000B6190000}" name="Column6577" dataDxfId="9826"/>
    <tableColumn id="6583" xr3:uid="{00000000-0010-0000-0300-0000B7190000}" name="Column6578" dataDxfId="9825"/>
    <tableColumn id="6584" xr3:uid="{00000000-0010-0000-0300-0000B8190000}" name="Column6579" dataDxfId="9824"/>
    <tableColumn id="6585" xr3:uid="{00000000-0010-0000-0300-0000B9190000}" name="Column6580" dataDxfId="9823"/>
    <tableColumn id="6586" xr3:uid="{00000000-0010-0000-0300-0000BA190000}" name="Column6581" dataDxfId="9822"/>
    <tableColumn id="6587" xr3:uid="{00000000-0010-0000-0300-0000BB190000}" name="Column6582" dataDxfId="9821"/>
    <tableColumn id="6588" xr3:uid="{00000000-0010-0000-0300-0000BC190000}" name="Column6583" dataDxfId="9820"/>
    <tableColumn id="6589" xr3:uid="{00000000-0010-0000-0300-0000BD190000}" name="Column6584" dataDxfId="9819"/>
    <tableColumn id="6590" xr3:uid="{00000000-0010-0000-0300-0000BE190000}" name="Column6585" dataDxfId="9818"/>
    <tableColumn id="6591" xr3:uid="{00000000-0010-0000-0300-0000BF190000}" name="Column6586" dataDxfId="9817"/>
    <tableColumn id="6592" xr3:uid="{00000000-0010-0000-0300-0000C0190000}" name="Column6587" dataDxfId="9816"/>
    <tableColumn id="6593" xr3:uid="{00000000-0010-0000-0300-0000C1190000}" name="Column6588" dataDxfId="9815"/>
    <tableColumn id="6594" xr3:uid="{00000000-0010-0000-0300-0000C2190000}" name="Column6589" dataDxfId="9814"/>
    <tableColumn id="6595" xr3:uid="{00000000-0010-0000-0300-0000C3190000}" name="Column6590" dataDxfId="9813"/>
    <tableColumn id="6596" xr3:uid="{00000000-0010-0000-0300-0000C4190000}" name="Column6591" dataDxfId="9812"/>
    <tableColumn id="6597" xr3:uid="{00000000-0010-0000-0300-0000C5190000}" name="Column6592" dataDxfId="9811"/>
    <tableColumn id="6598" xr3:uid="{00000000-0010-0000-0300-0000C6190000}" name="Column6593" dataDxfId="9810"/>
    <tableColumn id="6599" xr3:uid="{00000000-0010-0000-0300-0000C7190000}" name="Column6594" dataDxfId="9809"/>
    <tableColumn id="6600" xr3:uid="{00000000-0010-0000-0300-0000C8190000}" name="Column6595" dataDxfId="9808"/>
    <tableColumn id="6601" xr3:uid="{00000000-0010-0000-0300-0000C9190000}" name="Column6596" dataDxfId="9807"/>
    <tableColumn id="6602" xr3:uid="{00000000-0010-0000-0300-0000CA190000}" name="Column6597" dataDxfId="9806"/>
    <tableColumn id="6603" xr3:uid="{00000000-0010-0000-0300-0000CB190000}" name="Column6598" dataDxfId="9805"/>
    <tableColumn id="6604" xr3:uid="{00000000-0010-0000-0300-0000CC190000}" name="Column6599" dataDxfId="9804"/>
    <tableColumn id="6605" xr3:uid="{00000000-0010-0000-0300-0000CD190000}" name="Column6600" dataDxfId="9803"/>
    <tableColumn id="6606" xr3:uid="{00000000-0010-0000-0300-0000CE190000}" name="Column6601" dataDxfId="9802"/>
    <tableColumn id="6607" xr3:uid="{00000000-0010-0000-0300-0000CF190000}" name="Column6602" dataDxfId="9801"/>
    <tableColumn id="6608" xr3:uid="{00000000-0010-0000-0300-0000D0190000}" name="Column6603" dataDxfId="9800"/>
    <tableColumn id="6609" xr3:uid="{00000000-0010-0000-0300-0000D1190000}" name="Column6604" dataDxfId="9799"/>
    <tableColumn id="6610" xr3:uid="{00000000-0010-0000-0300-0000D2190000}" name="Column6605" dataDxfId="9798"/>
    <tableColumn id="6611" xr3:uid="{00000000-0010-0000-0300-0000D3190000}" name="Column6606" dataDxfId="9797"/>
    <tableColumn id="6612" xr3:uid="{00000000-0010-0000-0300-0000D4190000}" name="Column6607" dataDxfId="9796"/>
    <tableColumn id="6613" xr3:uid="{00000000-0010-0000-0300-0000D5190000}" name="Column6608" dataDxfId="9795"/>
    <tableColumn id="6614" xr3:uid="{00000000-0010-0000-0300-0000D6190000}" name="Column6609" dataDxfId="9794"/>
    <tableColumn id="6615" xr3:uid="{00000000-0010-0000-0300-0000D7190000}" name="Column6610" dataDxfId="9793"/>
    <tableColumn id="6616" xr3:uid="{00000000-0010-0000-0300-0000D8190000}" name="Column6611" dataDxfId="9792"/>
    <tableColumn id="6617" xr3:uid="{00000000-0010-0000-0300-0000D9190000}" name="Column6612" dataDxfId="9791"/>
    <tableColumn id="6618" xr3:uid="{00000000-0010-0000-0300-0000DA190000}" name="Column6613" dataDxfId="9790"/>
    <tableColumn id="6619" xr3:uid="{00000000-0010-0000-0300-0000DB190000}" name="Column6614" dataDxfId="9789"/>
    <tableColumn id="6620" xr3:uid="{00000000-0010-0000-0300-0000DC190000}" name="Column6615" dataDxfId="9788"/>
    <tableColumn id="6621" xr3:uid="{00000000-0010-0000-0300-0000DD190000}" name="Column6616" dataDxfId="9787"/>
    <tableColumn id="6622" xr3:uid="{00000000-0010-0000-0300-0000DE190000}" name="Column6617" dataDxfId="9786"/>
    <tableColumn id="6623" xr3:uid="{00000000-0010-0000-0300-0000DF190000}" name="Column6618" dataDxfId="9785"/>
    <tableColumn id="6624" xr3:uid="{00000000-0010-0000-0300-0000E0190000}" name="Column6619" dataDxfId="9784"/>
    <tableColumn id="6625" xr3:uid="{00000000-0010-0000-0300-0000E1190000}" name="Column6620" dataDxfId="9783"/>
    <tableColumn id="6626" xr3:uid="{00000000-0010-0000-0300-0000E2190000}" name="Column6621" dataDxfId="9782"/>
    <tableColumn id="6627" xr3:uid="{00000000-0010-0000-0300-0000E3190000}" name="Column6622" dataDxfId="9781"/>
    <tableColumn id="6628" xr3:uid="{00000000-0010-0000-0300-0000E4190000}" name="Column6623" dataDxfId="9780"/>
    <tableColumn id="6629" xr3:uid="{00000000-0010-0000-0300-0000E5190000}" name="Column6624" dataDxfId="9779"/>
    <tableColumn id="6630" xr3:uid="{00000000-0010-0000-0300-0000E6190000}" name="Column6625" dataDxfId="9778"/>
    <tableColumn id="6631" xr3:uid="{00000000-0010-0000-0300-0000E7190000}" name="Column6626" dataDxfId="9777"/>
    <tableColumn id="6632" xr3:uid="{00000000-0010-0000-0300-0000E8190000}" name="Column6627" dataDxfId="9776"/>
    <tableColumn id="6633" xr3:uid="{00000000-0010-0000-0300-0000E9190000}" name="Column6628" dataDxfId="9775"/>
    <tableColumn id="6634" xr3:uid="{00000000-0010-0000-0300-0000EA190000}" name="Column6629" dataDxfId="9774"/>
    <tableColumn id="6635" xr3:uid="{00000000-0010-0000-0300-0000EB190000}" name="Column6630" dataDxfId="9773"/>
    <tableColumn id="6636" xr3:uid="{00000000-0010-0000-0300-0000EC190000}" name="Column6631" dataDxfId="9772"/>
    <tableColumn id="6637" xr3:uid="{00000000-0010-0000-0300-0000ED190000}" name="Column6632" dataDxfId="9771"/>
    <tableColumn id="6638" xr3:uid="{00000000-0010-0000-0300-0000EE190000}" name="Column6633" dataDxfId="9770"/>
    <tableColumn id="6639" xr3:uid="{00000000-0010-0000-0300-0000EF190000}" name="Column6634" dataDxfId="9769"/>
    <tableColumn id="6640" xr3:uid="{00000000-0010-0000-0300-0000F0190000}" name="Column6635" dataDxfId="9768"/>
    <tableColumn id="6641" xr3:uid="{00000000-0010-0000-0300-0000F1190000}" name="Column6636" dataDxfId="9767"/>
    <tableColumn id="6642" xr3:uid="{00000000-0010-0000-0300-0000F2190000}" name="Column6637" dataDxfId="9766"/>
    <tableColumn id="6643" xr3:uid="{00000000-0010-0000-0300-0000F3190000}" name="Column6638" dataDxfId="9765"/>
    <tableColumn id="6644" xr3:uid="{00000000-0010-0000-0300-0000F4190000}" name="Column6639" dataDxfId="9764"/>
    <tableColumn id="6645" xr3:uid="{00000000-0010-0000-0300-0000F5190000}" name="Column6640" dataDxfId="9763"/>
    <tableColumn id="6646" xr3:uid="{00000000-0010-0000-0300-0000F6190000}" name="Column6641" dataDxfId="9762"/>
    <tableColumn id="6647" xr3:uid="{00000000-0010-0000-0300-0000F7190000}" name="Column6642" dataDxfId="9761"/>
    <tableColumn id="6648" xr3:uid="{00000000-0010-0000-0300-0000F8190000}" name="Column6643" dataDxfId="9760"/>
    <tableColumn id="6649" xr3:uid="{00000000-0010-0000-0300-0000F9190000}" name="Column6644" dataDxfId="9759"/>
    <tableColumn id="6650" xr3:uid="{00000000-0010-0000-0300-0000FA190000}" name="Column6645" dataDxfId="9758"/>
    <tableColumn id="6651" xr3:uid="{00000000-0010-0000-0300-0000FB190000}" name="Column6646" dataDxfId="9757"/>
    <tableColumn id="6652" xr3:uid="{00000000-0010-0000-0300-0000FC190000}" name="Column6647" dataDxfId="9756"/>
    <tableColumn id="6653" xr3:uid="{00000000-0010-0000-0300-0000FD190000}" name="Column6648" dataDxfId="9755"/>
    <tableColumn id="6654" xr3:uid="{00000000-0010-0000-0300-0000FE190000}" name="Column6649" dataDxfId="9754"/>
    <tableColumn id="6655" xr3:uid="{00000000-0010-0000-0300-0000FF190000}" name="Column6650" dataDxfId="9753"/>
    <tableColumn id="6656" xr3:uid="{00000000-0010-0000-0300-0000001A0000}" name="Column6651" dataDxfId="9752"/>
    <tableColumn id="6657" xr3:uid="{00000000-0010-0000-0300-0000011A0000}" name="Column6652" dataDxfId="9751"/>
    <tableColumn id="6658" xr3:uid="{00000000-0010-0000-0300-0000021A0000}" name="Column6653" dataDxfId="9750"/>
    <tableColumn id="6659" xr3:uid="{00000000-0010-0000-0300-0000031A0000}" name="Column6654" dataDxfId="9749"/>
    <tableColumn id="6660" xr3:uid="{00000000-0010-0000-0300-0000041A0000}" name="Column6655" dataDxfId="9748"/>
    <tableColumn id="6661" xr3:uid="{00000000-0010-0000-0300-0000051A0000}" name="Column6656" dataDxfId="9747"/>
    <tableColumn id="6662" xr3:uid="{00000000-0010-0000-0300-0000061A0000}" name="Column6657" dataDxfId="9746"/>
    <tableColumn id="6663" xr3:uid="{00000000-0010-0000-0300-0000071A0000}" name="Column6658" dataDxfId="9745"/>
    <tableColumn id="6664" xr3:uid="{00000000-0010-0000-0300-0000081A0000}" name="Column6659" dataDxfId="9744"/>
    <tableColumn id="6665" xr3:uid="{00000000-0010-0000-0300-0000091A0000}" name="Column6660" dataDxfId="9743"/>
    <tableColumn id="6666" xr3:uid="{00000000-0010-0000-0300-00000A1A0000}" name="Column6661" dataDxfId="9742"/>
    <tableColumn id="6667" xr3:uid="{00000000-0010-0000-0300-00000B1A0000}" name="Column6662" dataDxfId="9741"/>
    <tableColumn id="6668" xr3:uid="{00000000-0010-0000-0300-00000C1A0000}" name="Column6663" dataDxfId="9740"/>
    <tableColumn id="6669" xr3:uid="{00000000-0010-0000-0300-00000D1A0000}" name="Column6664" dataDxfId="9739"/>
    <tableColumn id="6670" xr3:uid="{00000000-0010-0000-0300-00000E1A0000}" name="Column6665" dataDxfId="9738"/>
    <tableColumn id="6671" xr3:uid="{00000000-0010-0000-0300-00000F1A0000}" name="Column6666" dataDxfId="9737"/>
    <tableColumn id="6672" xr3:uid="{00000000-0010-0000-0300-0000101A0000}" name="Column6667" dataDxfId="9736"/>
    <tableColumn id="6673" xr3:uid="{00000000-0010-0000-0300-0000111A0000}" name="Column6668" dataDxfId="9735"/>
    <tableColumn id="6674" xr3:uid="{00000000-0010-0000-0300-0000121A0000}" name="Column6669" dataDxfId="9734"/>
    <tableColumn id="6675" xr3:uid="{00000000-0010-0000-0300-0000131A0000}" name="Column6670" dataDxfId="9733"/>
    <tableColumn id="6676" xr3:uid="{00000000-0010-0000-0300-0000141A0000}" name="Column6671" dataDxfId="9732"/>
    <tableColumn id="6677" xr3:uid="{00000000-0010-0000-0300-0000151A0000}" name="Column6672" dataDxfId="9731"/>
    <tableColumn id="6678" xr3:uid="{00000000-0010-0000-0300-0000161A0000}" name="Column6673" dataDxfId="9730"/>
    <tableColumn id="6679" xr3:uid="{00000000-0010-0000-0300-0000171A0000}" name="Column6674" dataDxfId="9729"/>
    <tableColumn id="6680" xr3:uid="{00000000-0010-0000-0300-0000181A0000}" name="Column6675" dataDxfId="9728"/>
    <tableColumn id="6681" xr3:uid="{00000000-0010-0000-0300-0000191A0000}" name="Column6676" dataDxfId="9727"/>
    <tableColumn id="6682" xr3:uid="{00000000-0010-0000-0300-00001A1A0000}" name="Column6677" dataDxfId="9726"/>
    <tableColumn id="6683" xr3:uid="{00000000-0010-0000-0300-00001B1A0000}" name="Column6678" dataDxfId="9725"/>
    <tableColumn id="6684" xr3:uid="{00000000-0010-0000-0300-00001C1A0000}" name="Column6679" dataDxfId="9724"/>
    <tableColumn id="6685" xr3:uid="{00000000-0010-0000-0300-00001D1A0000}" name="Column6680" dataDxfId="9723"/>
    <tableColumn id="6686" xr3:uid="{00000000-0010-0000-0300-00001E1A0000}" name="Column6681" dataDxfId="9722"/>
    <tableColumn id="6687" xr3:uid="{00000000-0010-0000-0300-00001F1A0000}" name="Column6682" dataDxfId="9721"/>
    <tableColumn id="6688" xr3:uid="{00000000-0010-0000-0300-0000201A0000}" name="Column6683" dataDxfId="9720"/>
    <tableColumn id="6689" xr3:uid="{00000000-0010-0000-0300-0000211A0000}" name="Column6684" dataDxfId="9719"/>
    <tableColumn id="6690" xr3:uid="{00000000-0010-0000-0300-0000221A0000}" name="Column6685" dataDxfId="9718"/>
    <tableColumn id="6691" xr3:uid="{00000000-0010-0000-0300-0000231A0000}" name="Column6686" dataDxfId="9717"/>
    <tableColumn id="6692" xr3:uid="{00000000-0010-0000-0300-0000241A0000}" name="Column6687" dataDxfId="9716"/>
    <tableColumn id="6693" xr3:uid="{00000000-0010-0000-0300-0000251A0000}" name="Column6688" dataDxfId="9715"/>
    <tableColumn id="6694" xr3:uid="{00000000-0010-0000-0300-0000261A0000}" name="Column6689" dataDxfId="9714"/>
    <tableColumn id="6695" xr3:uid="{00000000-0010-0000-0300-0000271A0000}" name="Column6690" dataDxfId="9713"/>
    <tableColumn id="6696" xr3:uid="{00000000-0010-0000-0300-0000281A0000}" name="Column6691" dataDxfId="9712"/>
    <tableColumn id="6697" xr3:uid="{00000000-0010-0000-0300-0000291A0000}" name="Column6692" dataDxfId="9711"/>
    <tableColumn id="6698" xr3:uid="{00000000-0010-0000-0300-00002A1A0000}" name="Column6693" dataDxfId="9710"/>
    <tableColumn id="6699" xr3:uid="{00000000-0010-0000-0300-00002B1A0000}" name="Column6694" dataDxfId="9709"/>
    <tableColumn id="6700" xr3:uid="{00000000-0010-0000-0300-00002C1A0000}" name="Column6695" dataDxfId="9708"/>
    <tableColumn id="6701" xr3:uid="{00000000-0010-0000-0300-00002D1A0000}" name="Column6696" dataDxfId="9707"/>
    <tableColumn id="6702" xr3:uid="{00000000-0010-0000-0300-00002E1A0000}" name="Column6697" dataDxfId="9706"/>
    <tableColumn id="6703" xr3:uid="{00000000-0010-0000-0300-00002F1A0000}" name="Column6698" dataDxfId="9705"/>
    <tableColumn id="6704" xr3:uid="{00000000-0010-0000-0300-0000301A0000}" name="Column6699" dataDxfId="9704"/>
    <tableColumn id="6705" xr3:uid="{00000000-0010-0000-0300-0000311A0000}" name="Column6700" dataDxfId="9703"/>
    <tableColumn id="6706" xr3:uid="{00000000-0010-0000-0300-0000321A0000}" name="Column6701" dataDxfId="9702"/>
    <tableColumn id="6707" xr3:uid="{00000000-0010-0000-0300-0000331A0000}" name="Column6702" dataDxfId="9701"/>
    <tableColumn id="6708" xr3:uid="{00000000-0010-0000-0300-0000341A0000}" name="Column6703" dataDxfId="9700"/>
    <tableColumn id="6709" xr3:uid="{00000000-0010-0000-0300-0000351A0000}" name="Column6704" dataDxfId="9699"/>
    <tableColumn id="6710" xr3:uid="{00000000-0010-0000-0300-0000361A0000}" name="Column6705" dataDxfId="9698"/>
    <tableColumn id="6711" xr3:uid="{00000000-0010-0000-0300-0000371A0000}" name="Column6706" dataDxfId="9697"/>
    <tableColumn id="6712" xr3:uid="{00000000-0010-0000-0300-0000381A0000}" name="Column6707" dataDxfId="9696"/>
    <tableColumn id="6713" xr3:uid="{00000000-0010-0000-0300-0000391A0000}" name="Column6708" dataDxfId="9695"/>
    <tableColumn id="6714" xr3:uid="{00000000-0010-0000-0300-00003A1A0000}" name="Column6709" dataDxfId="9694"/>
    <tableColumn id="6715" xr3:uid="{00000000-0010-0000-0300-00003B1A0000}" name="Column6710" dataDxfId="9693"/>
    <tableColumn id="6716" xr3:uid="{00000000-0010-0000-0300-00003C1A0000}" name="Column6711" dataDxfId="9692"/>
    <tableColumn id="6717" xr3:uid="{00000000-0010-0000-0300-00003D1A0000}" name="Column6712" dataDxfId="9691"/>
    <tableColumn id="6718" xr3:uid="{00000000-0010-0000-0300-00003E1A0000}" name="Column6713" dataDxfId="9690"/>
    <tableColumn id="6719" xr3:uid="{00000000-0010-0000-0300-00003F1A0000}" name="Column6714" dataDxfId="9689"/>
    <tableColumn id="6720" xr3:uid="{00000000-0010-0000-0300-0000401A0000}" name="Column6715" dataDxfId="9688"/>
    <tableColumn id="6721" xr3:uid="{00000000-0010-0000-0300-0000411A0000}" name="Column6716" dataDxfId="9687"/>
    <tableColumn id="6722" xr3:uid="{00000000-0010-0000-0300-0000421A0000}" name="Column6717" dataDxfId="9686"/>
    <tableColumn id="6723" xr3:uid="{00000000-0010-0000-0300-0000431A0000}" name="Column6718" dataDxfId="9685"/>
    <tableColumn id="6724" xr3:uid="{00000000-0010-0000-0300-0000441A0000}" name="Column6719" dataDxfId="9684"/>
    <tableColumn id="6725" xr3:uid="{00000000-0010-0000-0300-0000451A0000}" name="Column6720" dataDxfId="9683"/>
    <tableColumn id="6726" xr3:uid="{00000000-0010-0000-0300-0000461A0000}" name="Column6721" dataDxfId="9682"/>
    <tableColumn id="6727" xr3:uid="{00000000-0010-0000-0300-0000471A0000}" name="Column6722" dataDxfId="9681"/>
    <tableColumn id="6728" xr3:uid="{00000000-0010-0000-0300-0000481A0000}" name="Column6723" dataDxfId="9680"/>
    <tableColumn id="6729" xr3:uid="{00000000-0010-0000-0300-0000491A0000}" name="Column6724" dataDxfId="9679"/>
    <tableColumn id="6730" xr3:uid="{00000000-0010-0000-0300-00004A1A0000}" name="Column6725" dataDxfId="9678"/>
    <tableColumn id="6731" xr3:uid="{00000000-0010-0000-0300-00004B1A0000}" name="Column6726" dataDxfId="9677"/>
    <tableColumn id="6732" xr3:uid="{00000000-0010-0000-0300-00004C1A0000}" name="Column6727" dataDxfId="9676"/>
    <tableColumn id="6733" xr3:uid="{00000000-0010-0000-0300-00004D1A0000}" name="Column6728" dataDxfId="9675"/>
    <tableColumn id="6734" xr3:uid="{00000000-0010-0000-0300-00004E1A0000}" name="Column6729" dataDxfId="9674"/>
    <tableColumn id="6735" xr3:uid="{00000000-0010-0000-0300-00004F1A0000}" name="Column6730" dataDxfId="9673"/>
    <tableColumn id="6736" xr3:uid="{00000000-0010-0000-0300-0000501A0000}" name="Column6731" dataDxfId="9672"/>
    <tableColumn id="6737" xr3:uid="{00000000-0010-0000-0300-0000511A0000}" name="Column6732" dataDxfId="9671"/>
    <tableColumn id="6738" xr3:uid="{00000000-0010-0000-0300-0000521A0000}" name="Column6733" dataDxfId="9670"/>
    <tableColumn id="6739" xr3:uid="{00000000-0010-0000-0300-0000531A0000}" name="Column6734" dataDxfId="9669"/>
    <tableColumn id="6740" xr3:uid="{00000000-0010-0000-0300-0000541A0000}" name="Column6735" dataDxfId="9668"/>
    <tableColumn id="6741" xr3:uid="{00000000-0010-0000-0300-0000551A0000}" name="Column6736" dataDxfId="9667"/>
    <tableColumn id="6742" xr3:uid="{00000000-0010-0000-0300-0000561A0000}" name="Column6737" dataDxfId="9666"/>
    <tableColumn id="6743" xr3:uid="{00000000-0010-0000-0300-0000571A0000}" name="Column6738" dataDxfId="9665"/>
    <tableColumn id="6744" xr3:uid="{00000000-0010-0000-0300-0000581A0000}" name="Column6739" dataDxfId="9664"/>
    <tableColumn id="6745" xr3:uid="{00000000-0010-0000-0300-0000591A0000}" name="Column6740" dataDxfId="9663"/>
    <tableColumn id="6746" xr3:uid="{00000000-0010-0000-0300-00005A1A0000}" name="Column6741" dataDxfId="9662"/>
    <tableColumn id="6747" xr3:uid="{00000000-0010-0000-0300-00005B1A0000}" name="Column6742" dataDxfId="9661"/>
    <tableColumn id="6748" xr3:uid="{00000000-0010-0000-0300-00005C1A0000}" name="Column6743" dataDxfId="9660"/>
    <tableColumn id="6749" xr3:uid="{00000000-0010-0000-0300-00005D1A0000}" name="Column6744" dataDxfId="9659"/>
    <tableColumn id="6750" xr3:uid="{00000000-0010-0000-0300-00005E1A0000}" name="Column6745" dataDxfId="9658"/>
    <tableColumn id="6751" xr3:uid="{00000000-0010-0000-0300-00005F1A0000}" name="Column6746" dataDxfId="9657"/>
    <tableColumn id="6752" xr3:uid="{00000000-0010-0000-0300-0000601A0000}" name="Column6747" dataDxfId="9656"/>
    <tableColumn id="6753" xr3:uid="{00000000-0010-0000-0300-0000611A0000}" name="Column6748" dataDxfId="9655"/>
    <tableColumn id="6754" xr3:uid="{00000000-0010-0000-0300-0000621A0000}" name="Column6749" dataDxfId="9654"/>
    <tableColumn id="6755" xr3:uid="{00000000-0010-0000-0300-0000631A0000}" name="Column6750" dataDxfId="9653"/>
    <tableColumn id="6756" xr3:uid="{00000000-0010-0000-0300-0000641A0000}" name="Column6751" dataDxfId="9652"/>
    <tableColumn id="6757" xr3:uid="{00000000-0010-0000-0300-0000651A0000}" name="Column6752" dataDxfId="9651"/>
    <tableColumn id="6758" xr3:uid="{00000000-0010-0000-0300-0000661A0000}" name="Column6753" dataDxfId="9650"/>
    <tableColumn id="6759" xr3:uid="{00000000-0010-0000-0300-0000671A0000}" name="Column6754" dataDxfId="9649"/>
    <tableColumn id="6760" xr3:uid="{00000000-0010-0000-0300-0000681A0000}" name="Column6755" dataDxfId="9648"/>
    <tableColumn id="6761" xr3:uid="{00000000-0010-0000-0300-0000691A0000}" name="Column6756" dataDxfId="9647"/>
    <tableColumn id="6762" xr3:uid="{00000000-0010-0000-0300-00006A1A0000}" name="Column6757" dataDxfId="9646"/>
    <tableColumn id="6763" xr3:uid="{00000000-0010-0000-0300-00006B1A0000}" name="Column6758" dataDxfId="9645"/>
    <tableColumn id="6764" xr3:uid="{00000000-0010-0000-0300-00006C1A0000}" name="Column6759" dataDxfId="9644"/>
    <tableColumn id="6765" xr3:uid="{00000000-0010-0000-0300-00006D1A0000}" name="Column6760" dataDxfId="9643"/>
    <tableColumn id="6766" xr3:uid="{00000000-0010-0000-0300-00006E1A0000}" name="Column6761" dataDxfId="9642"/>
    <tableColumn id="6767" xr3:uid="{00000000-0010-0000-0300-00006F1A0000}" name="Column6762" dataDxfId="9641"/>
    <tableColumn id="6768" xr3:uid="{00000000-0010-0000-0300-0000701A0000}" name="Column6763" dataDxfId="9640"/>
    <tableColumn id="6769" xr3:uid="{00000000-0010-0000-0300-0000711A0000}" name="Column6764" dataDxfId="9639"/>
    <tableColumn id="6770" xr3:uid="{00000000-0010-0000-0300-0000721A0000}" name="Column6765" dataDxfId="9638"/>
    <tableColumn id="6771" xr3:uid="{00000000-0010-0000-0300-0000731A0000}" name="Column6766" dataDxfId="9637"/>
    <tableColumn id="6772" xr3:uid="{00000000-0010-0000-0300-0000741A0000}" name="Column6767" dataDxfId="9636"/>
    <tableColumn id="6773" xr3:uid="{00000000-0010-0000-0300-0000751A0000}" name="Column6768" dataDxfId="9635"/>
    <tableColumn id="6774" xr3:uid="{00000000-0010-0000-0300-0000761A0000}" name="Column6769" dataDxfId="9634"/>
    <tableColumn id="6775" xr3:uid="{00000000-0010-0000-0300-0000771A0000}" name="Column6770" dataDxfId="9633"/>
    <tableColumn id="6776" xr3:uid="{00000000-0010-0000-0300-0000781A0000}" name="Column6771" dataDxfId="9632"/>
    <tableColumn id="6777" xr3:uid="{00000000-0010-0000-0300-0000791A0000}" name="Column6772" dataDxfId="9631"/>
    <tableColumn id="6778" xr3:uid="{00000000-0010-0000-0300-00007A1A0000}" name="Column6773" dataDxfId="9630"/>
    <tableColumn id="6779" xr3:uid="{00000000-0010-0000-0300-00007B1A0000}" name="Column6774" dataDxfId="9629"/>
    <tableColumn id="6780" xr3:uid="{00000000-0010-0000-0300-00007C1A0000}" name="Column6775" dataDxfId="9628"/>
    <tableColumn id="6781" xr3:uid="{00000000-0010-0000-0300-00007D1A0000}" name="Column6776" dataDxfId="9627"/>
    <tableColumn id="6782" xr3:uid="{00000000-0010-0000-0300-00007E1A0000}" name="Column6777" dataDxfId="9626"/>
    <tableColumn id="6783" xr3:uid="{00000000-0010-0000-0300-00007F1A0000}" name="Column6778" dataDxfId="9625"/>
    <tableColumn id="6784" xr3:uid="{00000000-0010-0000-0300-0000801A0000}" name="Column6779" dataDxfId="9624"/>
    <tableColumn id="6785" xr3:uid="{00000000-0010-0000-0300-0000811A0000}" name="Column6780" dataDxfId="9623"/>
    <tableColumn id="6786" xr3:uid="{00000000-0010-0000-0300-0000821A0000}" name="Column6781" dataDxfId="9622"/>
    <tableColumn id="6787" xr3:uid="{00000000-0010-0000-0300-0000831A0000}" name="Column6782" dataDxfId="9621"/>
    <tableColumn id="6788" xr3:uid="{00000000-0010-0000-0300-0000841A0000}" name="Column6783" dataDxfId="9620"/>
    <tableColumn id="6789" xr3:uid="{00000000-0010-0000-0300-0000851A0000}" name="Column6784" dataDxfId="9619"/>
    <tableColumn id="6790" xr3:uid="{00000000-0010-0000-0300-0000861A0000}" name="Column6785" dataDxfId="9618"/>
    <tableColumn id="6791" xr3:uid="{00000000-0010-0000-0300-0000871A0000}" name="Column6786" dataDxfId="9617"/>
    <tableColumn id="6792" xr3:uid="{00000000-0010-0000-0300-0000881A0000}" name="Column6787" dataDxfId="9616"/>
    <tableColumn id="6793" xr3:uid="{00000000-0010-0000-0300-0000891A0000}" name="Column6788" dataDxfId="9615"/>
    <tableColumn id="6794" xr3:uid="{00000000-0010-0000-0300-00008A1A0000}" name="Column6789" dataDxfId="9614"/>
    <tableColumn id="6795" xr3:uid="{00000000-0010-0000-0300-00008B1A0000}" name="Column6790" dataDxfId="9613"/>
    <tableColumn id="6796" xr3:uid="{00000000-0010-0000-0300-00008C1A0000}" name="Column6791" dataDxfId="9612"/>
    <tableColumn id="6797" xr3:uid="{00000000-0010-0000-0300-00008D1A0000}" name="Column6792" dataDxfId="9611"/>
    <tableColumn id="6798" xr3:uid="{00000000-0010-0000-0300-00008E1A0000}" name="Column6793" dataDxfId="9610"/>
    <tableColumn id="6799" xr3:uid="{00000000-0010-0000-0300-00008F1A0000}" name="Column6794" dataDxfId="9609"/>
    <tableColumn id="6800" xr3:uid="{00000000-0010-0000-0300-0000901A0000}" name="Column6795" dataDxfId="9608"/>
    <tableColumn id="6801" xr3:uid="{00000000-0010-0000-0300-0000911A0000}" name="Column6796" dataDxfId="9607"/>
    <tableColumn id="6802" xr3:uid="{00000000-0010-0000-0300-0000921A0000}" name="Column6797" dataDxfId="9606"/>
    <tableColumn id="6803" xr3:uid="{00000000-0010-0000-0300-0000931A0000}" name="Column6798" dataDxfId="9605"/>
    <tableColumn id="6804" xr3:uid="{00000000-0010-0000-0300-0000941A0000}" name="Column6799" dataDxfId="9604"/>
    <tableColumn id="6805" xr3:uid="{00000000-0010-0000-0300-0000951A0000}" name="Column6800" dataDxfId="9603"/>
    <tableColumn id="6806" xr3:uid="{00000000-0010-0000-0300-0000961A0000}" name="Column6801" dataDxfId="9602"/>
    <tableColumn id="6807" xr3:uid="{00000000-0010-0000-0300-0000971A0000}" name="Column6802" dataDxfId="9601"/>
    <tableColumn id="6808" xr3:uid="{00000000-0010-0000-0300-0000981A0000}" name="Column6803" dataDxfId="9600"/>
    <tableColumn id="6809" xr3:uid="{00000000-0010-0000-0300-0000991A0000}" name="Column6804" dataDxfId="9599"/>
    <tableColumn id="6810" xr3:uid="{00000000-0010-0000-0300-00009A1A0000}" name="Column6805" dataDxfId="9598"/>
    <tableColumn id="6811" xr3:uid="{00000000-0010-0000-0300-00009B1A0000}" name="Column6806" dataDxfId="9597"/>
    <tableColumn id="6812" xr3:uid="{00000000-0010-0000-0300-00009C1A0000}" name="Column6807" dataDxfId="9596"/>
    <tableColumn id="6813" xr3:uid="{00000000-0010-0000-0300-00009D1A0000}" name="Column6808" dataDxfId="9595"/>
    <tableColumn id="6814" xr3:uid="{00000000-0010-0000-0300-00009E1A0000}" name="Column6809" dataDxfId="9594"/>
    <tableColumn id="6815" xr3:uid="{00000000-0010-0000-0300-00009F1A0000}" name="Column6810" dataDxfId="9593"/>
    <tableColumn id="6816" xr3:uid="{00000000-0010-0000-0300-0000A01A0000}" name="Column6811" dataDxfId="9592"/>
    <tableColumn id="6817" xr3:uid="{00000000-0010-0000-0300-0000A11A0000}" name="Column6812" dataDxfId="9591"/>
    <tableColumn id="6818" xr3:uid="{00000000-0010-0000-0300-0000A21A0000}" name="Column6813" dataDxfId="9590"/>
    <tableColumn id="6819" xr3:uid="{00000000-0010-0000-0300-0000A31A0000}" name="Column6814" dataDxfId="9589"/>
    <tableColumn id="6820" xr3:uid="{00000000-0010-0000-0300-0000A41A0000}" name="Column6815" dataDxfId="9588"/>
    <tableColumn id="6821" xr3:uid="{00000000-0010-0000-0300-0000A51A0000}" name="Column6816" dataDxfId="9587"/>
    <tableColumn id="6822" xr3:uid="{00000000-0010-0000-0300-0000A61A0000}" name="Column6817" dataDxfId="9586"/>
    <tableColumn id="6823" xr3:uid="{00000000-0010-0000-0300-0000A71A0000}" name="Column6818" dataDxfId="9585"/>
    <tableColumn id="6824" xr3:uid="{00000000-0010-0000-0300-0000A81A0000}" name="Column6819" dataDxfId="9584"/>
    <tableColumn id="6825" xr3:uid="{00000000-0010-0000-0300-0000A91A0000}" name="Column6820" dataDxfId="9583"/>
    <tableColumn id="6826" xr3:uid="{00000000-0010-0000-0300-0000AA1A0000}" name="Column6821" dataDxfId="9582"/>
    <tableColumn id="6827" xr3:uid="{00000000-0010-0000-0300-0000AB1A0000}" name="Column6822" dataDxfId="9581"/>
    <tableColumn id="6828" xr3:uid="{00000000-0010-0000-0300-0000AC1A0000}" name="Column6823" dataDxfId="9580"/>
    <tableColumn id="6829" xr3:uid="{00000000-0010-0000-0300-0000AD1A0000}" name="Column6824" dataDxfId="9579"/>
    <tableColumn id="6830" xr3:uid="{00000000-0010-0000-0300-0000AE1A0000}" name="Column6825" dataDxfId="9578"/>
    <tableColumn id="6831" xr3:uid="{00000000-0010-0000-0300-0000AF1A0000}" name="Column6826" dataDxfId="9577"/>
    <tableColumn id="6832" xr3:uid="{00000000-0010-0000-0300-0000B01A0000}" name="Column6827" dataDxfId="9576"/>
    <tableColumn id="6833" xr3:uid="{00000000-0010-0000-0300-0000B11A0000}" name="Column6828" dataDxfId="9575"/>
    <tableColumn id="6834" xr3:uid="{00000000-0010-0000-0300-0000B21A0000}" name="Column6829" dataDxfId="9574"/>
    <tableColumn id="6835" xr3:uid="{00000000-0010-0000-0300-0000B31A0000}" name="Column6830" dataDxfId="9573"/>
    <tableColumn id="6836" xr3:uid="{00000000-0010-0000-0300-0000B41A0000}" name="Column6831" dataDxfId="9572"/>
    <tableColumn id="6837" xr3:uid="{00000000-0010-0000-0300-0000B51A0000}" name="Column6832" dataDxfId="9571"/>
    <tableColumn id="6838" xr3:uid="{00000000-0010-0000-0300-0000B61A0000}" name="Column6833" dataDxfId="9570"/>
    <tableColumn id="6839" xr3:uid="{00000000-0010-0000-0300-0000B71A0000}" name="Column6834" dataDxfId="9569"/>
    <tableColumn id="6840" xr3:uid="{00000000-0010-0000-0300-0000B81A0000}" name="Column6835" dataDxfId="9568"/>
    <tableColumn id="6841" xr3:uid="{00000000-0010-0000-0300-0000B91A0000}" name="Column6836" dataDxfId="9567"/>
    <tableColumn id="6842" xr3:uid="{00000000-0010-0000-0300-0000BA1A0000}" name="Column6837" dataDxfId="9566"/>
    <tableColumn id="6843" xr3:uid="{00000000-0010-0000-0300-0000BB1A0000}" name="Column6838" dataDxfId="9565"/>
    <tableColumn id="6844" xr3:uid="{00000000-0010-0000-0300-0000BC1A0000}" name="Column6839" dataDxfId="9564"/>
    <tableColumn id="6845" xr3:uid="{00000000-0010-0000-0300-0000BD1A0000}" name="Column6840" dataDxfId="9563"/>
    <tableColumn id="6846" xr3:uid="{00000000-0010-0000-0300-0000BE1A0000}" name="Column6841" dataDxfId="9562"/>
    <tableColumn id="6847" xr3:uid="{00000000-0010-0000-0300-0000BF1A0000}" name="Column6842" dataDxfId="9561"/>
    <tableColumn id="6848" xr3:uid="{00000000-0010-0000-0300-0000C01A0000}" name="Column6843" dataDxfId="9560"/>
    <tableColumn id="6849" xr3:uid="{00000000-0010-0000-0300-0000C11A0000}" name="Column6844" dataDxfId="9559"/>
    <tableColumn id="6850" xr3:uid="{00000000-0010-0000-0300-0000C21A0000}" name="Column6845" dataDxfId="9558"/>
    <tableColumn id="6851" xr3:uid="{00000000-0010-0000-0300-0000C31A0000}" name="Column6846" dataDxfId="9557"/>
    <tableColumn id="6852" xr3:uid="{00000000-0010-0000-0300-0000C41A0000}" name="Column6847" dataDxfId="9556"/>
    <tableColumn id="6853" xr3:uid="{00000000-0010-0000-0300-0000C51A0000}" name="Column6848" dataDxfId="9555"/>
    <tableColumn id="6854" xr3:uid="{00000000-0010-0000-0300-0000C61A0000}" name="Column6849" dataDxfId="9554"/>
    <tableColumn id="6855" xr3:uid="{00000000-0010-0000-0300-0000C71A0000}" name="Column6850" dataDxfId="9553"/>
    <tableColumn id="6856" xr3:uid="{00000000-0010-0000-0300-0000C81A0000}" name="Column6851" dataDxfId="9552"/>
    <tableColumn id="6857" xr3:uid="{00000000-0010-0000-0300-0000C91A0000}" name="Column6852" dataDxfId="9551"/>
    <tableColumn id="6858" xr3:uid="{00000000-0010-0000-0300-0000CA1A0000}" name="Column6853" dataDxfId="9550"/>
    <tableColumn id="6859" xr3:uid="{00000000-0010-0000-0300-0000CB1A0000}" name="Column6854" dataDxfId="9549"/>
    <tableColumn id="6860" xr3:uid="{00000000-0010-0000-0300-0000CC1A0000}" name="Column6855" dataDxfId="9548"/>
    <tableColumn id="6861" xr3:uid="{00000000-0010-0000-0300-0000CD1A0000}" name="Column6856" dataDxfId="9547"/>
    <tableColumn id="6862" xr3:uid="{00000000-0010-0000-0300-0000CE1A0000}" name="Column6857" dataDxfId="9546"/>
    <tableColumn id="6863" xr3:uid="{00000000-0010-0000-0300-0000CF1A0000}" name="Column6858" dataDxfId="9545"/>
    <tableColumn id="6864" xr3:uid="{00000000-0010-0000-0300-0000D01A0000}" name="Column6859" dataDxfId="9544"/>
    <tableColumn id="6865" xr3:uid="{00000000-0010-0000-0300-0000D11A0000}" name="Column6860" dataDxfId="9543"/>
    <tableColumn id="6866" xr3:uid="{00000000-0010-0000-0300-0000D21A0000}" name="Column6861" dataDxfId="9542"/>
    <tableColumn id="6867" xr3:uid="{00000000-0010-0000-0300-0000D31A0000}" name="Column6862" dataDxfId="9541"/>
    <tableColumn id="6868" xr3:uid="{00000000-0010-0000-0300-0000D41A0000}" name="Column6863" dataDxfId="9540"/>
    <tableColumn id="6869" xr3:uid="{00000000-0010-0000-0300-0000D51A0000}" name="Column6864" dataDxfId="9539"/>
    <tableColumn id="6870" xr3:uid="{00000000-0010-0000-0300-0000D61A0000}" name="Column6865" dataDxfId="9538"/>
    <tableColumn id="6871" xr3:uid="{00000000-0010-0000-0300-0000D71A0000}" name="Column6866" dataDxfId="9537"/>
    <tableColumn id="6872" xr3:uid="{00000000-0010-0000-0300-0000D81A0000}" name="Column6867" dataDxfId="9536"/>
    <tableColumn id="6873" xr3:uid="{00000000-0010-0000-0300-0000D91A0000}" name="Column6868" dataDxfId="9535"/>
    <tableColumn id="6874" xr3:uid="{00000000-0010-0000-0300-0000DA1A0000}" name="Column6869" dataDxfId="9534"/>
    <tableColumn id="6875" xr3:uid="{00000000-0010-0000-0300-0000DB1A0000}" name="Column6870" dataDxfId="9533"/>
    <tableColumn id="6876" xr3:uid="{00000000-0010-0000-0300-0000DC1A0000}" name="Column6871" dataDxfId="9532"/>
    <tableColumn id="6877" xr3:uid="{00000000-0010-0000-0300-0000DD1A0000}" name="Column6872" dataDxfId="9531"/>
    <tableColumn id="6878" xr3:uid="{00000000-0010-0000-0300-0000DE1A0000}" name="Column6873" dataDxfId="9530"/>
    <tableColumn id="6879" xr3:uid="{00000000-0010-0000-0300-0000DF1A0000}" name="Column6874" dataDxfId="9529"/>
    <tableColumn id="6880" xr3:uid="{00000000-0010-0000-0300-0000E01A0000}" name="Column6875" dataDxfId="9528"/>
    <tableColumn id="6881" xr3:uid="{00000000-0010-0000-0300-0000E11A0000}" name="Column6876" dataDxfId="9527"/>
    <tableColumn id="6882" xr3:uid="{00000000-0010-0000-0300-0000E21A0000}" name="Column6877" dataDxfId="9526"/>
    <tableColumn id="6883" xr3:uid="{00000000-0010-0000-0300-0000E31A0000}" name="Column6878" dataDxfId="9525"/>
    <tableColumn id="6884" xr3:uid="{00000000-0010-0000-0300-0000E41A0000}" name="Column6879" dataDxfId="9524"/>
    <tableColumn id="6885" xr3:uid="{00000000-0010-0000-0300-0000E51A0000}" name="Column6880" dataDxfId="9523"/>
    <tableColumn id="6886" xr3:uid="{00000000-0010-0000-0300-0000E61A0000}" name="Column6881" dataDxfId="9522"/>
    <tableColumn id="6887" xr3:uid="{00000000-0010-0000-0300-0000E71A0000}" name="Column6882" dataDxfId="9521"/>
    <tableColumn id="6888" xr3:uid="{00000000-0010-0000-0300-0000E81A0000}" name="Column6883" dataDxfId="9520"/>
    <tableColumn id="6889" xr3:uid="{00000000-0010-0000-0300-0000E91A0000}" name="Column6884" dataDxfId="9519"/>
    <tableColumn id="6890" xr3:uid="{00000000-0010-0000-0300-0000EA1A0000}" name="Column6885" dataDxfId="9518"/>
    <tableColumn id="6891" xr3:uid="{00000000-0010-0000-0300-0000EB1A0000}" name="Column6886" dataDxfId="9517"/>
    <tableColumn id="6892" xr3:uid="{00000000-0010-0000-0300-0000EC1A0000}" name="Column6887" dataDxfId="9516"/>
    <tableColumn id="6893" xr3:uid="{00000000-0010-0000-0300-0000ED1A0000}" name="Column6888" dataDxfId="9515"/>
    <tableColumn id="6894" xr3:uid="{00000000-0010-0000-0300-0000EE1A0000}" name="Column6889" dataDxfId="9514"/>
    <tableColumn id="6895" xr3:uid="{00000000-0010-0000-0300-0000EF1A0000}" name="Column6890" dataDxfId="9513"/>
    <tableColumn id="6896" xr3:uid="{00000000-0010-0000-0300-0000F01A0000}" name="Column6891" dataDxfId="9512"/>
    <tableColumn id="6897" xr3:uid="{00000000-0010-0000-0300-0000F11A0000}" name="Column6892" dataDxfId="9511"/>
    <tableColumn id="6898" xr3:uid="{00000000-0010-0000-0300-0000F21A0000}" name="Column6893" dataDxfId="9510"/>
    <tableColumn id="6899" xr3:uid="{00000000-0010-0000-0300-0000F31A0000}" name="Column6894" dataDxfId="9509"/>
    <tableColumn id="6900" xr3:uid="{00000000-0010-0000-0300-0000F41A0000}" name="Column6895" dataDxfId="9508"/>
    <tableColumn id="6901" xr3:uid="{00000000-0010-0000-0300-0000F51A0000}" name="Column6896" dataDxfId="9507"/>
    <tableColumn id="6902" xr3:uid="{00000000-0010-0000-0300-0000F61A0000}" name="Column6897" dataDxfId="9506"/>
    <tableColumn id="6903" xr3:uid="{00000000-0010-0000-0300-0000F71A0000}" name="Column6898" dataDxfId="9505"/>
    <tableColumn id="6904" xr3:uid="{00000000-0010-0000-0300-0000F81A0000}" name="Column6899" dataDxfId="9504"/>
    <tableColumn id="6905" xr3:uid="{00000000-0010-0000-0300-0000F91A0000}" name="Column6900" dataDxfId="9503"/>
    <tableColumn id="6906" xr3:uid="{00000000-0010-0000-0300-0000FA1A0000}" name="Column6901" dataDxfId="9502"/>
    <tableColumn id="6907" xr3:uid="{00000000-0010-0000-0300-0000FB1A0000}" name="Column6902" dataDxfId="9501"/>
    <tableColumn id="6908" xr3:uid="{00000000-0010-0000-0300-0000FC1A0000}" name="Column6903" dataDxfId="9500"/>
    <tableColumn id="6909" xr3:uid="{00000000-0010-0000-0300-0000FD1A0000}" name="Column6904" dataDxfId="9499"/>
    <tableColumn id="6910" xr3:uid="{00000000-0010-0000-0300-0000FE1A0000}" name="Column6905" dataDxfId="9498"/>
    <tableColumn id="6911" xr3:uid="{00000000-0010-0000-0300-0000FF1A0000}" name="Column6906" dataDxfId="9497"/>
    <tableColumn id="6912" xr3:uid="{00000000-0010-0000-0300-0000001B0000}" name="Column6907" dataDxfId="9496"/>
    <tableColumn id="6913" xr3:uid="{00000000-0010-0000-0300-0000011B0000}" name="Column6908" dataDxfId="9495"/>
    <tableColumn id="6914" xr3:uid="{00000000-0010-0000-0300-0000021B0000}" name="Column6909" dataDxfId="9494"/>
    <tableColumn id="6915" xr3:uid="{00000000-0010-0000-0300-0000031B0000}" name="Column6910" dataDxfId="9493"/>
    <tableColumn id="6916" xr3:uid="{00000000-0010-0000-0300-0000041B0000}" name="Column6911" dataDxfId="9492"/>
    <tableColumn id="6917" xr3:uid="{00000000-0010-0000-0300-0000051B0000}" name="Column6912" dataDxfId="9491"/>
    <tableColumn id="6918" xr3:uid="{00000000-0010-0000-0300-0000061B0000}" name="Column6913" dataDxfId="9490"/>
    <tableColumn id="6919" xr3:uid="{00000000-0010-0000-0300-0000071B0000}" name="Column6914" dataDxfId="9489"/>
    <tableColumn id="6920" xr3:uid="{00000000-0010-0000-0300-0000081B0000}" name="Column6915" dataDxfId="9488"/>
    <tableColumn id="6921" xr3:uid="{00000000-0010-0000-0300-0000091B0000}" name="Column6916" dataDxfId="9487"/>
    <tableColumn id="6922" xr3:uid="{00000000-0010-0000-0300-00000A1B0000}" name="Column6917" dataDxfId="9486"/>
    <tableColumn id="6923" xr3:uid="{00000000-0010-0000-0300-00000B1B0000}" name="Column6918" dataDxfId="9485"/>
    <tableColumn id="6924" xr3:uid="{00000000-0010-0000-0300-00000C1B0000}" name="Column6919" dataDxfId="9484"/>
    <tableColumn id="6925" xr3:uid="{00000000-0010-0000-0300-00000D1B0000}" name="Column6920" dataDxfId="9483"/>
    <tableColumn id="6926" xr3:uid="{00000000-0010-0000-0300-00000E1B0000}" name="Column6921" dataDxfId="9482"/>
    <tableColumn id="6927" xr3:uid="{00000000-0010-0000-0300-00000F1B0000}" name="Column6922" dataDxfId="9481"/>
    <tableColumn id="6928" xr3:uid="{00000000-0010-0000-0300-0000101B0000}" name="Column6923" dataDxfId="9480"/>
    <tableColumn id="6929" xr3:uid="{00000000-0010-0000-0300-0000111B0000}" name="Column6924" dataDxfId="9479"/>
    <tableColumn id="6930" xr3:uid="{00000000-0010-0000-0300-0000121B0000}" name="Column6925" dataDxfId="9478"/>
    <tableColumn id="6931" xr3:uid="{00000000-0010-0000-0300-0000131B0000}" name="Column6926" dataDxfId="9477"/>
    <tableColumn id="6932" xr3:uid="{00000000-0010-0000-0300-0000141B0000}" name="Column6927" dataDxfId="9476"/>
    <tableColumn id="6933" xr3:uid="{00000000-0010-0000-0300-0000151B0000}" name="Column6928" dataDxfId="9475"/>
    <tableColumn id="6934" xr3:uid="{00000000-0010-0000-0300-0000161B0000}" name="Column6929" dataDxfId="9474"/>
    <tableColumn id="6935" xr3:uid="{00000000-0010-0000-0300-0000171B0000}" name="Column6930" dataDxfId="9473"/>
    <tableColumn id="6936" xr3:uid="{00000000-0010-0000-0300-0000181B0000}" name="Column6931" dataDxfId="9472"/>
    <tableColumn id="6937" xr3:uid="{00000000-0010-0000-0300-0000191B0000}" name="Column6932" dataDxfId="9471"/>
    <tableColumn id="6938" xr3:uid="{00000000-0010-0000-0300-00001A1B0000}" name="Column6933" dataDxfId="9470"/>
    <tableColumn id="6939" xr3:uid="{00000000-0010-0000-0300-00001B1B0000}" name="Column6934" dataDxfId="9469"/>
    <tableColumn id="6940" xr3:uid="{00000000-0010-0000-0300-00001C1B0000}" name="Column6935" dataDxfId="9468"/>
    <tableColumn id="6941" xr3:uid="{00000000-0010-0000-0300-00001D1B0000}" name="Column6936" dataDxfId="9467"/>
    <tableColumn id="6942" xr3:uid="{00000000-0010-0000-0300-00001E1B0000}" name="Column6937" dataDxfId="9466"/>
    <tableColumn id="6943" xr3:uid="{00000000-0010-0000-0300-00001F1B0000}" name="Column6938" dataDxfId="9465"/>
    <tableColumn id="6944" xr3:uid="{00000000-0010-0000-0300-0000201B0000}" name="Column6939" dataDxfId="9464"/>
    <tableColumn id="6945" xr3:uid="{00000000-0010-0000-0300-0000211B0000}" name="Column6940" dataDxfId="9463"/>
    <tableColumn id="6946" xr3:uid="{00000000-0010-0000-0300-0000221B0000}" name="Column6941" dataDxfId="9462"/>
    <tableColumn id="6947" xr3:uid="{00000000-0010-0000-0300-0000231B0000}" name="Column6942" dataDxfId="9461"/>
    <tableColumn id="6948" xr3:uid="{00000000-0010-0000-0300-0000241B0000}" name="Column6943" dataDxfId="9460"/>
    <tableColumn id="6949" xr3:uid="{00000000-0010-0000-0300-0000251B0000}" name="Column6944" dataDxfId="9459"/>
    <tableColumn id="6950" xr3:uid="{00000000-0010-0000-0300-0000261B0000}" name="Column6945" dataDxfId="9458"/>
    <tableColumn id="6951" xr3:uid="{00000000-0010-0000-0300-0000271B0000}" name="Column6946" dataDxfId="9457"/>
    <tableColumn id="6952" xr3:uid="{00000000-0010-0000-0300-0000281B0000}" name="Column6947" dataDxfId="9456"/>
    <tableColumn id="6953" xr3:uid="{00000000-0010-0000-0300-0000291B0000}" name="Column6948" dataDxfId="9455"/>
    <tableColumn id="6954" xr3:uid="{00000000-0010-0000-0300-00002A1B0000}" name="Column6949" dataDxfId="9454"/>
    <tableColumn id="6955" xr3:uid="{00000000-0010-0000-0300-00002B1B0000}" name="Column6950" dataDxfId="9453"/>
    <tableColumn id="6956" xr3:uid="{00000000-0010-0000-0300-00002C1B0000}" name="Column6951" dataDxfId="9452"/>
    <tableColumn id="6957" xr3:uid="{00000000-0010-0000-0300-00002D1B0000}" name="Column6952" dataDxfId="9451"/>
    <tableColumn id="6958" xr3:uid="{00000000-0010-0000-0300-00002E1B0000}" name="Column6953" dataDxfId="9450"/>
    <tableColumn id="6959" xr3:uid="{00000000-0010-0000-0300-00002F1B0000}" name="Column6954" dataDxfId="9449"/>
    <tableColumn id="6960" xr3:uid="{00000000-0010-0000-0300-0000301B0000}" name="Column6955" dataDxfId="9448"/>
    <tableColumn id="6961" xr3:uid="{00000000-0010-0000-0300-0000311B0000}" name="Column6956" dataDxfId="9447"/>
    <tableColumn id="6962" xr3:uid="{00000000-0010-0000-0300-0000321B0000}" name="Column6957" dataDxfId="9446"/>
    <tableColumn id="6963" xr3:uid="{00000000-0010-0000-0300-0000331B0000}" name="Column6958" dataDxfId="9445"/>
    <tableColumn id="6964" xr3:uid="{00000000-0010-0000-0300-0000341B0000}" name="Column6959" dataDxfId="9444"/>
    <tableColumn id="6965" xr3:uid="{00000000-0010-0000-0300-0000351B0000}" name="Column6960" dataDxfId="9443"/>
    <tableColumn id="6966" xr3:uid="{00000000-0010-0000-0300-0000361B0000}" name="Column6961" dataDxfId="9442"/>
    <tableColumn id="6967" xr3:uid="{00000000-0010-0000-0300-0000371B0000}" name="Column6962" dataDxfId="9441"/>
    <tableColumn id="6968" xr3:uid="{00000000-0010-0000-0300-0000381B0000}" name="Column6963" dataDxfId="9440"/>
    <tableColumn id="6969" xr3:uid="{00000000-0010-0000-0300-0000391B0000}" name="Column6964" dataDxfId="9439"/>
    <tableColumn id="6970" xr3:uid="{00000000-0010-0000-0300-00003A1B0000}" name="Column6965" dataDxfId="9438"/>
    <tableColumn id="6971" xr3:uid="{00000000-0010-0000-0300-00003B1B0000}" name="Column6966" dataDxfId="9437"/>
    <tableColumn id="6972" xr3:uid="{00000000-0010-0000-0300-00003C1B0000}" name="Column6967" dataDxfId="9436"/>
    <tableColumn id="6973" xr3:uid="{00000000-0010-0000-0300-00003D1B0000}" name="Column6968" dataDxfId="9435"/>
    <tableColumn id="6974" xr3:uid="{00000000-0010-0000-0300-00003E1B0000}" name="Column6969" dataDxfId="9434"/>
    <tableColumn id="6975" xr3:uid="{00000000-0010-0000-0300-00003F1B0000}" name="Column6970" dataDxfId="9433"/>
    <tableColumn id="6976" xr3:uid="{00000000-0010-0000-0300-0000401B0000}" name="Column6971" dataDxfId="9432"/>
    <tableColumn id="6977" xr3:uid="{00000000-0010-0000-0300-0000411B0000}" name="Column6972" dataDxfId="9431"/>
    <tableColumn id="6978" xr3:uid="{00000000-0010-0000-0300-0000421B0000}" name="Column6973" dataDxfId="9430"/>
    <tableColumn id="6979" xr3:uid="{00000000-0010-0000-0300-0000431B0000}" name="Column6974" dataDxfId="9429"/>
    <tableColumn id="6980" xr3:uid="{00000000-0010-0000-0300-0000441B0000}" name="Column6975" dataDxfId="9428"/>
    <tableColumn id="6981" xr3:uid="{00000000-0010-0000-0300-0000451B0000}" name="Column6976" dataDxfId="9427"/>
    <tableColumn id="6982" xr3:uid="{00000000-0010-0000-0300-0000461B0000}" name="Column6977" dataDxfId="9426"/>
    <tableColumn id="6983" xr3:uid="{00000000-0010-0000-0300-0000471B0000}" name="Column6978" dataDxfId="9425"/>
    <tableColumn id="6984" xr3:uid="{00000000-0010-0000-0300-0000481B0000}" name="Column6979" dataDxfId="9424"/>
    <tableColumn id="6985" xr3:uid="{00000000-0010-0000-0300-0000491B0000}" name="Column6980" dataDxfId="9423"/>
    <tableColumn id="6986" xr3:uid="{00000000-0010-0000-0300-00004A1B0000}" name="Column6981" dataDxfId="9422"/>
    <tableColumn id="6987" xr3:uid="{00000000-0010-0000-0300-00004B1B0000}" name="Column6982" dataDxfId="9421"/>
    <tableColumn id="6988" xr3:uid="{00000000-0010-0000-0300-00004C1B0000}" name="Column6983" dataDxfId="9420"/>
    <tableColumn id="6989" xr3:uid="{00000000-0010-0000-0300-00004D1B0000}" name="Column6984" dataDxfId="9419"/>
    <tableColumn id="6990" xr3:uid="{00000000-0010-0000-0300-00004E1B0000}" name="Column6985" dataDxfId="9418"/>
    <tableColumn id="6991" xr3:uid="{00000000-0010-0000-0300-00004F1B0000}" name="Column6986" dataDxfId="9417"/>
    <tableColumn id="6992" xr3:uid="{00000000-0010-0000-0300-0000501B0000}" name="Column6987" dataDxfId="9416"/>
    <tableColumn id="6993" xr3:uid="{00000000-0010-0000-0300-0000511B0000}" name="Column6988" dataDxfId="9415"/>
    <tableColumn id="6994" xr3:uid="{00000000-0010-0000-0300-0000521B0000}" name="Column6989" dataDxfId="9414"/>
    <tableColumn id="6995" xr3:uid="{00000000-0010-0000-0300-0000531B0000}" name="Column6990" dataDxfId="9413"/>
    <tableColumn id="6996" xr3:uid="{00000000-0010-0000-0300-0000541B0000}" name="Column6991" dataDxfId="9412"/>
    <tableColumn id="6997" xr3:uid="{00000000-0010-0000-0300-0000551B0000}" name="Column6992" dataDxfId="9411"/>
    <tableColumn id="6998" xr3:uid="{00000000-0010-0000-0300-0000561B0000}" name="Column6993" dataDxfId="9410"/>
    <tableColumn id="6999" xr3:uid="{00000000-0010-0000-0300-0000571B0000}" name="Column6994" dataDxfId="9409"/>
    <tableColumn id="7000" xr3:uid="{00000000-0010-0000-0300-0000581B0000}" name="Column6995" dataDxfId="9408"/>
    <tableColumn id="7001" xr3:uid="{00000000-0010-0000-0300-0000591B0000}" name="Column6996" dataDxfId="9407"/>
    <tableColumn id="7002" xr3:uid="{00000000-0010-0000-0300-00005A1B0000}" name="Column6997" dataDxfId="9406"/>
    <tableColumn id="7003" xr3:uid="{00000000-0010-0000-0300-00005B1B0000}" name="Column6998" dataDxfId="9405"/>
    <tableColumn id="7004" xr3:uid="{00000000-0010-0000-0300-00005C1B0000}" name="Column6999" dataDxfId="9404"/>
    <tableColumn id="7005" xr3:uid="{00000000-0010-0000-0300-00005D1B0000}" name="Column7000" dataDxfId="9403"/>
    <tableColumn id="7006" xr3:uid="{00000000-0010-0000-0300-00005E1B0000}" name="Column7001" dataDxfId="9402"/>
    <tableColumn id="7007" xr3:uid="{00000000-0010-0000-0300-00005F1B0000}" name="Column7002" dataDxfId="9401"/>
    <tableColumn id="7008" xr3:uid="{00000000-0010-0000-0300-0000601B0000}" name="Column7003" dataDxfId="9400"/>
    <tableColumn id="7009" xr3:uid="{00000000-0010-0000-0300-0000611B0000}" name="Column7004" dataDxfId="9399"/>
    <tableColumn id="7010" xr3:uid="{00000000-0010-0000-0300-0000621B0000}" name="Column7005" dataDxfId="9398"/>
    <tableColumn id="7011" xr3:uid="{00000000-0010-0000-0300-0000631B0000}" name="Column7006" dataDxfId="9397"/>
    <tableColumn id="7012" xr3:uid="{00000000-0010-0000-0300-0000641B0000}" name="Column7007" dataDxfId="9396"/>
    <tableColumn id="7013" xr3:uid="{00000000-0010-0000-0300-0000651B0000}" name="Column7008" dataDxfId="9395"/>
    <tableColumn id="7014" xr3:uid="{00000000-0010-0000-0300-0000661B0000}" name="Column7009" dataDxfId="9394"/>
    <tableColumn id="7015" xr3:uid="{00000000-0010-0000-0300-0000671B0000}" name="Column7010" dataDxfId="9393"/>
    <tableColumn id="7016" xr3:uid="{00000000-0010-0000-0300-0000681B0000}" name="Column7011" dataDxfId="9392"/>
    <tableColumn id="7017" xr3:uid="{00000000-0010-0000-0300-0000691B0000}" name="Column7012" dataDxfId="9391"/>
    <tableColumn id="7018" xr3:uid="{00000000-0010-0000-0300-00006A1B0000}" name="Column7013" dataDxfId="9390"/>
    <tableColumn id="7019" xr3:uid="{00000000-0010-0000-0300-00006B1B0000}" name="Column7014" dataDxfId="9389"/>
    <tableColumn id="7020" xr3:uid="{00000000-0010-0000-0300-00006C1B0000}" name="Column7015" dataDxfId="9388"/>
    <tableColumn id="7021" xr3:uid="{00000000-0010-0000-0300-00006D1B0000}" name="Column7016" dataDxfId="9387"/>
    <tableColumn id="7022" xr3:uid="{00000000-0010-0000-0300-00006E1B0000}" name="Column7017" dataDxfId="9386"/>
    <tableColumn id="7023" xr3:uid="{00000000-0010-0000-0300-00006F1B0000}" name="Column7018" dataDxfId="9385"/>
    <tableColumn id="7024" xr3:uid="{00000000-0010-0000-0300-0000701B0000}" name="Column7019" dataDxfId="9384"/>
    <tableColumn id="7025" xr3:uid="{00000000-0010-0000-0300-0000711B0000}" name="Column7020" dataDxfId="9383"/>
    <tableColumn id="7026" xr3:uid="{00000000-0010-0000-0300-0000721B0000}" name="Column7021" dataDxfId="9382"/>
    <tableColumn id="7027" xr3:uid="{00000000-0010-0000-0300-0000731B0000}" name="Column7022" dataDxfId="9381"/>
    <tableColumn id="7028" xr3:uid="{00000000-0010-0000-0300-0000741B0000}" name="Column7023" dataDxfId="9380"/>
    <tableColumn id="7029" xr3:uid="{00000000-0010-0000-0300-0000751B0000}" name="Column7024" dataDxfId="9379"/>
    <tableColumn id="7030" xr3:uid="{00000000-0010-0000-0300-0000761B0000}" name="Column7025" dataDxfId="9378"/>
    <tableColumn id="7031" xr3:uid="{00000000-0010-0000-0300-0000771B0000}" name="Column7026" dataDxfId="9377"/>
    <tableColumn id="7032" xr3:uid="{00000000-0010-0000-0300-0000781B0000}" name="Column7027" dataDxfId="9376"/>
    <tableColumn id="7033" xr3:uid="{00000000-0010-0000-0300-0000791B0000}" name="Column7028" dataDxfId="9375"/>
    <tableColumn id="7034" xr3:uid="{00000000-0010-0000-0300-00007A1B0000}" name="Column7029" dataDxfId="9374"/>
    <tableColumn id="7035" xr3:uid="{00000000-0010-0000-0300-00007B1B0000}" name="Column7030" dataDxfId="9373"/>
    <tableColumn id="7036" xr3:uid="{00000000-0010-0000-0300-00007C1B0000}" name="Column7031" dataDxfId="9372"/>
    <tableColumn id="7037" xr3:uid="{00000000-0010-0000-0300-00007D1B0000}" name="Column7032" dataDxfId="9371"/>
    <tableColumn id="7038" xr3:uid="{00000000-0010-0000-0300-00007E1B0000}" name="Column7033" dataDxfId="9370"/>
    <tableColumn id="7039" xr3:uid="{00000000-0010-0000-0300-00007F1B0000}" name="Column7034" dataDxfId="9369"/>
    <tableColumn id="7040" xr3:uid="{00000000-0010-0000-0300-0000801B0000}" name="Column7035" dataDxfId="9368"/>
    <tableColumn id="7041" xr3:uid="{00000000-0010-0000-0300-0000811B0000}" name="Column7036" dataDxfId="9367"/>
    <tableColumn id="7042" xr3:uid="{00000000-0010-0000-0300-0000821B0000}" name="Column7037" dataDxfId="9366"/>
    <tableColumn id="7043" xr3:uid="{00000000-0010-0000-0300-0000831B0000}" name="Column7038" dataDxfId="9365"/>
    <tableColumn id="7044" xr3:uid="{00000000-0010-0000-0300-0000841B0000}" name="Column7039" dataDxfId="9364"/>
    <tableColumn id="7045" xr3:uid="{00000000-0010-0000-0300-0000851B0000}" name="Column7040" dataDxfId="9363"/>
    <tableColumn id="7046" xr3:uid="{00000000-0010-0000-0300-0000861B0000}" name="Column7041" dataDxfId="9362"/>
    <tableColumn id="7047" xr3:uid="{00000000-0010-0000-0300-0000871B0000}" name="Column7042" dataDxfId="9361"/>
    <tableColumn id="7048" xr3:uid="{00000000-0010-0000-0300-0000881B0000}" name="Column7043" dataDxfId="9360"/>
    <tableColumn id="7049" xr3:uid="{00000000-0010-0000-0300-0000891B0000}" name="Column7044" dataDxfId="9359"/>
    <tableColumn id="7050" xr3:uid="{00000000-0010-0000-0300-00008A1B0000}" name="Column7045" dataDxfId="9358"/>
    <tableColumn id="7051" xr3:uid="{00000000-0010-0000-0300-00008B1B0000}" name="Column7046" dataDxfId="9357"/>
    <tableColumn id="7052" xr3:uid="{00000000-0010-0000-0300-00008C1B0000}" name="Column7047" dataDxfId="9356"/>
    <tableColumn id="7053" xr3:uid="{00000000-0010-0000-0300-00008D1B0000}" name="Column7048" dataDxfId="9355"/>
    <tableColumn id="7054" xr3:uid="{00000000-0010-0000-0300-00008E1B0000}" name="Column7049" dataDxfId="9354"/>
    <tableColumn id="7055" xr3:uid="{00000000-0010-0000-0300-00008F1B0000}" name="Column7050" dataDxfId="9353"/>
    <tableColumn id="7056" xr3:uid="{00000000-0010-0000-0300-0000901B0000}" name="Column7051" dataDxfId="9352"/>
    <tableColumn id="7057" xr3:uid="{00000000-0010-0000-0300-0000911B0000}" name="Column7052" dataDxfId="9351"/>
    <tableColumn id="7058" xr3:uid="{00000000-0010-0000-0300-0000921B0000}" name="Column7053" dataDxfId="9350"/>
    <tableColumn id="7059" xr3:uid="{00000000-0010-0000-0300-0000931B0000}" name="Column7054" dataDxfId="9349"/>
    <tableColumn id="7060" xr3:uid="{00000000-0010-0000-0300-0000941B0000}" name="Column7055" dataDxfId="9348"/>
    <tableColumn id="7061" xr3:uid="{00000000-0010-0000-0300-0000951B0000}" name="Column7056" dataDxfId="9347"/>
    <tableColumn id="7062" xr3:uid="{00000000-0010-0000-0300-0000961B0000}" name="Column7057" dataDxfId="9346"/>
    <tableColumn id="7063" xr3:uid="{00000000-0010-0000-0300-0000971B0000}" name="Column7058" dataDxfId="9345"/>
    <tableColumn id="7064" xr3:uid="{00000000-0010-0000-0300-0000981B0000}" name="Column7059" dataDxfId="9344"/>
    <tableColumn id="7065" xr3:uid="{00000000-0010-0000-0300-0000991B0000}" name="Column7060" dataDxfId="9343"/>
    <tableColumn id="7066" xr3:uid="{00000000-0010-0000-0300-00009A1B0000}" name="Column7061" dataDxfId="9342"/>
    <tableColumn id="7067" xr3:uid="{00000000-0010-0000-0300-00009B1B0000}" name="Column7062" dataDxfId="9341"/>
    <tableColumn id="7068" xr3:uid="{00000000-0010-0000-0300-00009C1B0000}" name="Column7063" dataDxfId="9340"/>
    <tableColumn id="7069" xr3:uid="{00000000-0010-0000-0300-00009D1B0000}" name="Column7064" dataDxfId="9339"/>
    <tableColumn id="7070" xr3:uid="{00000000-0010-0000-0300-00009E1B0000}" name="Column7065" dataDxfId="9338"/>
    <tableColumn id="7071" xr3:uid="{00000000-0010-0000-0300-00009F1B0000}" name="Column7066" dataDxfId="9337"/>
    <tableColumn id="7072" xr3:uid="{00000000-0010-0000-0300-0000A01B0000}" name="Column7067" dataDxfId="9336"/>
    <tableColumn id="7073" xr3:uid="{00000000-0010-0000-0300-0000A11B0000}" name="Column7068" dataDxfId="9335"/>
    <tableColumn id="7074" xr3:uid="{00000000-0010-0000-0300-0000A21B0000}" name="Column7069" dataDxfId="9334"/>
    <tableColumn id="7075" xr3:uid="{00000000-0010-0000-0300-0000A31B0000}" name="Column7070" dataDxfId="9333"/>
    <tableColumn id="7076" xr3:uid="{00000000-0010-0000-0300-0000A41B0000}" name="Column7071" dataDxfId="9332"/>
    <tableColumn id="7077" xr3:uid="{00000000-0010-0000-0300-0000A51B0000}" name="Column7072" dataDxfId="9331"/>
    <tableColumn id="7078" xr3:uid="{00000000-0010-0000-0300-0000A61B0000}" name="Column7073" dataDxfId="9330"/>
    <tableColumn id="7079" xr3:uid="{00000000-0010-0000-0300-0000A71B0000}" name="Column7074" dataDxfId="9329"/>
    <tableColumn id="7080" xr3:uid="{00000000-0010-0000-0300-0000A81B0000}" name="Column7075" dataDxfId="9328"/>
    <tableColumn id="7081" xr3:uid="{00000000-0010-0000-0300-0000A91B0000}" name="Column7076" dataDxfId="9327"/>
    <tableColumn id="7082" xr3:uid="{00000000-0010-0000-0300-0000AA1B0000}" name="Column7077" dataDxfId="9326"/>
    <tableColumn id="7083" xr3:uid="{00000000-0010-0000-0300-0000AB1B0000}" name="Column7078" dataDxfId="9325"/>
    <tableColumn id="7084" xr3:uid="{00000000-0010-0000-0300-0000AC1B0000}" name="Column7079" dataDxfId="9324"/>
    <tableColumn id="7085" xr3:uid="{00000000-0010-0000-0300-0000AD1B0000}" name="Column7080" dataDxfId="9323"/>
    <tableColumn id="7086" xr3:uid="{00000000-0010-0000-0300-0000AE1B0000}" name="Column7081" dataDxfId="9322"/>
    <tableColumn id="7087" xr3:uid="{00000000-0010-0000-0300-0000AF1B0000}" name="Column7082" dataDxfId="9321"/>
    <tableColumn id="7088" xr3:uid="{00000000-0010-0000-0300-0000B01B0000}" name="Column7083" dataDxfId="9320"/>
    <tableColumn id="7089" xr3:uid="{00000000-0010-0000-0300-0000B11B0000}" name="Column7084" dataDxfId="9319"/>
    <tableColumn id="7090" xr3:uid="{00000000-0010-0000-0300-0000B21B0000}" name="Column7085" dataDxfId="9318"/>
    <tableColumn id="7091" xr3:uid="{00000000-0010-0000-0300-0000B31B0000}" name="Column7086" dataDxfId="9317"/>
    <tableColumn id="7092" xr3:uid="{00000000-0010-0000-0300-0000B41B0000}" name="Column7087" dataDxfId="9316"/>
    <tableColumn id="7093" xr3:uid="{00000000-0010-0000-0300-0000B51B0000}" name="Column7088" dataDxfId="9315"/>
    <tableColumn id="7094" xr3:uid="{00000000-0010-0000-0300-0000B61B0000}" name="Column7089" dataDxfId="9314"/>
    <tableColumn id="7095" xr3:uid="{00000000-0010-0000-0300-0000B71B0000}" name="Column7090" dataDxfId="9313"/>
    <tableColumn id="7096" xr3:uid="{00000000-0010-0000-0300-0000B81B0000}" name="Column7091" dataDxfId="9312"/>
    <tableColumn id="7097" xr3:uid="{00000000-0010-0000-0300-0000B91B0000}" name="Column7092" dataDxfId="9311"/>
    <tableColumn id="7098" xr3:uid="{00000000-0010-0000-0300-0000BA1B0000}" name="Column7093" dataDxfId="9310"/>
    <tableColumn id="7099" xr3:uid="{00000000-0010-0000-0300-0000BB1B0000}" name="Column7094" dataDxfId="9309"/>
    <tableColumn id="7100" xr3:uid="{00000000-0010-0000-0300-0000BC1B0000}" name="Column7095" dataDxfId="9308"/>
    <tableColumn id="7101" xr3:uid="{00000000-0010-0000-0300-0000BD1B0000}" name="Column7096" dataDxfId="9307"/>
    <tableColumn id="7102" xr3:uid="{00000000-0010-0000-0300-0000BE1B0000}" name="Column7097" dataDxfId="9306"/>
    <tableColumn id="7103" xr3:uid="{00000000-0010-0000-0300-0000BF1B0000}" name="Column7098" dataDxfId="9305"/>
    <tableColumn id="7104" xr3:uid="{00000000-0010-0000-0300-0000C01B0000}" name="Column7099" dataDxfId="9304"/>
    <tableColumn id="7105" xr3:uid="{00000000-0010-0000-0300-0000C11B0000}" name="Column7100" dataDxfId="9303"/>
    <tableColumn id="7106" xr3:uid="{00000000-0010-0000-0300-0000C21B0000}" name="Column7101" dataDxfId="9302"/>
    <tableColumn id="7107" xr3:uid="{00000000-0010-0000-0300-0000C31B0000}" name="Column7102" dataDxfId="9301"/>
    <tableColumn id="7108" xr3:uid="{00000000-0010-0000-0300-0000C41B0000}" name="Column7103" dataDxfId="9300"/>
    <tableColumn id="7109" xr3:uid="{00000000-0010-0000-0300-0000C51B0000}" name="Column7104" dataDxfId="9299"/>
    <tableColumn id="7110" xr3:uid="{00000000-0010-0000-0300-0000C61B0000}" name="Column7105" dataDxfId="9298"/>
    <tableColumn id="7111" xr3:uid="{00000000-0010-0000-0300-0000C71B0000}" name="Column7106" dataDxfId="9297"/>
    <tableColumn id="7112" xr3:uid="{00000000-0010-0000-0300-0000C81B0000}" name="Column7107" dataDxfId="9296"/>
    <tableColumn id="7113" xr3:uid="{00000000-0010-0000-0300-0000C91B0000}" name="Column7108" dataDxfId="9295"/>
    <tableColumn id="7114" xr3:uid="{00000000-0010-0000-0300-0000CA1B0000}" name="Column7109" dataDxfId="9294"/>
    <tableColumn id="7115" xr3:uid="{00000000-0010-0000-0300-0000CB1B0000}" name="Column7110" dataDxfId="9293"/>
    <tableColumn id="7116" xr3:uid="{00000000-0010-0000-0300-0000CC1B0000}" name="Column7111" dataDxfId="9292"/>
    <tableColumn id="7117" xr3:uid="{00000000-0010-0000-0300-0000CD1B0000}" name="Column7112" dataDxfId="9291"/>
    <tableColumn id="7118" xr3:uid="{00000000-0010-0000-0300-0000CE1B0000}" name="Column7113" dataDxfId="9290"/>
    <tableColumn id="7119" xr3:uid="{00000000-0010-0000-0300-0000CF1B0000}" name="Column7114" dataDxfId="9289"/>
    <tableColumn id="7120" xr3:uid="{00000000-0010-0000-0300-0000D01B0000}" name="Column7115" dataDxfId="9288"/>
    <tableColumn id="7121" xr3:uid="{00000000-0010-0000-0300-0000D11B0000}" name="Column7116" dataDxfId="9287"/>
    <tableColumn id="7122" xr3:uid="{00000000-0010-0000-0300-0000D21B0000}" name="Column7117" dataDxfId="9286"/>
    <tableColumn id="7123" xr3:uid="{00000000-0010-0000-0300-0000D31B0000}" name="Column7118" dataDxfId="9285"/>
    <tableColumn id="7124" xr3:uid="{00000000-0010-0000-0300-0000D41B0000}" name="Column7119" dataDxfId="9284"/>
    <tableColumn id="7125" xr3:uid="{00000000-0010-0000-0300-0000D51B0000}" name="Column7120" dataDxfId="9283"/>
    <tableColumn id="7126" xr3:uid="{00000000-0010-0000-0300-0000D61B0000}" name="Column7121" dataDxfId="9282"/>
    <tableColumn id="7127" xr3:uid="{00000000-0010-0000-0300-0000D71B0000}" name="Column7122" dataDxfId="9281"/>
    <tableColumn id="7128" xr3:uid="{00000000-0010-0000-0300-0000D81B0000}" name="Column7123" dataDxfId="9280"/>
    <tableColumn id="7129" xr3:uid="{00000000-0010-0000-0300-0000D91B0000}" name="Column7124" dataDxfId="9279"/>
    <tableColumn id="7130" xr3:uid="{00000000-0010-0000-0300-0000DA1B0000}" name="Column7125" dataDxfId="9278"/>
    <tableColumn id="7131" xr3:uid="{00000000-0010-0000-0300-0000DB1B0000}" name="Column7126" dataDxfId="9277"/>
    <tableColumn id="7132" xr3:uid="{00000000-0010-0000-0300-0000DC1B0000}" name="Column7127" dataDxfId="9276"/>
    <tableColumn id="7133" xr3:uid="{00000000-0010-0000-0300-0000DD1B0000}" name="Column7128" dataDxfId="9275"/>
    <tableColumn id="7134" xr3:uid="{00000000-0010-0000-0300-0000DE1B0000}" name="Column7129" dataDxfId="9274"/>
    <tableColumn id="7135" xr3:uid="{00000000-0010-0000-0300-0000DF1B0000}" name="Column7130" dataDxfId="9273"/>
    <tableColumn id="7136" xr3:uid="{00000000-0010-0000-0300-0000E01B0000}" name="Column7131" dataDxfId="9272"/>
    <tableColumn id="7137" xr3:uid="{00000000-0010-0000-0300-0000E11B0000}" name="Column7132" dataDxfId="9271"/>
    <tableColumn id="7138" xr3:uid="{00000000-0010-0000-0300-0000E21B0000}" name="Column7133" dataDxfId="9270"/>
    <tableColumn id="7139" xr3:uid="{00000000-0010-0000-0300-0000E31B0000}" name="Column7134" dataDxfId="9269"/>
    <tableColumn id="7140" xr3:uid="{00000000-0010-0000-0300-0000E41B0000}" name="Column7135" dataDxfId="9268"/>
    <tableColumn id="7141" xr3:uid="{00000000-0010-0000-0300-0000E51B0000}" name="Column7136" dataDxfId="9267"/>
    <tableColumn id="7142" xr3:uid="{00000000-0010-0000-0300-0000E61B0000}" name="Column7137" dataDxfId="9266"/>
    <tableColumn id="7143" xr3:uid="{00000000-0010-0000-0300-0000E71B0000}" name="Column7138" dataDxfId="9265"/>
    <tableColumn id="7144" xr3:uid="{00000000-0010-0000-0300-0000E81B0000}" name="Column7139" dataDxfId="9264"/>
    <tableColumn id="7145" xr3:uid="{00000000-0010-0000-0300-0000E91B0000}" name="Column7140" dataDxfId="9263"/>
    <tableColumn id="7146" xr3:uid="{00000000-0010-0000-0300-0000EA1B0000}" name="Column7141" dataDxfId="9262"/>
    <tableColumn id="7147" xr3:uid="{00000000-0010-0000-0300-0000EB1B0000}" name="Column7142" dataDxfId="9261"/>
    <tableColumn id="7148" xr3:uid="{00000000-0010-0000-0300-0000EC1B0000}" name="Column7143" dataDxfId="9260"/>
    <tableColumn id="7149" xr3:uid="{00000000-0010-0000-0300-0000ED1B0000}" name="Column7144" dataDxfId="9259"/>
    <tableColumn id="7150" xr3:uid="{00000000-0010-0000-0300-0000EE1B0000}" name="Column7145" dataDxfId="9258"/>
    <tableColumn id="7151" xr3:uid="{00000000-0010-0000-0300-0000EF1B0000}" name="Column7146" dataDxfId="9257"/>
    <tableColumn id="7152" xr3:uid="{00000000-0010-0000-0300-0000F01B0000}" name="Column7147" dataDxfId="9256"/>
    <tableColumn id="7153" xr3:uid="{00000000-0010-0000-0300-0000F11B0000}" name="Column7148" dataDxfId="9255"/>
    <tableColumn id="7154" xr3:uid="{00000000-0010-0000-0300-0000F21B0000}" name="Column7149" dataDxfId="9254"/>
    <tableColumn id="7155" xr3:uid="{00000000-0010-0000-0300-0000F31B0000}" name="Column7150" dataDxfId="9253"/>
    <tableColumn id="7156" xr3:uid="{00000000-0010-0000-0300-0000F41B0000}" name="Column7151" dataDxfId="9252"/>
    <tableColumn id="7157" xr3:uid="{00000000-0010-0000-0300-0000F51B0000}" name="Column7152" dataDxfId="9251"/>
    <tableColumn id="7158" xr3:uid="{00000000-0010-0000-0300-0000F61B0000}" name="Column7153" dataDxfId="9250"/>
    <tableColumn id="7159" xr3:uid="{00000000-0010-0000-0300-0000F71B0000}" name="Column7154" dataDxfId="9249"/>
    <tableColumn id="7160" xr3:uid="{00000000-0010-0000-0300-0000F81B0000}" name="Column7155" dataDxfId="9248"/>
    <tableColumn id="7161" xr3:uid="{00000000-0010-0000-0300-0000F91B0000}" name="Column7156" dataDxfId="9247"/>
    <tableColumn id="7162" xr3:uid="{00000000-0010-0000-0300-0000FA1B0000}" name="Column7157" dataDxfId="9246"/>
    <tableColumn id="7163" xr3:uid="{00000000-0010-0000-0300-0000FB1B0000}" name="Column7158" dataDxfId="9245"/>
    <tableColumn id="7164" xr3:uid="{00000000-0010-0000-0300-0000FC1B0000}" name="Column7159" dataDxfId="9244"/>
    <tableColumn id="7165" xr3:uid="{00000000-0010-0000-0300-0000FD1B0000}" name="Column7160" dataDxfId="9243"/>
    <tableColumn id="7166" xr3:uid="{00000000-0010-0000-0300-0000FE1B0000}" name="Column7161" dataDxfId="9242"/>
    <tableColumn id="7167" xr3:uid="{00000000-0010-0000-0300-0000FF1B0000}" name="Column7162" dataDxfId="9241"/>
    <tableColumn id="7168" xr3:uid="{00000000-0010-0000-0300-0000001C0000}" name="Column7163" dataDxfId="9240"/>
    <tableColumn id="7169" xr3:uid="{00000000-0010-0000-0300-0000011C0000}" name="Column7164" dataDxfId="9239"/>
    <tableColumn id="7170" xr3:uid="{00000000-0010-0000-0300-0000021C0000}" name="Column7165" dataDxfId="9238"/>
    <tableColumn id="7171" xr3:uid="{00000000-0010-0000-0300-0000031C0000}" name="Column7166" dataDxfId="9237"/>
    <tableColumn id="7172" xr3:uid="{00000000-0010-0000-0300-0000041C0000}" name="Column7167" dataDxfId="9236"/>
    <tableColumn id="7173" xr3:uid="{00000000-0010-0000-0300-0000051C0000}" name="Column7168" dataDxfId="9235"/>
    <tableColumn id="7174" xr3:uid="{00000000-0010-0000-0300-0000061C0000}" name="Column7169" dataDxfId="9234"/>
    <tableColumn id="7175" xr3:uid="{00000000-0010-0000-0300-0000071C0000}" name="Column7170" dataDxfId="9233"/>
    <tableColumn id="7176" xr3:uid="{00000000-0010-0000-0300-0000081C0000}" name="Column7171" dataDxfId="9232"/>
    <tableColumn id="7177" xr3:uid="{00000000-0010-0000-0300-0000091C0000}" name="Column7172" dataDxfId="9231"/>
    <tableColumn id="7178" xr3:uid="{00000000-0010-0000-0300-00000A1C0000}" name="Column7173" dataDxfId="9230"/>
    <tableColumn id="7179" xr3:uid="{00000000-0010-0000-0300-00000B1C0000}" name="Column7174" dataDxfId="9229"/>
    <tableColumn id="7180" xr3:uid="{00000000-0010-0000-0300-00000C1C0000}" name="Column7175" dataDxfId="9228"/>
    <tableColumn id="7181" xr3:uid="{00000000-0010-0000-0300-00000D1C0000}" name="Column7176" dataDxfId="9227"/>
    <tableColumn id="7182" xr3:uid="{00000000-0010-0000-0300-00000E1C0000}" name="Column7177" dataDxfId="9226"/>
    <tableColumn id="7183" xr3:uid="{00000000-0010-0000-0300-00000F1C0000}" name="Column7178" dataDxfId="9225"/>
    <tableColumn id="7184" xr3:uid="{00000000-0010-0000-0300-0000101C0000}" name="Column7179" dataDxfId="9224"/>
    <tableColumn id="7185" xr3:uid="{00000000-0010-0000-0300-0000111C0000}" name="Column7180" dataDxfId="9223"/>
    <tableColumn id="7186" xr3:uid="{00000000-0010-0000-0300-0000121C0000}" name="Column7181" dataDxfId="9222"/>
    <tableColumn id="7187" xr3:uid="{00000000-0010-0000-0300-0000131C0000}" name="Column7182" dataDxfId="9221"/>
    <tableColumn id="7188" xr3:uid="{00000000-0010-0000-0300-0000141C0000}" name="Column7183" dataDxfId="9220"/>
    <tableColumn id="7189" xr3:uid="{00000000-0010-0000-0300-0000151C0000}" name="Column7184" dataDxfId="9219"/>
    <tableColumn id="7190" xr3:uid="{00000000-0010-0000-0300-0000161C0000}" name="Column7185" dataDxfId="9218"/>
    <tableColumn id="7191" xr3:uid="{00000000-0010-0000-0300-0000171C0000}" name="Column7186" dataDxfId="9217"/>
    <tableColumn id="7192" xr3:uid="{00000000-0010-0000-0300-0000181C0000}" name="Column7187" dataDxfId="9216"/>
    <tableColumn id="7193" xr3:uid="{00000000-0010-0000-0300-0000191C0000}" name="Column7188" dataDxfId="9215"/>
    <tableColumn id="7194" xr3:uid="{00000000-0010-0000-0300-00001A1C0000}" name="Column7189" dataDxfId="9214"/>
    <tableColumn id="7195" xr3:uid="{00000000-0010-0000-0300-00001B1C0000}" name="Column7190" dataDxfId="9213"/>
    <tableColumn id="7196" xr3:uid="{00000000-0010-0000-0300-00001C1C0000}" name="Column7191" dataDxfId="9212"/>
    <tableColumn id="7197" xr3:uid="{00000000-0010-0000-0300-00001D1C0000}" name="Column7192" dataDxfId="9211"/>
    <tableColumn id="7198" xr3:uid="{00000000-0010-0000-0300-00001E1C0000}" name="Column7193" dataDxfId="9210"/>
    <tableColumn id="7199" xr3:uid="{00000000-0010-0000-0300-00001F1C0000}" name="Column7194" dataDxfId="9209"/>
    <tableColumn id="7200" xr3:uid="{00000000-0010-0000-0300-0000201C0000}" name="Column7195" dataDxfId="9208"/>
    <tableColumn id="7201" xr3:uid="{00000000-0010-0000-0300-0000211C0000}" name="Column7196" dataDxfId="9207"/>
    <tableColumn id="7202" xr3:uid="{00000000-0010-0000-0300-0000221C0000}" name="Column7197" dataDxfId="9206"/>
    <tableColumn id="7203" xr3:uid="{00000000-0010-0000-0300-0000231C0000}" name="Column7198" dataDxfId="9205"/>
    <tableColumn id="7204" xr3:uid="{00000000-0010-0000-0300-0000241C0000}" name="Column7199" dataDxfId="9204"/>
    <tableColumn id="7205" xr3:uid="{00000000-0010-0000-0300-0000251C0000}" name="Column7200" dataDxfId="9203"/>
    <tableColumn id="7206" xr3:uid="{00000000-0010-0000-0300-0000261C0000}" name="Column7201" dataDxfId="9202"/>
    <tableColumn id="7207" xr3:uid="{00000000-0010-0000-0300-0000271C0000}" name="Column7202" dataDxfId="9201"/>
    <tableColumn id="7208" xr3:uid="{00000000-0010-0000-0300-0000281C0000}" name="Column7203" dataDxfId="9200"/>
    <tableColumn id="7209" xr3:uid="{00000000-0010-0000-0300-0000291C0000}" name="Column7204" dataDxfId="9199"/>
    <tableColumn id="7210" xr3:uid="{00000000-0010-0000-0300-00002A1C0000}" name="Column7205" dataDxfId="9198"/>
    <tableColumn id="7211" xr3:uid="{00000000-0010-0000-0300-00002B1C0000}" name="Column7206" dataDxfId="9197"/>
    <tableColumn id="7212" xr3:uid="{00000000-0010-0000-0300-00002C1C0000}" name="Column7207" dataDxfId="9196"/>
    <tableColumn id="7213" xr3:uid="{00000000-0010-0000-0300-00002D1C0000}" name="Column7208" dataDxfId="9195"/>
    <tableColumn id="7214" xr3:uid="{00000000-0010-0000-0300-00002E1C0000}" name="Column7209" dataDxfId="9194"/>
    <tableColumn id="7215" xr3:uid="{00000000-0010-0000-0300-00002F1C0000}" name="Column7210" dataDxfId="9193"/>
    <tableColumn id="7216" xr3:uid="{00000000-0010-0000-0300-0000301C0000}" name="Column7211" dataDxfId="9192"/>
    <tableColumn id="7217" xr3:uid="{00000000-0010-0000-0300-0000311C0000}" name="Column7212" dataDxfId="9191"/>
    <tableColumn id="7218" xr3:uid="{00000000-0010-0000-0300-0000321C0000}" name="Column7213" dataDxfId="9190"/>
    <tableColumn id="7219" xr3:uid="{00000000-0010-0000-0300-0000331C0000}" name="Column7214" dataDxfId="9189"/>
    <tableColumn id="7220" xr3:uid="{00000000-0010-0000-0300-0000341C0000}" name="Column7215" dataDxfId="9188"/>
    <tableColumn id="7221" xr3:uid="{00000000-0010-0000-0300-0000351C0000}" name="Column7216" dataDxfId="9187"/>
    <tableColumn id="7222" xr3:uid="{00000000-0010-0000-0300-0000361C0000}" name="Column7217" dataDxfId="9186"/>
    <tableColumn id="7223" xr3:uid="{00000000-0010-0000-0300-0000371C0000}" name="Column7218" dataDxfId="9185"/>
    <tableColumn id="7224" xr3:uid="{00000000-0010-0000-0300-0000381C0000}" name="Column7219" dataDxfId="9184"/>
    <tableColumn id="7225" xr3:uid="{00000000-0010-0000-0300-0000391C0000}" name="Column7220" dataDxfId="9183"/>
    <tableColumn id="7226" xr3:uid="{00000000-0010-0000-0300-00003A1C0000}" name="Column7221" dataDxfId="9182"/>
    <tableColumn id="7227" xr3:uid="{00000000-0010-0000-0300-00003B1C0000}" name="Column7222" dataDxfId="9181"/>
    <tableColumn id="7228" xr3:uid="{00000000-0010-0000-0300-00003C1C0000}" name="Column7223" dataDxfId="9180"/>
    <tableColumn id="7229" xr3:uid="{00000000-0010-0000-0300-00003D1C0000}" name="Column7224" dataDxfId="9179"/>
    <tableColumn id="7230" xr3:uid="{00000000-0010-0000-0300-00003E1C0000}" name="Column7225" dataDxfId="9178"/>
    <tableColumn id="7231" xr3:uid="{00000000-0010-0000-0300-00003F1C0000}" name="Column7226" dataDxfId="9177"/>
    <tableColumn id="7232" xr3:uid="{00000000-0010-0000-0300-0000401C0000}" name="Column7227" dataDxfId="9176"/>
    <tableColumn id="7233" xr3:uid="{00000000-0010-0000-0300-0000411C0000}" name="Column7228" dataDxfId="9175"/>
    <tableColumn id="7234" xr3:uid="{00000000-0010-0000-0300-0000421C0000}" name="Column7229" dataDxfId="9174"/>
    <tableColumn id="7235" xr3:uid="{00000000-0010-0000-0300-0000431C0000}" name="Column7230" dataDxfId="9173"/>
    <tableColumn id="7236" xr3:uid="{00000000-0010-0000-0300-0000441C0000}" name="Column7231" dataDxfId="9172"/>
    <tableColumn id="7237" xr3:uid="{00000000-0010-0000-0300-0000451C0000}" name="Column7232" dataDxfId="9171"/>
    <tableColumn id="7238" xr3:uid="{00000000-0010-0000-0300-0000461C0000}" name="Column7233" dataDxfId="9170"/>
    <tableColumn id="7239" xr3:uid="{00000000-0010-0000-0300-0000471C0000}" name="Column7234" dataDxfId="9169"/>
    <tableColumn id="7240" xr3:uid="{00000000-0010-0000-0300-0000481C0000}" name="Column7235" dataDxfId="9168"/>
    <tableColumn id="7241" xr3:uid="{00000000-0010-0000-0300-0000491C0000}" name="Column7236" dataDxfId="9167"/>
    <tableColumn id="7242" xr3:uid="{00000000-0010-0000-0300-00004A1C0000}" name="Column7237" dataDxfId="9166"/>
    <tableColumn id="7243" xr3:uid="{00000000-0010-0000-0300-00004B1C0000}" name="Column7238" dataDxfId="9165"/>
    <tableColumn id="7244" xr3:uid="{00000000-0010-0000-0300-00004C1C0000}" name="Column7239" dataDxfId="9164"/>
    <tableColumn id="7245" xr3:uid="{00000000-0010-0000-0300-00004D1C0000}" name="Column7240" dataDxfId="9163"/>
    <tableColumn id="7246" xr3:uid="{00000000-0010-0000-0300-00004E1C0000}" name="Column7241" dataDxfId="9162"/>
    <tableColumn id="7247" xr3:uid="{00000000-0010-0000-0300-00004F1C0000}" name="Column7242" dataDxfId="9161"/>
    <tableColumn id="7248" xr3:uid="{00000000-0010-0000-0300-0000501C0000}" name="Column7243" dataDxfId="9160"/>
    <tableColumn id="7249" xr3:uid="{00000000-0010-0000-0300-0000511C0000}" name="Column7244" dataDxfId="9159"/>
    <tableColumn id="7250" xr3:uid="{00000000-0010-0000-0300-0000521C0000}" name="Column7245" dataDxfId="9158"/>
    <tableColumn id="7251" xr3:uid="{00000000-0010-0000-0300-0000531C0000}" name="Column7246" dataDxfId="9157"/>
    <tableColumn id="7252" xr3:uid="{00000000-0010-0000-0300-0000541C0000}" name="Column7247" dataDxfId="9156"/>
    <tableColumn id="7253" xr3:uid="{00000000-0010-0000-0300-0000551C0000}" name="Column7248" dataDxfId="9155"/>
    <tableColumn id="7254" xr3:uid="{00000000-0010-0000-0300-0000561C0000}" name="Column7249" dataDxfId="9154"/>
    <tableColumn id="7255" xr3:uid="{00000000-0010-0000-0300-0000571C0000}" name="Column7250" dataDxfId="9153"/>
    <tableColumn id="7256" xr3:uid="{00000000-0010-0000-0300-0000581C0000}" name="Column7251" dataDxfId="9152"/>
    <tableColumn id="7257" xr3:uid="{00000000-0010-0000-0300-0000591C0000}" name="Column7252" dataDxfId="9151"/>
    <tableColumn id="7258" xr3:uid="{00000000-0010-0000-0300-00005A1C0000}" name="Column7253" dataDxfId="9150"/>
    <tableColumn id="7259" xr3:uid="{00000000-0010-0000-0300-00005B1C0000}" name="Column7254" dataDxfId="9149"/>
    <tableColumn id="7260" xr3:uid="{00000000-0010-0000-0300-00005C1C0000}" name="Column7255" dataDxfId="9148"/>
    <tableColumn id="7261" xr3:uid="{00000000-0010-0000-0300-00005D1C0000}" name="Column7256" dataDxfId="9147"/>
    <tableColumn id="7262" xr3:uid="{00000000-0010-0000-0300-00005E1C0000}" name="Column7257" dataDxfId="9146"/>
    <tableColumn id="7263" xr3:uid="{00000000-0010-0000-0300-00005F1C0000}" name="Column7258" dataDxfId="9145"/>
    <tableColumn id="7264" xr3:uid="{00000000-0010-0000-0300-0000601C0000}" name="Column7259" dataDxfId="9144"/>
    <tableColumn id="7265" xr3:uid="{00000000-0010-0000-0300-0000611C0000}" name="Column7260" dataDxfId="9143"/>
    <tableColumn id="7266" xr3:uid="{00000000-0010-0000-0300-0000621C0000}" name="Column7261" dataDxfId="9142"/>
    <tableColumn id="7267" xr3:uid="{00000000-0010-0000-0300-0000631C0000}" name="Column7262" dataDxfId="9141"/>
    <tableColumn id="7268" xr3:uid="{00000000-0010-0000-0300-0000641C0000}" name="Column7263" dataDxfId="9140"/>
    <tableColumn id="7269" xr3:uid="{00000000-0010-0000-0300-0000651C0000}" name="Column7264" dataDxfId="9139"/>
    <tableColumn id="7270" xr3:uid="{00000000-0010-0000-0300-0000661C0000}" name="Column7265" dataDxfId="9138"/>
    <tableColumn id="7271" xr3:uid="{00000000-0010-0000-0300-0000671C0000}" name="Column7266" dataDxfId="9137"/>
    <tableColumn id="7272" xr3:uid="{00000000-0010-0000-0300-0000681C0000}" name="Column7267" dataDxfId="9136"/>
    <tableColumn id="7273" xr3:uid="{00000000-0010-0000-0300-0000691C0000}" name="Column7268" dataDxfId="9135"/>
    <tableColumn id="7274" xr3:uid="{00000000-0010-0000-0300-00006A1C0000}" name="Column7269" dataDxfId="9134"/>
    <tableColumn id="7275" xr3:uid="{00000000-0010-0000-0300-00006B1C0000}" name="Column7270" dataDxfId="9133"/>
    <tableColumn id="7276" xr3:uid="{00000000-0010-0000-0300-00006C1C0000}" name="Column7271" dataDxfId="9132"/>
    <tableColumn id="7277" xr3:uid="{00000000-0010-0000-0300-00006D1C0000}" name="Column7272" dataDxfId="9131"/>
    <tableColumn id="7278" xr3:uid="{00000000-0010-0000-0300-00006E1C0000}" name="Column7273" dataDxfId="9130"/>
    <tableColumn id="7279" xr3:uid="{00000000-0010-0000-0300-00006F1C0000}" name="Column7274" dataDxfId="9129"/>
    <tableColumn id="7280" xr3:uid="{00000000-0010-0000-0300-0000701C0000}" name="Column7275" dataDxfId="9128"/>
    <tableColumn id="7281" xr3:uid="{00000000-0010-0000-0300-0000711C0000}" name="Column7276" dataDxfId="9127"/>
    <tableColumn id="7282" xr3:uid="{00000000-0010-0000-0300-0000721C0000}" name="Column7277" dataDxfId="9126"/>
    <tableColumn id="7283" xr3:uid="{00000000-0010-0000-0300-0000731C0000}" name="Column7278" dataDxfId="9125"/>
    <tableColumn id="7284" xr3:uid="{00000000-0010-0000-0300-0000741C0000}" name="Column7279" dataDxfId="9124"/>
    <tableColumn id="7285" xr3:uid="{00000000-0010-0000-0300-0000751C0000}" name="Column7280" dataDxfId="9123"/>
    <tableColumn id="7286" xr3:uid="{00000000-0010-0000-0300-0000761C0000}" name="Column7281" dataDxfId="9122"/>
    <tableColumn id="7287" xr3:uid="{00000000-0010-0000-0300-0000771C0000}" name="Column7282" dataDxfId="9121"/>
    <tableColumn id="7288" xr3:uid="{00000000-0010-0000-0300-0000781C0000}" name="Column7283" dataDxfId="9120"/>
    <tableColumn id="7289" xr3:uid="{00000000-0010-0000-0300-0000791C0000}" name="Column7284" dataDxfId="9119"/>
    <tableColumn id="7290" xr3:uid="{00000000-0010-0000-0300-00007A1C0000}" name="Column7285" dataDxfId="9118"/>
    <tableColumn id="7291" xr3:uid="{00000000-0010-0000-0300-00007B1C0000}" name="Column7286" dataDxfId="9117"/>
    <tableColumn id="7292" xr3:uid="{00000000-0010-0000-0300-00007C1C0000}" name="Column7287" dataDxfId="9116"/>
    <tableColumn id="7293" xr3:uid="{00000000-0010-0000-0300-00007D1C0000}" name="Column7288" dataDxfId="9115"/>
    <tableColumn id="7294" xr3:uid="{00000000-0010-0000-0300-00007E1C0000}" name="Column7289" dataDxfId="9114"/>
    <tableColumn id="7295" xr3:uid="{00000000-0010-0000-0300-00007F1C0000}" name="Column7290" dataDxfId="9113"/>
    <tableColumn id="7296" xr3:uid="{00000000-0010-0000-0300-0000801C0000}" name="Column7291" dataDxfId="9112"/>
    <tableColumn id="7297" xr3:uid="{00000000-0010-0000-0300-0000811C0000}" name="Column7292" dataDxfId="9111"/>
    <tableColumn id="7298" xr3:uid="{00000000-0010-0000-0300-0000821C0000}" name="Column7293" dataDxfId="9110"/>
    <tableColumn id="7299" xr3:uid="{00000000-0010-0000-0300-0000831C0000}" name="Column7294" dataDxfId="9109"/>
    <tableColumn id="7300" xr3:uid="{00000000-0010-0000-0300-0000841C0000}" name="Column7295" dataDxfId="9108"/>
    <tableColumn id="7301" xr3:uid="{00000000-0010-0000-0300-0000851C0000}" name="Column7296" dataDxfId="9107"/>
    <tableColumn id="7302" xr3:uid="{00000000-0010-0000-0300-0000861C0000}" name="Column7297" dataDxfId="9106"/>
    <tableColumn id="7303" xr3:uid="{00000000-0010-0000-0300-0000871C0000}" name="Column7298" dataDxfId="9105"/>
    <tableColumn id="7304" xr3:uid="{00000000-0010-0000-0300-0000881C0000}" name="Column7299" dataDxfId="9104"/>
    <tableColumn id="7305" xr3:uid="{00000000-0010-0000-0300-0000891C0000}" name="Column7300" dataDxfId="9103"/>
    <tableColumn id="7306" xr3:uid="{00000000-0010-0000-0300-00008A1C0000}" name="Column7301" dataDxfId="9102"/>
    <tableColumn id="7307" xr3:uid="{00000000-0010-0000-0300-00008B1C0000}" name="Column7302" dataDxfId="9101"/>
    <tableColumn id="7308" xr3:uid="{00000000-0010-0000-0300-00008C1C0000}" name="Column7303" dataDxfId="9100"/>
    <tableColumn id="7309" xr3:uid="{00000000-0010-0000-0300-00008D1C0000}" name="Column7304" dataDxfId="9099"/>
    <tableColumn id="7310" xr3:uid="{00000000-0010-0000-0300-00008E1C0000}" name="Column7305" dataDxfId="9098"/>
    <tableColumn id="7311" xr3:uid="{00000000-0010-0000-0300-00008F1C0000}" name="Column7306" dataDxfId="9097"/>
    <tableColumn id="7312" xr3:uid="{00000000-0010-0000-0300-0000901C0000}" name="Column7307" dataDxfId="9096"/>
    <tableColumn id="7313" xr3:uid="{00000000-0010-0000-0300-0000911C0000}" name="Column7308" dataDxfId="9095"/>
    <tableColumn id="7314" xr3:uid="{00000000-0010-0000-0300-0000921C0000}" name="Column7309" dataDxfId="9094"/>
    <tableColumn id="7315" xr3:uid="{00000000-0010-0000-0300-0000931C0000}" name="Column7310" dataDxfId="9093"/>
    <tableColumn id="7316" xr3:uid="{00000000-0010-0000-0300-0000941C0000}" name="Column7311" dataDxfId="9092"/>
    <tableColumn id="7317" xr3:uid="{00000000-0010-0000-0300-0000951C0000}" name="Column7312" dataDxfId="9091"/>
    <tableColumn id="7318" xr3:uid="{00000000-0010-0000-0300-0000961C0000}" name="Column7313" dataDxfId="9090"/>
    <tableColumn id="7319" xr3:uid="{00000000-0010-0000-0300-0000971C0000}" name="Column7314" dataDxfId="9089"/>
    <tableColumn id="7320" xr3:uid="{00000000-0010-0000-0300-0000981C0000}" name="Column7315" dataDxfId="9088"/>
    <tableColumn id="7321" xr3:uid="{00000000-0010-0000-0300-0000991C0000}" name="Column7316" dataDxfId="9087"/>
    <tableColumn id="7322" xr3:uid="{00000000-0010-0000-0300-00009A1C0000}" name="Column7317" dataDxfId="9086"/>
    <tableColumn id="7323" xr3:uid="{00000000-0010-0000-0300-00009B1C0000}" name="Column7318" dataDxfId="9085"/>
    <tableColumn id="7324" xr3:uid="{00000000-0010-0000-0300-00009C1C0000}" name="Column7319" dataDxfId="9084"/>
    <tableColumn id="7325" xr3:uid="{00000000-0010-0000-0300-00009D1C0000}" name="Column7320" dataDxfId="9083"/>
    <tableColumn id="7326" xr3:uid="{00000000-0010-0000-0300-00009E1C0000}" name="Column7321" dataDxfId="9082"/>
    <tableColumn id="7327" xr3:uid="{00000000-0010-0000-0300-00009F1C0000}" name="Column7322" dataDxfId="9081"/>
    <tableColumn id="7328" xr3:uid="{00000000-0010-0000-0300-0000A01C0000}" name="Column7323" dataDxfId="9080"/>
    <tableColumn id="7329" xr3:uid="{00000000-0010-0000-0300-0000A11C0000}" name="Column7324" dataDxfId="9079"/>
    <tableColumn id="7330" xr3:uid="{00000000-0010-0000-0300-0000A21C0000}" name="Column7325" dataDxfId="9078"/>
    <tableColumn id="7331" xr3:uid="{00000000-0010-0000-0300-0000A31C0000}" name="Column7326" dataDxfId="9077"/>
    <tableColumn id="7332" xr3:uid="{00000000-0010-0000-0300-0000A41C0000}" name="Column7327" dataDxfId="9076"/>
    <tableColumn id="7333" xr3:uid="{00000000-0010-0000-0300-0000A51C0000}" name="Column7328" dataDxfId="9075"/>
    <tableColumn id="7334" xr3:uid="{00000000-0010-0000-0300-0000A61C0000}" name="Column7329" dataDxfId="9074"/>
    <tableColumn id="7335" xr3:uid="{00000000-0010-0000-0300-0000A71C0000}" name="Column7330" dataDxfId="9073"/>
    <tableColumn id="7336" xr3:uid="{00000000-0010-0000-0300-0000A81C0000}" name="Column7331" dataDxfId="9072"/>
    <tableColumn id="7337" xr3:uid="{00000000-0010-0000-0300-0000A91C0000}" name="Column7332" dataDxfId="9071"/>
    <tableColumn id="7338" xr3:uid="{00000000-0010-0000-0300-0000AA1C0000}" name="Column7333" dataDxfId="9070"/>
    <tableColumn id="7339" xr3:uid="{00000000-0010-0000-0300-0000AB1C0000}" name="Column7334" dataDxfId="9069"/>
    <tableColumn id="7340" xr3:uid="{00000000-0010-0000-0300-0000AC1C0000}" name="Column7335" dataDxfId="9068"/>
    <tableColumn id="7341" xr3:uid="{00000000-0010-0000-0300-0000AD1C0000}" name="Column7336" dataDxfId="9067"/>
    <tableColumn id="7342" xr3:uid="{00000000-0010-0000-0300-0000AE1C0000}" name="Column7337" dataDxfId="9066"/>
    <tableColumn id="7343" xr3:uid="{00000000-0010-0000-0300-0000AF1C0000}" name="Column7338" dataDxfId="9065"/>
    <tableColumn id="7344" xr3:uid="{00000000-0010-0000-0300-0000B01C0000}" name="Column7339" dataDxfId="9064"/>
    <tableColumn id="7345" xr3:uid="{00000000-0010-0000-0300-0000B11C0000}" name="Column7340" dataDxfId="9063"/>
    <tableColumn id="7346" xr3:uid="{00000000-0010-0000-0300-0000B21C0000}" name="Column7341" dataDxfId="9062"/>
    <tableColumn id="7347" xr3:uid="{00000000-0010-0000-0300-0000B31C0000}" name="Column7342" dataDxfId="9061"/>
    <tableColumn id="7348" xr3:uid="{00000000-0010-0000-0300-0000B41C0000}" name="Column7343" dataDxfId="9060"/>
    <tableColumn id="7349" xr3:uid="{00000000-0010-0000-0300-0000B51C0000}" name="Column7344" dataDxfId="9059"/>
    <tableColumn id="7350" xr3:uid="{00000000-0010-0000-0300-0000B61C0000}" name="Column7345" dataDxfId="9058"/>
    <tableColumn id="7351" xr3:uid="{00000000-0010-0000-0300-0000B71C0000}" name="Column7346" dataDxfId="9057"/>
    <tableColumn id="7352" xr3:uid="{00000000-0010-0000-0300-0000B81C0000}" name="Column7347" dataDxfId="9056"/>
    <tableColumn id="7353" xr3:uid="{00000000-0010-0000-0300-0000B91C0000}" name="Column7348" dataDxfId="9055"/>
    <tableColumn id="7354" xr3:uid="{00000000-0010-0000-0300-0000BA1C0000}" name="Column7349" dataDxfId="9054"/>
    <tableColumn id="7355" xr3:uid="{00000000-0010-0000-0300-0000BB1C0000}" name="Column7350" dataDxfId="9053"/>
    <tableColumn id="7356" xr3:uid="{00000000-0010-0000-0300-0000BC1C0000}" name="Column7351" dataDxfId="9052"/>
    <tableColumn id="7357" xr3:uid="{00000000-0010-0000-0300-0000BD1C0000}" name="Column7352" dataDxfId="9051"/>
    <tableColumn id="7358" xr3:uid="{00000000-0010-0000-0300-0000BE1C0000}" name="Column7353" dataDxfId="9050"/>
    <tableColumn id="7359" xr3:uid="{00000000-0010-0000-0300-0000BF1C0000}" name="Column7354" dataDxfId="9049"/>
    <tableColumn id="7360" xr3:uid="{00000000-0010-0000-0300-0000C01C0000}" name="Column7355" dataDxfId="9048"/>
    <tableColumn id="7361" xr3:uid="{00000000-0010-0000-0300-0000C11C0000}" name="Column7356" dataDxfId="9047"/>
    <tableColumn id="7362" xr3:uid="{00000000-0010-0000-0300-0000C21C0000}" name="Column7357" dataDxfId="9046"/>
    <tableColumn id="7363" xr3:uid="{00000000-0010-0000-0300-0000C31C0000}" name="Column7358" dataDxfId="9045"/>
    <tableColumn id="7364" xr3:uid="{00000000-0010-0000-0300-0000C41C0000}" name="Column7359" dataDxfId="9044"/>
    <tableColumn id="7365" xr3:uid="{00000000-0010-0000-0300-0000C51C0000}" name="Column7360" dataDxfId="9043"/>
    <tableColumn id="7366" xr3:uid="{00000000-0010-0000-0300-0000C61C0000}" name="Column7361" dataDxfId="9042"/>
    <tableColumn id="7367" xr3:uid="{00000000-0010-0000-0300-0000C71C0000}" name="Column7362" dataDxfId="9041"/>
    <tableColumn id="7368" xr3:uid="{00000000-0010-0000-0300-0000C81C0000}" name="Column7363" dataDxfId="9040"/>
    <tableColumn id="7369" xr3:uid="{00000000-0010-0000-0300-0000C91C0000}" name="Column7364" dataDxfId="9039"/>
    <tableColumn id="7370" xr3:uid="{00000000-0010-0000-0300-0000CA1C0000}" name="Column7365" dataDxfId="9038"/>
    <tableColumn id="7371" xr3:uid="{00000000-0010-0000-0300-0000CB1C0000}" name="Column7366" dataDxfId="9037"/>
    <tableColumn id="7372" xr3:uid="{00000000-0010-0000-0300-0000CC1C0000}" name="Column7367" dataDxfId="9036"/>
    <tableColumn id="7373" xr3:uid="{00000000-0010-0000-0300-0000CD1C0000}" name="Column7368" dataDxfId="9035"/>
    <tableColumn id="7374" xr3:uid="{00000000-0010-0000-0300-0000CE1C0000}" name="Column7369" dataDxfId="9034"/>
    <tableColumn id="7375" xr3:uid="{00000000-0010-0000-0300-0000CF1C0000}" name="Column7370" dataDxfId="9033"/>
    <tableColumn id="7376" xr3:uid="{00000000-0010-0000-0300-0000D01C0000}" name="Column7371" dataDxfId="9032"/>
    <tableColumn id="7377" xr3:uid="{00000000-0010-0000-0300-0000D11C0000}" name="Column7372" dataDxfId="9031"/>
    <tableColumn id="7378" xr3:uid="{00000000-0010-0000-0300-0000D21C0000}" name="Column7373" dataDxfId="9030"/>
    <tableColumn id="7379" xr3:uid="{00000000-0010-0000-0300-0000D31C0000}" name="Column7374" dataDxfId="9029"/>
    <tableColumn id="7380" xr3:uid="{00000000-0010-0000-0300-0000D41C0000}" name="Column7375" dataDxfId="9028"/>
    <tableColumn id="7381" xr3:uid="{00000000-0010-0000-0300-0000D51C0000}" name="Column7376" dataDxfId="9027"/>
    <tableColumn id="7382" xr3:uid="{00000000-0010-0000-0300-0000D61C0000}" name="Column7377" dataDxfId="9026"/>
    <tableColumn id="7383" xr3:uid="{00000000-0010-0000-0300-0000D71C0000}" name="Column7378" dataDxfId="9025"/>
    <tableColumn id="7384" xr3:uid="{00000000-0010-0000-0300-0000D81C0000}" name="Column7379" dataDxfId="9024"/>
    <tableColumn id="7385" xr3:uid="{00000000-0010-0000-0300-0000D91C0000}" name="Column7380" dataDxfId="9023"/>
    <tableColumn id="7386" xr3:uid="{00000000-0010-0000-0300-0000DA1C0000}" name="Column7381" dataDxfId="9022"/>
    <tableColumn id="7387" xr3:uid="{00000000-0010-0000-0300-0000DB1C0000}" name="Column7382" dataDxfId="9021"/>
    <tableColumn id="7388" xr3:uid="{00000000-0010-0000-0300-0000DC1C0000}" name="Column7383" dataDxfId="9020"/>
    <tableColumn id="7389" xr3:uid="{00000000-0010-0000-0300-0000DD1C0000}" name="Column7384" dataDxfId="9019"/>
    <tableColumn id="7390" xr3:uid="{00000000-0010-0000-0300-0000DE1C0000}" name="Column7385" dataDxfId="9018"/>
    <tableColumn id="7391" xr3:uid="{00000000-0010-0000-0300-0000DF1C0000}" name="Column7386" dataDxfId="9017"/>
    <tableColumn id="7392" xr3:uid="{00000000-0010-0000-0300-0000E01C0000}" name="Column7387" dataDxfId="9016"/>
    <tableColumn id="7393" xr3:uid="{00000000-0010-0000-0300-0000E11C0000}" name="Column7388" dataDxfId="9015"/>
    <tableColumn id="7394" xr3:uid="{00000000-0010-0000-0300-0000E21C0000}" name="Column7389" dataDxfId="9014"/>
    <tableColumn id="7395" xr3:uid="{00000000-0010-0000-0300-0000E31C0000}" name="Column7390" dataDxfId="9013"/>
    <tableColumn id="7396" xr3:uid="{00000000-0010-0000-0300-0000E41C0000}" name="Column7391" dataDxfId="9012"/>
    <tableColumn id="7397" xr3:uid="{00000000-0010-0000-0300-0000E51C0000}" name="Column7392" dataDxfId="9011"/>
    <tableColumn id="7398" xr3:uid="{00000000-0010-0000-0300-0000E61C0000}" name="Column7393" dataDxfId="9010"/>
    <tableColumn id="7399" xr3:uid="{00000000-0010-0000-0300-0000E71C0000}" name="Column7394" dataDxfId="9009"/>
    <tableColumn id="7400" xr3:uid="{00000000-0010-0000-0300-0000E81C0000}" name="Column7395" dataDxfId="9008"/>
    <tableColumn id="7401" xr3:uid="{00000000-0010-0000-0300-0000E91C0000}" name="Column7396" dataDxfId="9007"/>
    <tableColumn id="7402" xr3:uid="{00000000-0010-0000-0300-0000EA1C0000}" name="Column7397" dataDxfId="9006"/>
    <tableColumn id="7403" xr3:uid="{00000000-0010-0000-0300-0000EB1C0000}" name="Column7398" dataDxfId="9005"/>
    <tableColumn id="7404" xr3:uid="{00000000-0010-0000-0300-0000EC1C0000}" name="Column7399" dataDxfId="9004"/>
    <tableColumn id="7405" xr3:uid="{00000000-0010-0000-0300-0000ED1C0000}" name="Column7400" dataDxfId="9003"/>
    <tableColumn id="7406" xr3:uid="{00000000-0010-0000-0300-0000EE1C0000}" name="Column7401" dataDxfId="9002"/>
    <tableColumn id="7407" xr3:uid="{00000000-0010-0000-0300-0000EF1C0000}" name="Column7402" dataDxfId="9001"/>
    <tableColumn id="7408" xr3:uid="{00000000-0010-0000-0300-0000F01C0000}" name="Column7403" dataDxfId="9000"/>
    <tableColumn id="7409" xr3:uid="{00000000-0010-0000-0300-0000F11C0000}" name="Column7404" dataDxfId="8999"/>
    <tableColumn id="7410" xr3:uid="{00000000-0010-0000-0300-0000F21C0000}" name="Column7405" dataDxfId="8998"/>
    <tableColumn id="7411" xr3:uid="{00000000-0010-0000-0300-0000F31C0000}" name="Column7406" dataDxfId="8997"/>
    <tableColumn id="7412" xr3:uid="{00000000-0010-0000-0300-0000F41C0000}" name="Column7407" dataDxfId="8996"/>
    <tableColumn id="7413" xr3:uid="{00000000-0010-0000-0300-0000F51C0000}" name="Column7408" dataDxfId="8995"/>
    <tableColumn id="7414" xr3:uid="{00000000-0010-0000-0300-0000F61C0000}" name="Column7409" dataDxfId="8994"/>
    <tableColumn id="7415" xr3:uid="{00000000-0010-0000-0300-0000F71C0000}" name="Column7410" dataDxfId="8993"/>
    <tableColumn id="7416" xr3:uid="{00000000-0010-0000-0300-0000F81C0000}" name="Column7411" dataDxfId="8992"/>
    <tableColumn id="7417" xr3:uid="{00000000-0010-0000-0300-0000F91C0000}" name="Column7412" dataDxfId="8991"/>
    <tableColumn id="7418" xr3:uid="{00000000-0010-0000-0300-0000FA1C0000}" name="Column7413" dataDxfId="8990"/>
    <tableColumn id="7419" xr3:uid="{00000000-0010-0000-0300-0000FB1C0000}" name="Column7414" dataDxfId="8989"/>
    <tableColumn id="7420" xr3:uid="{00000000-0010-0000-0300-0000FC1C0000}" name="Column7415" dataDxfId="8988"/>
    <tableColumn id="7421" xr3:uid="{00000000-0010-0000-0300-0000FD1C0000}" name="Column7416" dataDxfId="8987"/>
    <tableColumn id="7422" xr3:uid="{00000000-0010-0000-0300-0000FE1C0000}" name="Column7417" dataDxfId="8986"/>
    <tableColumn id="7423" xr3:uid="{00000000-0010-0000-0300-0000FF1C0000}" name="Column7418" dataDxfId="8985"/>
    <tableColumn id="7424" xr3:uid="{00000000-0010-0000-0300-0000001D0000}" name="Column7419" dataDxfId="8984"/>
    <tableColumn id="7425" xr3:uid="{00000000-0010-0000-0300-0000011D0000}" name="Column7420" dataDxfId="8983"/>
    <tableColumn id="7426" xr3:uid="{00000000-0010-0000-0300-0000021D0000}" name="Column7421" dataDxfId="8982"/>
    <tableColumn id="7427" xr3:uid="{00000000-0010-0000-0300-0000031D0000}" name="Column7422" dataDxfId="8981"/>
    <tableColumn id="7428" xr3:uid="{00000000-0010-0000-0300-0000041D0000}" name="Column7423" dataDxfId="8980"/>
    <tableColumn id="7429" xr3:uid="{00000000-0010-0000-0300-0000051D0000}" name="Column7424" dataDxfId="8979"/>
    <tableColumn id="7430" xr3:uid="{00000000-0010-0000-0300-0000061D0000}" name="Column7425" dataDxfId="8978"/>
    <tableColumn id="7431" xr3:uid="{00000000-0010-0000-0300-0000071D0000}" name="Column7426" dataDxfId="8977"/>
    <tableColumn id="7432" xr3:uid="{00000000-0010-0000-0300-0000081D0000}" name="Column7427" dataDxfId="8976"/>
    <tableColumn id="7433" xr3:uid="{00000000-0010-0000-0300-0000091D0000}" name="Column7428" dataDxfId="8975"/>
    <tableColumn id="7434" xr3:uid="{00000000-0010-0000-0300-00000A1D0000}" name="Column7429" dataDxfId="8974"/>
    <tableColumn id="7435" xr3:uid="{00000000-0010-0000-0300-00000B1D0000}" name="Column7430" dataDxfId="8973"/>
    <tableColumn id="7436" xr3:uid="{00000000-0010-0000-0300-00000C1D0000}" name="Column7431" dataDxfId="8972"/>
    <tableColumn id="7437" xr3:uid="{00000000-0010-0000-0300-00000D1D0000}" name="Column7432" dataDxfId="8971"/>
    <tableColumn id="7438" xr3:uid="{00000000-0010-0000-0300-00000E1D0000}" name="Column7433" dataDxfId="8970"/>
    <tableColumn id="7439" xr3:uid="{00000000-0010-0000-0300-00000F1D0000}" name="Column7434" dataDxfId="8969"/>
    <tableColumn id="7440" xr3:uid="{00000000-0010-0000-0300-0000101D0000}" name="Column7435" dataDxfId="8968"/>
    <tableColumn id="7441" xr3:uid="{00000000-0010-0000-0300-0000111D0000}" name="Column7436" dataDxfId="8967"/>
    <tableColumn id="7442" xr3:uid="{00000000-0010-0000-0300-0000121D0000}" name="Column7437" dataDxfId="8966"/>
    <tableColumn id="7443" xr3:uid="{00000000-0010-0000-0300-0000131D0000}" name="Column7438" dataDxfId="8965"/>
    <tableColumn id="7444" xr3:uid="{00000000-0010-0000-0300-0000141D0000}" name="Column7439" dataDxfId="8964"/>
    <tableColumn id="7445" xr3:uid="{00000000-0010-0000-0300-0000151D0000}" name="Column7440" dataDxfId="8963"/>
    <tableColumn id="7446" xr3:uid="{00000000-0010-0000-0300-0000161D0000}" name="Column7441" dataDxfId="8962"/>
    <tableColumn id="7447" xr3:uid="{00000000-0010-0000-0300-0000171D0000}" name="Column7442" dataDxfId="8961"/>
    <tableColumn id="7448" xr3:uid="{00000000-0010-0000-0300-0000181D0000}" name="Column7443" dataDxfId="8960"/>
    <tableColumn id="7449" xr3:uid="{00000000-0010-0000-0300-0000191D0000}" name="Column7444" dataDxfId="8959"/>
    <tableColumn id="7450" xr3:uid="{00000000-0010-0000-0300-00001A1D0000}" name="Column7445" dataDxfId="8958"/>
    <tableColumn id="7451" xr3:uid="{00000000-0010-0000-0300-00001B1D0000}" name="Column7446" dataDxfId="8957"/>
    <tableColumn id="7452" xr3:uid="{00000000-0010-0000-0300-00001C1D0000}" name="Column7447" dataDxfId="8956"/>
    <tableColumn id="7453" xr3:uid="{00000000-0010-0000-0300-00001D1D0000}" name="Column7448" dataDxfId="8955"/>
    <tableColumn id="7454" xr3:uid="{00000000-0010-0000-0300-00001E1D0000}" name="Column7449" dataDxfId="8954"/>
    <tableColumn id="7455" xr3:uid="{00000000-0010-0000-0300-00001F1D0000}" name="Column7450" dataDxfId="8953"/>
    <tableColumn id="7456" xr3:uid="{00000000-0010-0000-0300-0000201D0000}" name="Column7451" dataDxfId="8952"/>
    <tableColumn id="7457" xr3:uid="{00000000-0010-0000-0300-0000211D0000}" name="Column7452" dataDxfId="8951"/>
    <tableColumn id="7458" xr3:uid="{00000000-0010-0000-0300-0000221D0000}" name="Column7453" dataDxfId="8950"/>
    <tableColumn id="7459" xr3:uid="{00000000-0010-0000-0300-0000231D0000}" name="Column7454" dataDxfId="8949"/>
    <tableColumn id="7460" xr3:uid="{00000000-0010-0000-0300-0000241D0000}" name="Column7455" dataDxfId="8948"/>
    <tableColumn id="7461" xr3:uid="{00000000-0010-0000-0300-0000251D0000}" name="Column7456" dataDxfId="8947"/>
    <tableColumn id="7462" xr3:uid="{00000000-0010-0000-0300-0000261D0000}" name="Column7457" dataDxfId="8946"/>
    <tableColumn id="7463" xr3:uid="{00000000-0010-0000-0300-0000271D0000}" name="Column7458" dataDxfId="8945"/>
    <tableColumn id="7464" xr3:uid="{00000000-0010-0000-0300-0000281D0000}" name="Column7459" dataDxfId="8944"/>
    <tableColumn id="7465" xr3:uid="{00000000-0010-0000-0300-0000291D0000}" name="Column7460" dataDxfId="8943"/>
    <tableColumn id="7466" xr3:uid="{00000000-0010-0000-0300-00002A1D0000}" name="Column7461" dataDxfId="8942"/>
    <tableColumn id="7467" xr3:uid="{00000000-0010-0000-0300-00002B1D0000}" name="Column7462" dataDxfId="8941"/>
    <tableColumn id="7468" xr3:uid="{00000000-0010-0000-0300-00002C1D0000}" name="Column7463" dataDxfId="8940"/>
    <tableColumn id="7469" xr3:uid="{00000000-0010-0000-0300-00002D1D0000}" name="Column7464" dataDxfId="8939"/>
    <tableColumn id="7470" xr3:uid="{00000000-0010-0000-0300-00002E1D0000}" name="Column7465" dataDxfId="8938"/>
    <tableColumn id="7471" xr3:uid="{00000000-0010-0000-0300-00002F1D0000}" name="Column7466" dataDxfId="8937"/>
    <tableColumn id="7472" xr3:uid="{00000000-0010-0000-0300-0000301D0000}" name="Column7467" dataDxfId="8936"/>
    <tableColumn id="7473" xr3:uid="{00000000-0010-0000-0300-0000311D0000}" name="Column7468" dataDxfId="8935"/>
    <tableColumn id="7474" xr3:uid="{00000000-0010-0000-0300-0000321D0000}" name="Column7469" dataDxfId="8934"/>
    <tableColumn id="7475" xr3:uid="{00000000-0010-0000-0300-0000331D0000}" name="Column7470" dataDxfId="8933"/>
    <tableColumn id="7476" xr3:uid="{00000000-0010-0000-0300-0000341D0000}" name="Column7471" dataDxfId="8932"/>
    <tableColumn id="7477" xr3:uid="{00000000-0010-0000-0300-0000351D0000}" name="Column7472" dataDxfId="8931"/>
    <tableColumn id="7478" xr3:uid="{00000000-0010-0000-0300-0000361D0000}" name="Column7473" dataDxfId="8930"/>
    <tableColumn id="7479" xr3:uid="{00000000-0010-0000-0300-0000371D0000}" name="Column7474" dataDxfId="8929"/>
    <tableColumn id="7480" xr3:uid="{00000000-0010-0000-0300-0000381D0000}" name="Column7475" dataDxfId="8928"/>
    <tableColumn id="7481" xr3:uid="{00000000-0010-0000-0300-0000391D0000}" name="Column7476" dataDxfId="8927"/>
    <tableColumn id="7482" xr3:uid="{00000000-0010-0000-0300-00003A1D0000}" name="Column7477" dataDxfId="8926"/>
    <tableColumn id="7483" xr3:uid="{00000000-0010-0000-0300-00003B1D0000}" name="Column7478" dataDxfId="8925"/>
    <tableColumn id="7484" xr3:uid="{00000000-0010-0000-0300-00003C1D0000}" name="Column7479" dataDxfId="8924"/>
    <tableColumn id="7485" xr3:uid="{00000000-0010-0000-0300-00003D1D0000}" name="Column7480" dataDxfId="8923"/>
    <tableColumn id="7486" xr3:uid="{00000000-0010-0000-0300-00003E1D0000}" name="Column7481" dataDxfId="8922"/>
    <tableColumn id="7487" xr3:uid="{00000000-0010-0000-0300-00003F1D0000}" name="Column7482" dataDxfId="8921"/>
    <tableColumn id="7488" xr3:uid="{00000000-0010-0000-0300-0000401D0000}" name="Column7483" dataDxfId="8920"/>
    <tableColumn id="7489" xr3:uid="{00000000-0010-0000-0300-0000411D0000}" name="Column7484" dataDxfId="8919"/>
    <tableColumn id="7490" xr3:uid="{00000000-0010-0000-0300-0000421D0000}" name="Column7485" dataDxfId="8918"/>
    <tableColumn id="7491" xr3:uid="{00000000-0010-0000-0300-0000431D0000}" name="Column7486" dataDxfId="8917"/>
    <tableColumn id="7492" xr3:uid="{00000000-0010-0000-0300-0000441D0000}" name="Column7487" dataDxfId="8916"/>
    <tableColumn id="7493" xr3:uid="{00000000-0010-0000-0300-0000451D0000}" name="Column7488" dataDxfId="8915"/>
    <tableColumn id="7494" xr3:uid="{00000000-0010-0000-0300-0000461D0000}" name="Column7489" dataDxfId="8914"/>
    <tableColumn id="7495" xr3:uid="{00000000-0010-0000-0300-0000471D0000}" name="Column7490" dataDxfId="8913"/>
    <tableColumn id="7496" xr3:uid="{00000000-0010-0000-0300-0000481D0000}" name="Column7491" dataDxfId="8912"/>
    <tableColumn id="7497" xr3:uid="{00000000-0010-0000-0300-0000491D0000}" name="Column7492" dataDxfId="8911"/>
    <tableColumn id="7498" xr3:uid="{00000000-0010-0000-0300-00004A1D0000}" name="Column7493" dataDxfId="8910"/>
    <tableColumn id="7499" xr3:uid="{00000000-0010-0000-0300-00004B1D0000}" name="Column7494" dataDxfId="8909"/>
    <tableColumn id="7500" xr3:uid="{00000000-0010-0000-0300-00004C1D0000}" name="Column7495" dataDxfId="8908"/>
    <tableColumn id="7501" xr3:uid="{00000000-0010-0000-0300-00004D1D0000}" name="Column7496" dataDxfId="8907"/>
    <tableColumn id="7502" xr3:uid="{00000000-0010-0000-0300-00004E1D0000}" name="Column7497" dataDxfId="8906"/>
    <tableColumn id="7503" xr3:uid="{00000000-0010-0000-0300-00004F1D0000}" name="Column7498" dataDxfId="8905"/>
    <tableColumn id="7504" xr3:uid="{00000000-0010-0000-0300-0000501D0000}" name="Column7499" dataDxfId="8904"/>
    <tableColumn id="7505" xr3:uid="{00000000-0010-0000-0300-0000511D0000}" name="Column7500" dataDxfId="8903"/>
    <tableColumn id="7506" xr3:uid="{00000000-0010-0000-0300-0000521D0000}" name="Column7501" dataDxfId="8902"/>
    <tableColumn id="7507" xr3:uid="{00000000-0010-0000-0300-0000531D0000}" name="Column7502" dataDxfId="8901"/>
    <tableColumn id="7508" xr3:uid="{00000000-0010-0000-0300-0000541D0000}" name="Column7503" dataDxfId="8900"/>
    <tableColumn id="7509" xr3:uid="{00000000-0010-0000-0300-0000551D0000}" name="Column7504" dataDxfId="8899"/>
    <tableColumn id="7510" xr3:uid="{00000000-0010-0000-0300-0000561D0000}" name="Column7505" dataDxfId="8898"/>
    <tableColumn id="7511" xr3:uid="{00000000-0010-0000-0300-0000571D0000}" name="Column7506" dataDxfId="8897"/>
    <tableColumn id="7512" xr3:uid="{00000000-0010-0000-0300-0000581D0000}" name="Column7507" dataDxfId="8896"/>
    <tableColumn id="7513" xr3:uid="{00000000-0010-0000-0300-0000591D0000}" name="Column7508" dataDxfId="8895"/>
    <tableColumn id="7514" xr3:uid="{00000000-0010-0000-0300-00005A1D0000}" name="Column7509" dataDxfId="8894"/>
    <tableColumn id="7515" xr3:uid="{00000000-0010-0000-0300-00005B1D0000}" name="Column7510" dataDxfId="8893"/>
    <tableColumn id="7516" xr3:uid="{00000000-0010-0000-0300-00005C1D0000}" name="Column7511" dataDxfId="8892"/>
    <tableColumn id="7517" xr3:uid="{00000000-0010-0000-0300-00005D1D0000}" name="Column7512" dataDxfId="8891"/>
    <tableColumn id="7518" xr3:uid="{00000000-0010-0000-0300-00005E1D0000}" name="Column7513" dataDxfId="8890"/>
    <tableColumn id="7519" xr3:uid="{00000000-0010-0000-0300-00005F1D0000}" name="Column7514" dataDxfId="8889"/>
    <tableColumn id="7520" xr3:uid="{00000000-0010-0000-0300-0000601D0000}" name="Column7515" dataDxfId="8888"/>
    <tableColumn id="7521" xr3:uid="{00000000-0010-0000-0300-0000611D0000}" name="Column7516" dataDxfId="8887"/>
    <tableColumn id="7522" xr3:uid="{00000000-0010-0000-0300-0000621D0000}" name="Column7517" dataDxfId="8886"/>
    <tableColumn id="7523" xr3:uid="{00000000-0010-0000-0300-0000631D0000}" name="Column7518" dataDxfId="8885"/>
    <tableColumn id="7524" xr3:uid="{00000000-0010-0000-0300-0000641D0000}" name="Column7519" dataDxfId="8884"/>
    <tableColumn id="7525" xr3:uid="{00000000-0010-0000-0300-0000651D0000}" name="Column7520" dataDxfId="8883"/>
    <tableColumn id="7526" xr3:uid="{00000000-0010-0000-0300-0000661D0000}" name="Column7521" dataDxfId="8882"/>
    <tableColumn id="7527" xr3:uid="{00000000-0010-0000-0300-0000671D0000}" name="Column7522" dataDxfId="8881"/>
    <tableColumn id="7528" xr3:uid="{00000000-0010-0000-0300-0000681D0000}" name="Column7523" dataDxfId="8880"/>
    <tableColumn id="7529" xr3:uid="{00000000-0010-0000-0300-0000691D0000}" name="Column7524" dataDxfId="8879"/>
    <tableColumn id="7530" xr3:uid="{00000000-0010-0000-0300-00006A1D0000}" name="Column7525" dataDxfId="8878"/>
    <tableColumn id="7531" xr3:uid="{00000000-0010-0000-0300-00006B1D0000}" name="Column7526" dataDxfId="8877"/>
    <tableColumn id="7532" xr3:uid="{00000000-0010-0000-0300-00006C1D0000}" name="Column7527" dataDxfId="8876"/>
    <tableColumn id="7533" xr3:uid="{00000000-0010-0000-0300-00006D1D0000}" name="Column7528" dataDxfId="8875"/>
    <tableColumn id="7534" xr3:uid="{00000000-0010-0000-0300-00006E1D0000}" name="Column7529" dataDxfId="8874"/>
    <tableColumn id="7535" xr3:uid="{00000000-0010-0000-0300-00006F1D0000}" name="Column7530" dataDxfId="8873"/>
    <tableColumn id="7536" xr3:uid="{00000000-0010-0000-0300-0000701D0000}" name="Column7531" dataDxfId="8872"/>
    <tableColumn id="7537" xr3:uid="{00000000-0010-0000-0300-0000711D0000}" name="Column7532" dataDxfId="8871"/>
    <tableColumn id="7538" xr3:uid="{00000000-0010-0000-0300-0000721D0000}" name="Column7533" dataDxfId="8870"/>
    <tableColumn id="7539" xr3:uid="{00000000-0010-0000-0300-0000731D0000}" name="Column7534" dataDxfId="8869"/>
    <tableColumn id="7540" xr3:uid="{00000000-0010-0000-0300-0000741D0000}" name="Column7535" dataDxfId="8868"/>
    <tableColumn id="7541" xr3:uid="{00000000-0010-0000-0300-0000751D0000}" name="Column7536" dataDxfId="8867"/>
    <tableColumn id="7542" xr3:uid="{00000000-0010-0000-0300-0000761D0000}" name="Column7537" dataDxfId="8866"/>
    <tableColumn id="7543" xr3:uid="{00000000-0010-0000-0300-0000771D0000}" name="Column7538" dataDxfId="8865"/>
    <tableColumn id="7544" xr3:uid="{00000000-0010-0000-0300-0000781D0000}" name="Column7539" dataDxfId="8864"/>
    <tableColumn id="7545" xr3:uid="{00000000-0010-0000-0300-0000791D0000}" name="Column7540" dataDxfId="8863"/>
    <tableColumn id="7546" xr3:uid="{00000000-0010-0000-0300-00007A1D0000}" name="Column7541" dataDxfId="8862"/>
    <tableColumn id="7547" xr3:uid="{00000000-0010-0000-0300-00007B1D0000}" name="Column7542" dataDxfId="8861"/>
    <tableColumn id="7548" xr3:uid="{00000000-0010-0000-0300-00007C1D0000}" name="Column7543" dataDxfId="8860"/>
    <tableColumn id="7549" xr3:uid="{00000000-0010-0000-0300-00007D1D0000}" name="Column7544" dataDxfId="8859"/>
    <tableColumn id="7550" xr3:uid="{00000000-0010-0000-0300-00007E1D0000}" name="Column7545" dataDxfId="8858"/>
    <tableColumn id="7551" xr3:uid="{00000000-0010-0000-0300-00007F1D0000}" name="Column7546" dataDxfId="8857"/>
    <tableColumn id="7552" xr3:uid="{00000000-0010-0000-0300-0000801D0000}" name="Column7547" dataDxfId="8856"/>
    <tableColumn id="7553" xr3:uid="{00000000-0010-0000-0300-0000811D0000}" name="Column7548" dataDxfId="8855"/>
    <tableColumn id="7554" xr3:uid="{00000000-0010-0000-0300-0000821D0000}" name="Column7549" dataDxfId="8854"/>
    <tableColumn id="7555" xr3:uid="{00000000-0010-0000-0300-0000831D0000}" name="Column7550" dataDxfId="8853"/>
    <tableColumn id="7556" xr3:uid="{00000000-0010-0000-0300-0000841D0000}" name="Column7551" dataDxfId="8852"/>
    <tableColumn id="7557" xr3:uid="{00000000-0010-0000-0300-0000851D0000}" name="Column7552" dataDxfId="8851"/>
    <tableColumn id="7558" xr3:uid="{00000000-0010-0000-0300-0000861D0000}" name="Column7553" dataDxfId="8850"/>
    <tableColumn id="7559" xr3:uid="{00000000-0010-0000-0300-0000871D0000}" name="Column7554" dataDxfId="8849"/>
    <tableColumn id="7560" xr3:uid="{00000000-0010-0000-0300-0000881D0000}" name="Column7555" dataDxfId="8848"/>
    <tableColumn id="7561" xr3:uid="{00000000-0010-0000-0300-0000891D0000}" name="Column7556" dataDxfId="8847"/>
    <tableColumn id="7562" xr3:uid="{00000000-0010-0000-0300-00008A1D0000}" name="Column7557" dataDxfId="8846"/>
    <tableColumn id="7563" xr3:uid="{00000000-0010-0000-0300-00008B1D0000}" name="Column7558" dataDxfId="8845"/>
    <tableColumn id="7564" xr3:uid="{00000000-0010-0000-0300-00008C1D0000}" name="Column7559" dataDxfId="8844"/>
    <tableColumn id="7565" xr3:uid="{00000000-0010-0000-0300-00008D1D0000}" name="Column7560" dataDxfId="8843"/>
    <tableColumn id="7566" xr3:uid="{00000000-0010-0000-0300-00008E1D0000}" name="Column7561" dataDxfId="8842"/>
    <tableColumn id="7567" xr3:uid="{00000000-0010-0000-0300-00008F1D0000}" name="Column7562" dataDxfId="8841"/>
    <tableColumn id="7568" xr3:uid="{00000000-0010-0000-0300-0000901D0000}" name="Column7563" dataDxfId="8840"/>
    <tableColumn id="7569" xr3:uid="{00000000-0010-0000-0300-0000911D0000}" name="Column7564" dataDxfId="8839"/>
    <tableColumn id="7570" xr3:uid="{00000000-0010-0000-0300-0000921D0000}" name="Column7565" dataDxfId="8838"/>
    <tableColumn id="7571" xr3:uid="{00000000-0010-0000-0300-0000931D0000}" name="Column7566" dataDxfId="8837"/>
    <tableColumn id="7572" xr3:uid="{00000000-0010-0000-0300-0000941D0000}" name="Column7567" dataDxfId="8836"/>
    <tableColumn id="7573" xr3:uid="{00000000-0010-0000-0300-0000951D0000}" name="Column7568" dataDxfId="8835"/>
    <tableColumn id="7574" xr3:uid="{00000000-0010-0000-0300-0000961D0000}" name="Column7569" dataDxfId="8834"/>
    <tableColumn id="7575" xr3:uid="{00000000-0010-0000-0300-0000971D0000}" name="Column7570" dataDxfId="8833"/>
    <tableColumn id="7576" xr3:uid="{00000000-0010-0000-0300-0000981D0000}" name="Column7571" dataDxfId="8832"/>
    <tableColumn id="7577" xr3:uid="{00000000-0010-0000-0300-0000991D0000}" name="Column7572" dataDxfId="8831"/>
    <tableColumn id="7578" xr3:uid="{00000000-0010-0000-0300-00009A1D0000}" name="Column7573" dataDxfId="8830"/>
    <tableColumn id="7579" xr3:uid="{00000000-0010-0000-0300-00009B1D0000}" name="Column7574" dataDxfId="8829"/>
    <tableColumn id="7580" xr3:uid="{00000000-0010-0000-0300-00009C1D0000}" name="Column7575" dataDxfId="8828"/>
    <tableColumn id="7581" xr3:uid="{00000000-0010-0000-0300-00009D1D0000}" name="Column7576" dataDxfId="8827"/>
    <tableColumn id="7582" xr3:uid="{00000000-0010-0000-0300-00009E1D0000}" name="Column7577" dataDxfId="8826"/>
    <tableColumn id="7583" xr3:uid="{00000000-0010-0000-0300-00009F1D0000}" name="Column7578" dataDxfId="8825"/>
    <tableColumn id="7584" xr3:uid="{00000000-0010-0000-0300-0000A01D0000}" name="Column7579" dataDxfId="8824"/>
    <tableColumn id="7585" xr3:uid="{00000000-0010-0000-0300-0000A11D0000}" name="Column7580" dataDxfId="8823"/>
    <tableColumn id="7586" xr3:uid="{00000000-0010-0000-0300-0000A21D0000}" name="Column7581" dataDxfId="8822"/>
    <tableColumn id="7587" xr3:uid="{00000000-0010-0000-0300-0000A31D0000}" name="Column7582" dataDxfId="8821"/>
    <tableColumn id="7588" xr3:uid="{00000000-0010-0000-0300-0000A41D0000}" name="Column7583" dataDxfId="8820"/>
    <tableColumn id="7589" xr3:uid="{00000000-0010-0000-0300-0000A51D0000}" name="Column7584" dataDxfId="8819"/>
    <tableColumn id="7590" xr3:uid="{00000000-0010-0000-0300-0000A61D0000}" name="Column7585" dataDxfId="8818"/>
    <tableColumn id="7591" xr3:uid="{00000000-0010-0000-0300-0000A71D0000}" name="Column7586" dataDxfId="8817"/>
    <tableColumn id="7592" xr3:uid="{00000000-0010-0000-0300-0000A81D0000}" name="Column7587" dataDxfId="8816"/>
    <tableColumn id="7593" xr3:uid="{00000000-0010-0000-0300-0000A91D0000}" name="Column7588" dataDxfId="8815"/>
    <tableColumn id="7594" xr3:uid="{00000000-0010-0000-0300-0000AA1D0000}" name="Column7589" dataDxfId="8814"/>
    <tableColumn id="7595" xr3:uid="{00000000-0010-0000-0300-0000AB1D0000}" name="Column7590" dataDxfId="8813"/>
    <tableColumn id="7596" xr3:uid="{00000000-0010-0000-0300-0000AC1D0000}" name="Column7591" dataDxfId="8812"/>
    <tableColumn id="7597" xr3:uid="{00000000-0010-0000-0300-0000AD1D0000}" name="Column7592" dataDxfId="8811"/>
    <tableColumn id="7598" xr3:uid="{00000000-0010-0000-0300-0000AE1D0000}" name="Column7593" dataDxfId="8810"/>
    <tableColumn id="7599" xr3:uid="{00000000-0010-0000-0300-0000AF1D0000}" name="Column7594" dataDxfId="8809"/>
    <tableColumn id="7600" xr3:uid="{00000000-0010-0000-0300-0000B01D0000}" name="Column7595" dataDxfId="8808"/>
    <tableColumn id="7601" xr3:uid="{00000000-0010-0000-0300-0000B11D0000}" name="Column7596" dataDxfId="8807"/>
    <tableColumn id="7602" xr3:uid="{00000000-0010-0000-0300-0000B21D0000}" name="Column7597" dataDxfId="8806"/>
    <tableColumn id="7603" xr3:uid="{00000000-0010-0000-0300-0000B31D0000}" name="Column7598" dataDxfId="8805"/>
    <tableColumn id="7604" xr3:uid="{00000000-0010-0000-0300-0000B41D0000}" name="Column7599" dataDxfId="8804"/>
    <tableColumn id="7605" xr3:uid="{00000000-0010-0000-0300-0000B51D0000}" name="Column7600" dataDxfId="8803"/>
    <tableColumn id="7606" xr3:uid="{00000000-0010-0000-0300-0000B61D0000}" name="Column7601" dataDxfId="8802"/>
    <tableColumn id="7607" xr3:uid="{00000000-0010-0000-0300-0000B71D0000}" name="Column7602" dataDxfId="8801"/>
    <tableColumn id="7608" xr3:uid="{00000000-0010-0000-0300-0000B81D0000}" name="Column7603" dataDxfId="8800"/>
    <tableColumn id="7609" xr3:uid="{00000000-0010-0000-0300-0000B91D0000}" name="Column7604" dataDxfId="8799"/>
    <tableColumn id="7610" xr3:uid="{00000000-0010-0000-0300-0000BA1D0000}" name="Column7605" dataDxfId="8798"/>
    <tableColumn id="7611" xr3:uid="{00000000-0010-0000-0300-0000BB1D0000}" name="Column7606" dataDxfId="8797"/>
    <tableColumn id="7612" xr3:uid="{00000000-0010-0000-0300-0000BC1D0000}" name="Column7607" dataDxfId="8796"/>
    <tableColumn id="7613" xr3:uid="{00000000-0010-0000-0300-0000BD1D0000}" name="Column7608" dataDxfId="8795"/>
    <tableColumn id="7614" xr3:uid="{00000000-0010-0000-0300-0000BE1D0000}" name="Column7609" dataDxfId="8794"/>
    <tableColumn id="7615" xr3:uid="{00000000-0010-0000-0300-0000BF1D0000}" name="Column7610" dataDxfId="8793"/>
    <tableColumn id="7616" xr3:uid="{00000000-0010-0000-0300-0000C01D0000}" name="Column7611" dataDxfId="8792"/>
    <tableColumn id="7617" xr3:uid="{00000000-0010-0000-0300-0000C11D0000}" name="Column7612" dataDxfId="8791"/>
    <tableColumn id="7618" xr3:uid="{00000000-0010-0000-0300-0000C21D0000}" name="Column7613" dataDxfId="8790"/>
    <tableColumn id="7619" xr3:uid="{00000000-0010-0000-0300-0000C31D0000}" name="Column7614" dataDxfId="8789"/>
    <tableColumn id="7620" xr3:uid="{00000000-0010-0000-0300-0000C41D0000}" name="Column7615" dataDxfId="8788"/>
    <tableColumn id="7621" xr3:uid="{00000000-0010-0000-0300-0000C51D0000}" name="Column7616" dataDxfId="8787"/>
    <tableColumn id="7622" xr3:uid="{00000000-0010-0000-0300-0000C61D0000}" name="Column7617" dataDxfId="8786"/>
    <tableColumn id="7623" xr3:uid="{00000000-0010-0000-0300-0000C71D0000}" name="Column7618" dataDxfId="8785"/>
    <tableColumn id="7624" xr3:uid="{00000000-0010-0000-0300-0000C81D0000}" name="Column7619" dataDxfId="8784"/>
    <tableColumn id="7625" xr3:uid="{00000000-0010-0000-0300-0000C91D0000}" name="Column7620" dataDxfId="8783"/>
    <tableColumn id="7626" xr3:uid="{00000000-0010-0000-0300-0000CA1D0000}" name="Column7621" dataDxfId="8782"/>
    <tableColumn id="7627" xr3:uid="{00000000-0010-0000-0300-0000CB1D0000}" name="Column7622" dataDxfId="8781"/>
    <tableColumn id="7628" xr3:uid="{00000000-0010-0000-0300-0000CC1D0000}" name="Column7623" dataDxfId="8780"/>
    <tableColumn id="7629" xr3:uid="{00000000-0010-0000-0300-0000CD1D0000}" name="Column7624" dataDxfId="8779"/>
    <tableColumn id="7630" xr3:uid="{00000000-0010-0000-0300-0000CE1D0000}" name="Column7625" dataDxfId="8778"/>
    <tableColumn id="7631" xr3:uid="{00000000-0010-0000-0300-0000CF1D0000}" name="Column7626" dataDxfId="8777"/>
    <tableColumn id="7632" xr3:uid="{00000000-0010-0000-0300-0000D01D0000}" name="Column7627" dataDxfId="8776"/>
    <tableColumn id="7633" xr3:uid="{00000000-0010-0000-0300-0000D11D0000}" name="Column7628" dataDxfId="8775"/>
    <tableColumn id="7634" xr3:uid="{00000000-0010-0000-0300-0000D21D0000}" name="Column7629" dataDxfId="8774"/>
    <tableColumn id="7635" xr3:uid="{00000000-0010-0000-0300-0000D31D0000}" name="Column7630" dataDxfId="8773"/>
    <tableColumn id="7636" xr3:uid="{00000000-0010-0000-0300-0000D41D0000}" name="Column7631" dataDxfId="8772"/>
    <tableColumn id="7637" xr3:uid="{00000000-0010-0000-0300-0000D51D0000}" name="Column7632" dataDxfId="8771"/>
    <tableColumn id="7638" xr3:uid="{00000000-0010-0000-0300-0000D61D0000}" name="Column7633" dataDxfId="8770"/>
    <tableColumn id="7639" xr3:uid="{00000000-0010-0000-0300-0000D71D0000}" name="Column7634" dataDxfId="8769"/>
    <tableColumn id="7640" xr3:uid="{00000000-0010-0000-0300-0000D81D0000}" name="Column7635" dataDxfId="8768"/>
    <tableColumn id="7641" xr3:uid="{00000000-0010-0000-0300-0000D91D0000}" name="Column7636" dataDxfId="8767"/>
    <tableColumn id="7642" xr3:uid="{00000000-0010-0000-0300-0000DA1D0000}" name="Column7637" dataDxfId="8766"/>
    <tableColumn id="7643" xr3:uid="{00000000-0010-0000-0300-0000DB1D0000}" name="Column7638" dataDxfId="8765"/>
    <tableColumn id="7644" xr3:uid="{00000000-0010-0000-0300-0000DC1D0000}" name="Column7639" dataDxfId="8764"/>
    <tableColumn id="7645" xr3:uid="{00000000-0010-0000-0300-0000DD1D0000}" name="Column7640" dataDxfId="8763"/>
    <tableColumn id="7646" xr3:uid="{00000000-0010-0000-0300-0000DE1D0000}" name="Column7641" dataDxfId="8762"/>
    <tableColumn id="7647" xr3:uid="{00000000-0010-0000-0300-0000DF1D0000}" name="Column7642" dataDxfId="8761"/>
    <tableColumn id="7648" xr3:uid="{00000000-0010-0000-0300-0000E01D0000}" name="Column7643" dataDxfId="8760"/>
    <tableColumn id="7649" xr3:uid="{00000000-0010-0000-0300-0000E11D0000}" name="Column7644" dataDxfId="8759"/>
    <tableColumn id="7650" xr3:uid="{00000000-0010-0000-0300-0000E21D0000}" name="Column7645" dataDxfId="8758"/>
    <tableColumn id="7651" xr3:uid="{00000000-0010-0000-0300-0000E31D0000}" name="Column7646" dataDxfId="8757"/>
    <tableColumn id="7652" xr3:uid="{00000000-0010-0000-0300-0000E41D0000}" name="Column7647" dataDxfId="8756"/>
    <tableColumn id="7653" xr3:uid="{00000000-0010-0000-0300-0000E51D0000}" name="Column7648" dataDxfId="8755"/>
    <tableColumn id="7654" xr3:uid="{00000000-0010-0000-0300-0000E61D0000}" name="Column7649" dataDxfId="8754"/>
    <tableColumn id="7655" xr3:uid="{00000000-0010-0000-0300-0000E71D0000}" name="Column7650" dataDxfId="8753"/>
    <tableColumn id="7656" xr3:uid="{00000000-0010-0000-0300-0000E81D0000}" name="Column7651" dataDxfId="8752"/>
    <tableColumn id="7657" xr3:uid="{00000000-0010-0000-0300-0000E91D0000}" name="Column7652" dataDxfId="8751"/>
    <tableColumn id="7658" xr3:uid="{00000000-0010-0000-0300-0000EA1D0000}" name="Column7653" dataDxfId="8750"/>
    <tableColumn id="7659" xr3:uid="{00000000-0010-0000-0300-0000EB1D0000}" name="Column7654" dataDxfId="8749"/>
    <tableColumn id="7660" xr3:uid="{00000000-0010-0000-0300-0000EC1D0000}" name="Column7655" dataDxfId="8748"/>
    <tableColumn id="7661" xr3:uid="{00000000-0010-0000-0300-0000ED1D0000}" name="Column7656" dataDxfId="8747"/>
    <tableColumn id="7662" xr3:uid="{00000000-0010-0000-0300-0000EE1D0000}" name="Column7657" dataDxfId="8746"/>
    <tableColumn id="7663" xr3:uid="{00000000-0010-0000-0300-0000EF1D0000}" name="Column7658" dataDxfId="8745"/>
    <tableColumn id="7664" xr3:uid="{00000000-0010-0000-0300-0000F01D0000}" name="Column7659" dataDxfId="8744"/>
    <tableColumn id="7665" xr3:uid="{00000000-0010-0000-0300-0000F11D0000}" name="Column7660" dataDxfId="8743"/>
    <tableColumn id="7666" xr3:uid="{00000000-0010-0000-0300-0000F21D0000}" name="Column7661" dataDxfId="8742"/>
    <tableColumn id="7667" xr3:uid="{00000000-0010-0000-0300-0000F31D0000}" name="Column7662" dataDxfId="8741"/>
    <tableColumn id="7668" xr3:uid="{00000000-0010-0000-0300-0000F41D0000}" name="Column7663" dataDxfId="8740"/>
    <tableColumn id="7669" xr3:uid="{00000000-0010-0000-0300-0000F51D0000}" name="Column7664" dataDxfId="8739"/>
    <tableColumn id="7670" xr3:uid="{00000000-0010-0000-0300-0000F61D0000}" name="Column7665" dataDxfId="8738"/>
    <tableColumn id="7671" xr3:uid="{00000000-0010-0000-0300-0000F71D0000}" name="Column7666" dataDxfId="8737"/>
    <tableColumn id="7672" xr3:uid="{00000000-0010-0000-0300-0000F81D0000}" name="Column7667" dataDxfId="8736"/>
    <tableColumn id="7673" xr3:uid="{00000000-0010-0000-0300-0000F91D0000}" name="Column7668" dataDxfId="8735"/>
    <tableColumn id="7674" xr3:uid="{00000000-0010-0000-0300-0000FA1D0000}" name="Column7669" dataDxfId="8734"/>
    <tableColumn id="7675" xr3:uid="{00000000-0010-0000-0300-0000FB1D0000}" name="Column7670" dataDxfId="8733"/>
    <tableColumn id="7676" xr3:uid="{00000000-0010-0000-0300-0000FC1D0000}" name="Column7671" dataDxfId="8732"/>
    <tableColumn id="7677" xr3:uid="{00000000-0010-0000-0300-0000FD1D0000}" name="Column7672" dataDxfId="8731"/>
    <tableColumn id="7678" xr3:uid="{00000000-0010-0000-0300-0000FE1D0000}" name="Column7673" dataDxfId="8730"/>
    <tableColumn id="7679" xr3:uid="{00000000-0010-0000-0300-0000FF1D0000}" name="Column7674" dataDxfId="8729"/>
    <tableColumn id="7680" xr3:uid="{00000000-0010-0000-0300-0000001E0000}" name="Column7675" dataDxfId="8728"/>
    <tableColumn id="7681" xr3:uid="{00000000-0010-0000-0300-0000011E0000}" name="Column7676" dataDxfId="8727"/>
    <tableColumn id="7682" xr3:uid="{00000000-0010-0000-0300-0000021E0000}" name="Column7677" dataDxfId="8726"/>
    <tableColumn id="7683" xr3:uid="{00000000-0010-0000-0300-0000031E0000}" name="Column7678" dataDxfId="8725"/>
    <tableColumn id="7684" xr3:uid="{00000000-0010-0000-0300-0000041E0000}" name="Column7679" dataDxfId="8724"/>
    <tableColumn id="7685" xr3:uid="{00000000-0010-0000-0300-0000051E0000}" name="Column7680" dataDxfId="8723"/>
    <tableColumn id="7686" xr3:uid="{00000000-0010-0000-0300-0000061E0000}" name="Column7681" dataDxfId="8722"/>
    <tableColumn id="7687" xr3:uid="{00000000-0010-0000-0300-0000071E0000}" name="Column7682" dataDxfId="8721"/>
    <tableColumn id="7688" xr3:uid="{00000000-0010-0000-0300-0000081E0000}" name="Column7683" dataDxfId="8720"/>
    <tableColumn id="7689" xr3:uid="{00000000-0010-0000-0300-0000091E0000}" name="Column7684" dataDxfId="8719"/>
    <tableColumn id="7690" xr3:uid="{00000000-0010-0000-0300-00000A1E0000}" name="Column7685" dataDxfId="8718"/>
    <tableColumn id="7691" xr3:uid="{00000000-0010-0000-0300-00000B1E0000}" name="Column7686" dataDxfId="8717"/>
    <tableColumn id="7692" xr3:uid="{00000000-0010-0000-0300-00000C1E0000}" name="Column7687" dataDxfId="8716"/>
    <tableColumn id="7693" xr3:uid="{00000000-0010-0000-0300-00000D1E0000}" name="Column7688" dataDxfId="8715"/>
    <tableColumn id="7694" xr3:uid="{00000000-0010-0000-0300-00000E1E0000}" name="Column7689" dataDxfId="8714"/>
    <tableColumn id="7695" xr3:uid="{00000000-0010-0000-0300-00000F1E0000}" name="Column7690" dataDxfId="8713"/>
    <tableColumn id="7696" xr3:uid="{00000000-0010-0000-0300-0000101E0000}" name="Column7691" dataDxfId="8712"/>
    <tableColumn id="7697" xr3:uid="{00000000-0010-0000-0300-0000111E0000}" name="Column7692" dataDxfId="8711"/>
    <tableColumn id="7698" xr3:uid="{00000000-0010-0000-0300-0000121E0000}" name="Column7693" dataDxfId="8710"/>
    <tableColumn id="7699" xr3:uid="{00000000-0010-0000-0300-0000131E0000}" name="Column7694" dataDxfId="8709"/>
    <tableColumn id="7700" xr3:uid="{00000000-0010-0000-0300-0000141E0000}" name="Column7695" dataDxfId="8708"/>
    <tableColumn id="7701" xr3:uid="{00000000-0010-0000-0300-0000151E0000}" name="Column7696" dataDxfId="8707"/>
    <tableColumn id="7702" xr3:uid="{00000000-0010-0000-0300-0000161E0000}" name="Column7697" dataDxfId="8706"/>
    <tableColumn id="7703" xr3:uid="{00000000-0010-0000-0300-0000171E0000}" name="Column7698" dataDxfId="8705"/>
    <tableColumn id="7704" xr3:uid="{00000000-0010-0000-0300-0000181E0000}" name="Column7699" dataDxfId="8704"/>
    <tableColumn id="7705" xr3:uid="{00000000-0010-0000-0300-0000191E0000}" name="Column7700" dataDxfId="8703"/>
    <tableColumn id="7706" xr3:uid="{00000000-0010-0000-0300-00001A1E0000}" name="Column7701" dataDxfId="8702"/>
    <tableColumn id="7707" xr3:uid="{00000000-0010-0000-0300-00001B1E0000}" name="Column7702" dataDxfId="8701"/>
    <tableColumn id="7708" xr3:uid="{00000000-0010-0000-0300-00001C1E0000}" name="Column7703" dataDxfId="8700"/>
    <tableColumn id="7709" xr3:uid="{00000000-0010-0000-0300-00001D1E0000}" name="Column7704" dataDxfId="8699"/>
    <tableColumn id="7710" xr3:uid="{00000000-0010-0000-0300-00001E1E0000}" name="Column7705" dataDxfId="8698"/>
    <tableColumn id="7711" xr3:uid="{00000000-0010-0000-0300-00001F1E0000}" name="Column7706" dataDxfId="8697"/>
    <tableColumn id="7712" xr3:uid="{00000000-0010-0000-0300-0000201E0000}" name="Column7707" dataDxfId="8696"/>
    <tableColumn id="7713" xr3:uid="{00000000-0010-0000-0300-0000211E0000}" name="Column7708" dataDxfId="8695"/>
    <tableColumn id="7714" xr3:uid="{00000000-0010-0000-0300-0000221E0000}" name="Column7709" dataDxfId="8694"/>
    <tableColumn id="7715" xr3:uid="{00000000-0010-0000-0300-0000231E0000}" name="Column7710" dataDxfId="8693"/>
    <tableColumn id="7716" xr3:uid="{00000000-0010-0000-0300-0000241E0000}" name="Column7711" dataDxfId="8692"/>
    <tableColumn id="7717" xr3:uid="{00000000-0010-0000-0300-0000251E0000}" name="Column7712" dataDxfId="8691"/>
    <tableColumn id="7718" xr3:uid="{00000000-0010-0000-0300-0000261E0000}" name="Column7713" dataDxfId="8690"/>
    <tableColumn id="7719" xr3:uid="{00000000-0010-0000-0300-0000271E0000}" name="Column7714" dataDxfId="8689"/>
    <tableColumn id="7720" xr3:uid="{00000000-0010-0000-0300-0000281E0000}" name="Column7715" dataDxfId="8688"/>
    <tableColumn id="7721" xr3:uid="{00000000-0010-0000-0300-0000291E0000}" name="Column7716" dataDxfId="8687"/>
    <tableColumn id="7722" xr3:uid="{00000000-0010-0000-0300-00002A1E0000}" name="Column7717" dataDxfId="8686"/>
    <tableColumn id="7723" xr3:uid="{00000000-0010-0000-0300-00002B1E0000}" name="Column7718" dataDxfId="8685"/>
    <tableColumn id="7724" xr3:uid="{00000000-0010-0000-0300-00002C1E0000}" name="Column7719" dataDxfId="8684"/>
    <tableColumn id="7725" xr3:uid="{00000000-0010-0000-0300-00002D1E0000}" name="Column7720" dataDxfId="8683"/>
    <tableColumn id="7726" xr3:uid="{00000000-0010-0000-0300-00002E1E0000}" name="Column7721" dataDxfId="8682"/>
    <tableColumn id="7727" xr3:uid="{00000000-0010-0000-0300-00002F1E0000}" name="Column7722" dataDxfId="8681"/>
    <tableColumn id="7728" xr3:uid="{00000000-0010-0000-0300-0000301E0000}" name="Column7723" dataDxfId="8680"/>
    <tableColumn id="7729" xr3:uid="{00000000-0010-0000-0300-0000311E0000}" name="Column7724" dataDxfId="8679"/>
    <tableColumn id="7730" xr3:uid="{00000000-0010-0000-0300-0000321E0000}" name="Column7725" dataDxfId="8678"/>
    <tableColumn id="7731" xr3:uid="{00000000-0010-0000-0300-0000331E0000}" name="Column7726" dataDxfId="8677"/>
    <tableColumn id="7732" xr3:uid="{00000000-0010-0000-0300-0000341E0000}" name="Column7727" dataDxfId="8676"/>
    <tableColumn id="7733" xr3:uid="{00000000-0010-0000-0300-0000351E0000}" name="Column7728" dataDxfId="8675"/>
    <tableColumn id="7734" xr3:uid="{00000000-0010-0000-0300-0000361E0000}" name="Column7729" dataDxfId="8674"/>
    <tableColumn id="7735" xr3:uid="{00000000-0010-0000-0300-0000371E0000}" name="Column7730" dataDxfId="8673"/>
    <tableColumn id="7736" xr3:uid="{00000000-0010-0000-0300-0000381E0000}" name="Column7731" dataDxfId="8672"/>
    <tableColumn id="7737" xr3:uid="{00000000-0010-0000-0300-0000391E0000}" name="Column7732" dataDxfId="8671"/>
    <tableColumn id="7738" xr3:uid="{00000000-0010-0000-0300-00003A1E0000}" name="Column7733" dataDxfId="8670"/>
    <tableColumn id="7739" xr3:uid="{00000000-0010-0000-0300-00003B1E0000}" name="Column7734" dataDxfId="8669"/>
    <tableColumn id="7740" xr3:uid="{00000000-0010-0000-0300-00003C1E0000}" name="Column7735" dataDxfId="8668"/>
    <tableColumn id="7741" xr3:uid="{00000000-0010-0000-0300-00003D1E0000}" name="Column7736" dataDxfId="8667"/>
    <tableColumn id="7742" xr3:uid="{00000000-0010-0000-0300-00003E1E0000}" name="Column7737" dataDxfId="8666"/>
    <tableColumn id="7743" xr3:uid="{00000000-0010-0000-0300-00003F1E0000}" name="Column7738" dataDxfId="8665"/>
    <tableColumn id="7744" xr3:uid="{00000000-0010-0000-0300-0000401E0000}" name="Column7739" dataDxfId="8664"/>
    <tableColumn id="7745" xr3:uid="{00000000-0010-0000-0300-0000411E0000}" name="Column7740" dataDxfId="8663"/>
    <tableColumn id="7746" xr3:uid="{00000000-0010-0000-0300-0000421E0000}" name="Column7741" dataDxfId="8662"/>
    <tableColumn id="7747" xr3:uid="{00000000-0010-0000-0300-0000431E0000}" name="Column7742" dataDxfId="8661"/>
    <tableColumn id="7748" xr3:uid="{00000000-0010-0000-0300-0000441E0000}" name="Column7743" dataDxfId="8660"/>
    <tableColumn id="7749" xr3:uid="{00000000-0010-0000-0300-0000451E0000}" name="Column7744" dataDxfId="8659"/>
    <tableColumn id="7750" xr3:uid="{00000000-0010-0000-0300-0000461E0000}" name="Column7745" dataDxfId="8658"/>
    <tableColumn id="7751" xr3:uid="{00000000-0010-0000-0300-0000471E0000}" name="Column7746" dataDxfId="8657"/>
    <tableColumn id="7752" xr3:uid="{00000000-0010-0000-0300-0000481E0000}" name="Column7747" dataDxfId="8656"/>
    <tableColumn id="7753" xr3:uid="{00000000-0010-0000-0300-0000491E0000}" name="Column7748" dataDxfId="8655"/>
    <tableColumn id="7754" xr3:uid="{00000000-0010-0000-0300-00004A1E0000}" name="Column7749" dataDxfId="8654"/>
    <tableColumn id="7755" xr3:uid="{00000000-0010-0000-0300-00004B1E0000}" name="Column7750" dataDxfId="8653"/>
    <tableColumn id="7756" xr3:uid="{00000000-0010-0000-0300-00004C1E0000}" name="Column7751" dataDxfId="8652"/>
    <tableColumn id="7757" xr3:uid="{00000000-0010-0000-0300-00004D1E0000}" name="Column7752" dataDxfId="8651"/>
    <tableColumn id="7758" xr3:uid="{00000000-0010-0000-0300-00004E1E0000}" name="Column7753" dataDxfId="8650"/>
    <tableColumn id="7759" xr3:uid="{00000000-0010-0000-0300-00004F1E0000}" name="Column7754" dataDxfId="8649"/>
    <tableColumn id="7760" xr3:uid="{00000000-0010-0000-0300-0000501E0000}" name="Column7755" dataDxfId="8648"/>
    <tableColumn id="7761" xr3:uid="{00000000-0010-0000-0300-0000511E0000}" name="Column7756" dataDxfId="8647"/>
    <tableColumn id="7762" xr3:uid="{00000000-0010-0000-0300-0000521E0000}" name="Column7757" dataDxfId="8646"/>
    <tableColumn id="7763" xr3:uid="{00000000-0010-0000-0300-0000531E0000}" name="Column7758" dataDxfId="8645"/>
    <tableColumn id="7764" xr3:uid="{00000000-0010-0000-0300-0000541E0000}" name="Column7759" dataDxfId="8644"/>
    <tableColumn id="7765" xr3:uid="{00000000-0010-0000-0300-0000551E0000}" name="Column7760" dataDxfId="8643"/>
    <tableColumn id="7766" xr3:uid="{00000000-0010-0000-0300-0000561E0000}" name="Column7761" dataDxfId="8642"/>
    <tableColumn id="7767" xr3:uid="{00000000-0010-0000-0300-0000571E0000}" name="Column7762" dataDxfId="8641"/>
    <tableColumn id="7768" xr3:uid="{00000000-0010-0000-0300-0000581E0000}" name="Column7763" dataDxfId="8640"/>
    <tableColumn id="7769" xr3:uid="{00000000-0010-0000-0300-0000591E0000}" name="Column7764" dataDxfId="8639"/>
    <tableColumn id="7770" xr3:uid="{00000000-0010-0000-0300-00005A1E0000}" name="Column7765" dataDxfId="8638"/>
    <tableColumn id="7771" xr3:uid="{00000000-0010-0000-0300-00005B1E0000}" name="Column7766" dataDxfId="8637"/>
    <tableColumn id="7772" xr3:uid="{00000000-0010-0000-0300-00005C1E0000}" name="Column7767" dataDxfId="8636"/>
    <tableColumn id="7773" xr3:uid="{00000000-0010-0000-0300-00005D1E0000}" name="Column7768" dataDxfId="8635"/>
    <tableColumn id="7774" xr3:uid="{00000000-0010-0000-0300-00005E1E0000}" name="Column7769" dataDxfId="8634"/>
    <tableColumn id="7775" xr3:uid="{00000000-0010-0000-0300-00005F1E0000}" name="Column7770" dataDxfId="8633"/>
    <tableColumn id="7776" xr3:uid="{00000000-0010-0000-0300-0000601E0000}" name="Column7771" dataDxfId="8632"/>
    <tableColumn id="7777" xr3:uid="{00000000-0010-0000-0300-0000611E0000}" name="Column7772" dataDxfId="8631"/>
    <tableColumn id="7778" xr3:uid="{00000000-0010-0000-0300-0000621E0000}" name="Column7773" dataDxfId="8630"/>
    <tableColumn id="7779" xr3:uid="{00000000-0010-0000-0300-0000631E0000}" name="Column7774" dataDxfId="8629"/>
    <tableColumn id="7780" xr3:uid="{00000000-0010-0000-0300-0000641E0000}" name="Column7775" dataDxfId="8628"/>
    <tableColumn id="7781" xr3:uid="{00000000-0010-0000-0300-0000651E0000}" name="Column7776" dataDxfId="8627"/>
    <tableColumn id="7782" xr3:uid="{00000000-0010-0000-0300-0000661E0000}" name="Column7777" dataDxfId="8626"/>
    <tableColumn id="7783" xr3:uid="{00000000-0010-0000-0300-0000671E0000}" name="Column7778" dataDxfId="8625"/>
    <tableColumn id="7784" xr3:uid="{00000000-0010-0000-0300-0000681E0000}" name="Column7779" dataDxfId="8624"/>
    <tableColumn id="7785" xr3:uid="{00000000-0010-0000-0300-0000691E0000}" name="Column7780" dataDxfId="8623"/>
    <tableColumn id="7786" xr3:uid="{00000000-0010-0000-0300-00006A1E0000}" name="Column7781" dataDxfId="8622"/>
    <tableColumn id="7787" xr3:uid="{00000000-0010-0000-0300-00006B1E0000}" name="Column7782" dataDxfId="8621"/>
    <tableColumn id="7788" xr3:uid="{00000000-0010-0000-0300-00006C1E0000}" name="Column7783" dataDxfId="8620"/>
    <tableColumn id="7789" xr3:uid="{00000000-0010-0000-0300-00006D1E0000}" name="Column7784" dataDxfId="8619"/>
    <tableColumn id="7790" xr3:uid="{00000000-0010-0000-0300-00006E1E0000}" name="Column7785" dataDxfId="8618"/>
    <tableColumn id="7791" xr3:uid="{00000000-0010-0000-0300-00006F1E0000}" name="Column7786" dataDxfId="8617"/>
    <tableColumn id="7792" xr3:uid="{00000000-0010-0000-0300-0000701E0000}" name="Column7787" dataDxfId="8616"/>
    <tableColumn id="7793" xr3:uid="{00000000-0010-0000-0300-0000711E0000}" name="Column7788" dataDxfId="8615"/>
    <tableColumn id="7794" xr3:uid="{00000000-0010-0000-0300-0000721E0000}" name="Column7789" dataDxfId="8614"/>
    <tableColumn id="7795" xr3:uid="{00000000-0010-0000-0300-0000731E0000}" name="Column7790" dataDxfId="8613"/>
    <tableColumn id="7796" xr3:uid="{00000000-0010-0000-0300-0000741E0000}" name="Column7791" dataDxfId="8612"/>
    <tableColumn id="7797" xr3:uid="{00000000-0010-0000-0300-0000751E0000}" name="Column7792" dataDxfId="8611"/>
    <tableColumn id="7798" xr3:uid="{00000000-0010-0000-0300-0000761E0000}" name="Column7793" dataDxfId="8610"/>
    <tableColumn id="7799" xr3:uid="{00000000-0010-0000-0300-0000771E0000}" name="Column7794" dataDxfId="8609"/>
    <tableColumn id="7800" xr3:uid="{00000000-0010-0000-0300-0000781E0000}" name="Column7795" dataDxfId="8608"/>
    <tableColumn id="7801" xr3:uid="{00000000-0010-0000-0300-0000791E0000}" name="Column7796" dataDxfId="8607"/>
    <tableColumn id="7802" xr3:uid="{00000000-0010-0000-0300-00007A1E0000}" name="Column7797" dataDxfId="8606"/>
    <tableColumn id="7803" xr3:uid="{00000000-0010-0000-0300-00007B1E0000}" name="Column7798" dataDxfId="8605"/>
    <tableColumn id="7804" xr3:uid="{00000000-0010-0000-0300-00007C1E0000}" name="Column7799" dataDxfId="8604"/>
    <tableColumn id="7805" xr3:uid="{00000000-0010-0000-0300-00007D1E0000}" name="Column7800" dataDxfId="8603"/>
    <tableColumn id="7806" xr3:uid="{00000000-0010-0000-0300-00007E1E0000}" name="Column7801" dataDxfId="8602"/>
    <tableColumn id="7807" xr3:uid="{00000000-0010-0000-0300-00007F1E0000}" name="Column7802" dataDxfId="8601"/>
    <tableColumn id="7808" xr3:uid="{00000000-0010-0000-0300-0000801E0000}" name="Column7803" dataDxfId="8600"/>
    <tableColumn id="7809" xr3:uid="{00000000-0010-0000-0300-0000811E0000}" name="Column7804" dataDxfId="8599"/>
    <tableColumn id="7810" xr3:uid="{00000000-0010-0000-0300-0000821E0000}" name="Column7805" dataDxfId="8598"/>
    <tableColumn id="7811" xr3:uid="{00000000-0010-0000-0300-0000831E0000}" name="Column7806" dataDxfId="8597"/>
    <tableColumn id="7812" xr3:uid="{00000000-0010-0000-0300-0000841E0000}" name="Column7807" dataDxfId="8596"/>
    <tableColumn id="7813" xr3:uid="{00000000-0010-0000-0300-0000851E0000}" name="Column7808" dataDxfId="8595"/>
    <tableColumn id="7814" xr3:uid="{00000000-0010-0000-0300-0000861E0000}" name="Column7809" dataDxfId="8594"/>
    <tableColumn id="7815" xr3:uid="{00000000-0010-0000-0300-0000871E0000}" name="Column7810" dataDxfId="8593"/>
    <tableColumn id="7816" xr3:uid="{00000000-0010-0000-0300-0000881E0000}" name="Column7811" dataDxfId="8592"/>
    <tableColumn id="7817" xr3:uid="{00000000-0010-0000-0300-0000891E0000}" name="Column7812" dataDxfId="8591"/>
    <tableColumn id="7818" xr3:uid="{00000000-0010-0000-0300-00008A1E0000}" name="Column7813" dataDxfId="8590"/>
    <tableColumn id="7819" xr3:uid="{00000000-0010-0000-0300-00008B1E0000}" name="Column7814" dataDxfId="8589"/>
    <tableColumn id="7820" xr3:uid="{00000000-0010-0000-0300-00008C1E0000}" name="Column7815" dataDxfId="8588"/>
    <tableColumn id="7821" xr3:uid="{00000000-0010-0000-0300-00008D1E0000}" name="Column7816" dataDxfId="8587"/>
    <tableColumn id="7822" xr3:uid="{00000000-0010-0000-0300-00008E1E0000}" name="Column7817" dataDxfId="8586"/>
    <tableColumn id="7823" xr3:uid="{00000000-0010-0000-0300-00008F1E0000}" name="Column7818" dataDxfId="8585"/>
    <tableColumn id="7824" xr3:uid="{00000000-0010-0000-0300-0000901E0000}" name="Column7819" dataDxfId="8584"/>
    <tableColumn id="7825" xr3:uid="{00000000-0010-0000-0300-0000911E0000}" name="Column7820" dataDxfId="8583"/>
    <tableColumn id="7826" xr3:uid="{00000000-0010-0000-0300-0000921E0000}" name="Column7821" dataDxfId="8582"/>
    <tableColumn id="7827" xr3:uid="{00000000-0010-0000-0300-0000931E0000}" name="Column7822" dataDxfId="8581"/>
    <tableColumn id="7828" xr3:uid="{00000000-0010-0000-0300-0000941E0000}" name="Column7823" dataDxfId="8580"/>
    <tableColumn id="7829" xr3:uid="{00000000-0010-0000-0300-0000951E0000}" name="Column7824" dataDxfId="8579"/>
    <tableColumn id="7830" xr3:uid="{00000000-0010-0000-0300-0000961E0000}" name="Column7825" dataDxfId="8578"/>
    <tableColumn id="7831" xr3:uid="{00000000-0010-0000-0300-0000971E0000}" name="Column7826" dataDxfId="8577"/>
    <tableColumn id="7832" xr3:uid="{00000000-0010-0000-0300-0000981E0000}" name="Column7827" dataDxfId="8576"/>
    <tableColumn id="7833" xr3:uid="{00000000-0010-0000-0300-0000991E0000}" name="Column7828" dataDxfId="8575"/>
    <tableColumn id="7834" xr3:uid="{00000000-0010-0000-0300-00009A1E0000}" name="Column7829" dataDxfId="8574"/>
    <tableColumn id="7835" xr3:uid="{00000000-0010-0000-0300-00009B1E0000}" name="Column7830" dataDxfId="8573"/>
    <tableColumn id="7836" xr3:uid="{00000000-0010-0000-0300-00009C1E0000}" name="Column7831" dataDxfId="8572"/>
    <tableColumn id="7837" xr3:uid="{00000000-0010-0000-0300-00009D1E0000}" name="Column7832" dataDxfId="8571"/>
    <tableColumn id="7838" xr3:uid="{00000000-0010-0000-0300-00009E1E0000}" name="Column7833" dataDxfId="8570"/>
    <tableColumn id="7839" xr3:uid="{00000000-0010-0000-0300-00009F1E0000}" name="Column7834" dataDxfId="8569"/>
    <tableColumn id="7840" xr3:uid="{00000000-0010-0000-0300-0000A01E0000}" name="Column7835" dataDxfId="8568"/>
    <tableColumn id="7841" xr3:uid="{00000000-0010-0000-0300-0000A11E0000}" name="Column7836" dataDxfId="8567"/>
    <tableColumn id="7842" xr3:uid="{00000000-0010-0000-0300-0000A21E0000}" name="Column7837" dataDxfId="8566"/>
    <tableColumn id="7843" xr3:uid="{00000000-0010-0000-0300-0000A31E0000}" name="Column7838" dataDxfId="8565"/>
    <tableColumn id="7844" xr3:uid="{00000000-0010-0000-0300-0000A41E0000}" name="Column7839" dataDxfId="8564"/>
    <tableColumn id="7845" xr3:uid="{00000000-0010-0000-0300-0000A51E0000}" name="Column7840" dataDxfId="8563"/>
    <tableColumn id="7846" xr3:uid="{00000000-0010-0000-0300-0000A61E0000}" name="Column7841" dataDxfId="8562"/>
    <tableColumn id="7847" xr3:uid="{00000000-0010-0000-0300-0000A71E0000}" name="Column7842" dataDxfId="8561"/>
    <tableColumn id="7848" xr3:uid="{00000000-0010-0000-0300-0000A81E0000}" name="Column7843" dataDxfId="8560"/>
    <tableColumn id="7849" xr3:uid="{00000000-0010-0000-0300-0000A91E0000}" name="Column7844" dataDxfId="8559"/>
    <tableColumn id="7850" xr3:uid="{00000000-0010-0000-0300-0000AA1E0000}" name="Column7845" dataDxfId="8558"/>
    <tableColumn id="7851" xr3:uid="{00000000-0010-0000-0300-0000AB1E0000}" name="Column7846" dataDxfId="8557"/>
    <tableColumn id="7852" xr3:uid="{00000000-0010-0000-0300-0000AC1E0000}" name="Column7847" dataDxfId="8556"/>
    <tableColumn id="7853" xr3:uid="{00000000-0010-0000-0300-0000AD1E0000}" name="Column7848" dataDxfId="8555"/>
    <tableColumn id="7854" xr3:uid="{00000000-0010-0000-0300-0000AE1E0000}" name="Column7849" dataDxfId="8554"/>
    <tableColumn id="7855" xr3:uid="{00000000-0010-0000-0300-0000AF1E0000}" name="Column7850" dataDxfId="8553"/>
    <tableColumn id="7856" xr3:uid="{00000000-0010-0000-0300-0000B01E0000}" name="Column7851" dataDxfId="8552"/>
    <tableColumn id="7857" xr3:uid="{00000000-0010-0000-0300-0000B11E0000}" name="Column7852" dataDxfId="8551"/>
    <tableColumn id="7858" xr3:uid="{00000000-0010-0000-0300-0000B21E0000}" name="Column7853" dataDxfId="8550"/>
    <tableColumn id="7859" xr3:uid="{00000000-0010-0000-0300-0000B31E0000}" name="Column7854" dataDxfId="8549"/>
    <tableColumn id="7860" xr3:uid="{00000000-0010-0000-0300-0000B41E0000}" name="Column7855" dataDxfId="8548"/>
    <tableColumn id="7861" xr3:uid="{00000000-0010-0000-0300-0000B51E0000}" name="Column7856" dataDxfId="8547"/>
    <tableColumn id="7862" xr3:uid="{00000000-0010-0000-0300-0000B61E0000}" name="Column7857" dataDxfId="8546"/>
    <tableColumn id="7863" xr3:uid="{00000000-0010-0000-0300-0000B71E0000}" name="Column7858" dataDxfId="8545"/>
    <tableColumn id="7864" xr3:uid="{00000000-0010-0000-0300-0000B81E0000}" name="Column7859" dataDxfId="8544"/>
    <tableColumn id="7865" xr3:uid="{00000000-0010-0000-0300-0000B91E0000}" name="Column7860" dataDxfId="8543"/>
    <tableColumn id="7866" xr3:uid="{00000000-0010-0000-0300-0000BA1E0000}" name="Column7861" dataDxfId="8542"/>
    <tableColumn id="7867" xr3:uid="{00000000-0010-0000-0300-0000BB1E0000}" name="Column7862" dataDxfId="8541"/>
    <tableColumn id="7868" xr3:uid="{00000000-0010-0000-0300-0000BC1E0000}" name="Column7863" dataDxfId="8540"/>
    <tableColumn id="7869" xr3:uid="{00000000-0010-0000-0300-0000BD1E0000}" name="Column7864" dataDxfId="8539"/>
    <tableColumn id="7870" xr3:uid="{00000000-0010-0000-0300-0000BE1E0000}" name="Column7865" dataDxfId="8538"/>
    <tableColumn id="7871" xr3:uid="{00000000-0010-0000-0300-0000BF1E0000}" name="Column7866" dataDxfId="8537"/>
    <tableColumn id="7872" xr3:uid="{00000000-0010-0000-0300-0000C01E0000}" name="Column7867" dataDxfId="8536"/>
    <tableColumn id="7873" xr3:uid="{00000000-0010-0000-0300-0000C11E0000}" name="Column7868" dataDxfId="8535"/>
    <tableColumn id="7874" xr3:uid="{00000000-0010-0000-0300-0000C21E0000}" name="Column7869" dataDxfId="8534"/>
    <tableColumn id="7875" xr3:uid="{00000000-0010-0000-0300-0000C31E0000}" name="Column7870" dataDxfId="8533"/>
    <tableColumn id="7876" xr3:uid="{00000000-0010-0000-0300-0000C41E0000}" name="Column7871" dataDxfId="8532"/>
    <tableColumn id="7877" xr3:uid="{00000000-0010-0000-0300-0000C51E0000}" name="Column7872" dataDxfId="8531"/>
    <tableColumn id="7878" xr3:uid="{00000000-0010-0000-0300-0000C61E0000}" name="Column7873" dataDxfId="8530"/>
    <tableColumn id="7879" xr3:uid="{00000000-0010-0000-0300-0000C71E0000}" name="Column7874" dataDxfId="8529"/>
    <tableColumn id="7880" xr3:uid="{00000000-0010-0000-0300-0000C81E0000}" name="Column7875" dataDxfId="8528"/>
    <tableColumn id="7881" xr3:uid="{00000000-0010-0000-0300-0000C91E0000}" name="Column7876" dataDxfId="8527"/>
    <tableColumn id="7882" xr3:uid="{00000000-0010-0000-0300-0000CA1E0000}" name="Column7877" dataDxfId="8526"/>
    <tableColumn id="7883" xr3:uid="{00000000-0010-0000-0300-0000CB1E0000}" name="Column7878" dataDxfId="8525"/>
    <tableColumn id="7884" xr3:uid="{00000000-0010-0000-0300-0000CC1E0000}" name="Column7879" dataDxfId="8524"/>
    <tableColumn id="7885" xr3:uid="{00000000-0010-0000-0300-0000CD1E0000}" name="Column7880" dataDxfId="8523"/>
    <tableColumn id="7886" xr3:uid="{00000000-0010-0000-0300-0000CE1E0000}" name="Column7881" dataDxfId="8522"/>
    <tableColumn id="7887" xr3:uid="{00000000-0010-0000-0300-0000CF1E0000}" name="Column7882" dataDxfId="8521"/>
    <tableColumn id="7888" xr3:uid="{00000000-0010-0000-0300-0000D01E0000}" name="Column7883" dataDxfId="8520"/>
    <tableColumn id="7889" xr3:uid="{00000000-0010-0000-0300-0000D11E0000}" name="Column7884" dataDxfId="8519"/>
    <tableColumn id="7890" xr3:uid="{00000000-0010-0000-0300-0000D21E0000}" name="Column7885" dataDxfId="8518"/>
    <tableColumn id="7891" xr3:uid="{00000000-0010-0000-0300-0000D31E0000}" name="Column7886" dataDxfId="8517"/>
    <tableColumn id="7892" xr3:uid="{00000000-0010-0000-0300-0000D41E0000}" name="Column7887" dataDxfId="8516"/>
    <tableColumn id="7893" xr3:uid="{00000000-0010-0000-0300-0000D51E0000}" name="Column7888" dataDxfId="8515"/>
    <tableColumn id="7894" xr3:uid="{00000000-0010-0000-0300-0000D61E0000}" name="Column7889" dataDxfId="8514"/>
    <tableColumn id="7895" xr3:uid="{00000000-0010-0000-0300-0000D71E0000}" name="Column7890" dataDxfId="8513"/>
    <tableColumn id="7896" xr3:uid="{00000000-0010-0000-0300-0000D81E0000}" name="Column7891" dataDxfId="8512"/>
    <tableColumn id="7897" xr3:uid="{00000000-0010-0000-0300-0000D91E0000}" name="Column7892" dataDxfId="8511"/>
    <tableColumn id="7898" xr3:uid="{00000000-0010-0000-0300-0000DA1E0000}" name="Column7893" dataDxfId="8510"/>
    <tableColumn id="7899" xr3:uid="{00000000-0010-0000-0300-0000DB1E0000}" name="Column7894" dataDxfId="8509"/>
    <tableColumn id="7900" xr3:uid="{00000000-0010-0000-0300-0000DC1E0000}" name="Column7895" dataDxfId="8508"/>
    <tableColumn id="7901" xr3:uid="{00000000-0010-0000-0300-0000DD1E0000}" name="Column7896" dataDxfId="8507"/>
    <tableColumn id="7902" xr3:uid="{00000000-0010-0000-0300-0000DE1E0000}" name="Column7897" dataDxfId="8506"/>
    <tableColumn id="7903" xr3:uid="{00000000-0010-0000-0300-0000DF1E0000}" name="Column7898" dataDxfId="8505"/>
    <tableColumn id="7904" xr3:uid="{00000000-0010-0000-0300-0000E01E0000}" name="Column7899" dataDxfId="8504"/>
    <tableColumn id="7905" xr3:uid="{00000000-0010-0000-0300-0000E11E0000}" name="Column7900" dataDxfId="8503"/>
    <tableColumn id="7906" xr3:uid="{00000000-0010-0000-0300-0000E21E0000}" name="Column7901" dataDxfId="8502"/>
    <tableColumn id="7907" xr3:uid="{00000000-0010-0000-0300-0000E31E0000}" name="Column7902" dataDxfId="8501"/>
    <tableColumn id="7908" xr3:uid="{00000000-0010-0000-0300-0000E41E0000}" name="Column7903" dataDxfId="8500"/>
    <tableColumn id="7909" xr3:uid="{00000000-0010-0000-0300-0000E51E0000}" name="Column7904" dataDxfId="8499"/>
    <tableColumn id="7910" xr3:uid="{00000000-0010-0000-0300-0000E61E0000}" name="Column7905" dataDxfId="8498"/>
    <tableColumn id="7911" xr3:uid="{00000000-0010-0000-0300-0000E71E0000}" name="Column7906" dataDxfId="8497"/>
    <tableColumn id="7912" xr3:uid="{00000000-0010-0000-0300-0000E81E0000}" name="Column7907" dataDxfId="8496"/>
    <tableColumn id="7913" xr3:uid="{00000000-0010-0000-0300-0000E91E0000}" name="Column7908" dataDxfId="8495"/>
    <tableColumn id="7914" xr3:uid="{00000000-0010-0000-0300-0000EA1E0000}" name="Column7909" dataDxfId="8494"/>
    <tableColumn id="7915" xr3:uid="{00000000-0010-0000-0300-0000EB1E0000}" name="Column7910" dataDxfId="8493"/>
    <tableColumn id="7916" xr3:uid="{00000000-0010-0000-0300-0000EC1E0000}" name="Column7911" dataDxfId="8492"/>
    <tableColumn id="7917" xr3:uid="{00000000-0010-0000-0300-0000ED1E0000}" name="Column7912" dataDxfId="8491"/>
    <tableColumn id="7918" xr3:uid="{00000000-0010-0000-0300-0000EE1E0000}" name="Column7913" dataDxfId="8490"/>
    <tableColumn id="7919" xr3:uid="{00000000-0010-0000-0300-0000EF1E0000}" name="Column7914" dataDxfId="8489"/>
    <tableColumn id="7920" xr3:uid="{00000000-0010-0000-0300-0000F01E0000}" name="Column7915" dataDxfId="8488"/>
    <tableColumn id="7921" xr3:uid="{00000000-0010-0000-0300-0000F11E0000}" name="Column7916" dataDxfId="8487"/>
    <tableColumn id="7922" xr3:uid="{00000000-0010-0000-0300-0000F21E0000}" name="Column7917" dataDxfId="8486"/>
    <tableColumn id="7923" xr3:uid="{00000000-0010-0000-0300-0000F31E0000}" name="Column7918" dataDxfId="8485"/>
    <tableColumn id="7924" xr3:uid="{00000000-0010-0000-0300-0000F41E0000}" name="Column7919" dataDxfId="8484"/>
    <tableColumn id="7925" xr3:uid="{00000000-0010-0000-0300-0000F51E0000}" name="Column7920" dataDxfId="8483"/>
    <tableColumn id="7926" xr3:uid="{00000000-0010-0000-0300-0000F61E0000}" name="Column7921" dataDxfId="8482"/>
    <tableColumn id="7927" xr3:uid="{00000000-0010-0000-0300-0000F71E0000}" name="Column7922" dataDxfId="8481"/>
    <tableColumn id="7928" xr3:uid="{00000000-0010-0000-0300-0000F81E0000}" name="Column7923" dataDxfId="8480"/>
    <tableColumn id="7929" xr3:uid="{00000000-0010-0000-0300-0000F91E0000}" name="Column7924" dataDxfId="8479"/>
    <tableColumn id="7930" xr3:uid="{00000000-0010-0000-0300-0000FA1E0000}" name="Column7925" dataDxfId="8478"/>
    <tableColumn id="7931" xr3:uid="{00000000-0010-0000-0300-0000FB1E0000}" name="Column7926" dataDxfId="8477"/>
    <tableColumn id="7932" xr3:uid="{00000000-0010-0000-0300-0000FC1E0000}" name="Column7927" dataDxfId="8476"/>
    <tableColumn id="7933" xr3:uid="{00000000-0010-0000-0300-0000FD1E0000}" name="Column7928" dataDxfId="8475"/>
    <tableColumn id="7934" xr3:uid="{00000000-0010-0000-0300-0000FE1E0000}" name="Column7929" dataDxfId="8474"/>
    <tableColumn id="7935" xr3:uid="{00000000-0010-0000-0300-0000FF1E0000}" name="Column7930" dataDxfId="8473"/>
    <tableColumn id="7936" xr3:uid="{00000000-0010-0000-0300-0000001F0000}" name="Column7931" dataDxfId="8472"/>
    <tableColumn id="7937" xr3:uid="{00000000-0010-0000-0300-0000011F0000}" name="Column7932" dataDxfId="8471"/>
    <tableColumn id="7938" xr3:uid="{00000000-0010-0000-0300-0000021F0000}" name="Column7933" dataDxfId="8470"/>
    <tableColumn id="7939" xr3:uid="{00000000-0010-0000-0300-0000031F0000}" name="Column7934" dataDxfId="8469"/>
    <tableColumn id="7940" xr3:uid="{00000000-0010-0000-0300-0000041F0000}" name="Column7935" dataDxfId="8468"/>
    <tableColumn id="7941" xr3:uid="{00000000-0010-0000-0300-0000051F0000}" name="Column7936" dataDxfId="8467"/>
    <tableColumn id="7942" xr3:uid="{00000000-0010-0000-0300-0000061F0000}" name="Column7937" dataDxfId="8466"/>
    <tableColumn id="7943" xr3:uid="{00000000-0010-0000-0300-0000071F0000}" name="Column7938" dataDxfId="8465"/>
    <tableColumn id="7944" xr3:uid="{00000000-0010-0000-0300-0000081F0000}" name="Column7939" dataDxfId="8464"/>
    <tableColumn id="7945" xr3:uid="{00000000-0010-0000-0300-0000091F0000}" name="Column7940" dataDxfId="8463"/>
    <tableColumn id="7946" xr3:uid="{00000000-0010-0000-0300-00000A1F0000}" name="Column7941" dataDxfId="8462"/>
    <tableColumn id="7947" xr3:uid="{00000000-0010-0000-0300-00000B1F0000}" name="Column7942" dataDxfId="8461"/>
    <tableColumn id="7948" xr3:uid="{00000000-0010-0000-0300-00000C1F0000}" name="Column7943" dataDxfId="8460"/>
    <tableColumn id="7949" xr3:uid="{00000000-0010-0000-0300-00000D1F0000}" name="Column7944" dataDxfId="8459"/>
    <tableColumn id="7950" xr3:uid="{00000000-0010-0000-0300-00000E1F0000}" name="Column7945" dataDxfId="8458"/>
    <tableColumn id="7951" xr3:uid="{00000000-0010-0000-0300-00000F1F0000}" name="Column7946" dataDxfId="8457"/>
    <tableColumn id="7952" xr3:uid="{00000000-0010-0000-0300-0000101F0000}" name="Column7947" dataDxfId="8456"/>
    <tableColumn id="7953" xr3:uid="{00000000-0010-0000-0300-0000111F0000}" name="Column7948" dataDxfId="8455"/>
    <tableColumn id="7954" xr3:uid="{00000000-0010-0000-0300-0000121F0000}" name="Column7949" dataDxfId="8454"/>
    <tableColumn id="7955" xr3:uid="{00000000-0010-0000-0300-0000131F0000}" name="Column7950" dataDxfId="8453"/>
    <tableColumn id="7956" xr3:uid="{00000000-0010-0000-0300-0000141F0000}" name="Column7951" dataDxfId="8452"/>
    <tableColumn id="7957" xr3:uid="{00000000-0010-0000-0300-0000151F0000}" name="Column7952" dataDxfId="8451"/>
    <tableColumn id="7958" xr3:uid="{00000000-0010-0000-0300-0000161F0000}" name="Column7953" dataDxfId="8450"/>
    <tableColumn id="7959" xr3:uid="{00000000-0010-0000-0300-0000171F0000}" name="Column7954" dataDxfId="8449"/>
    <tableColumn id="7960" xr3:uid="{00000000-0010-0000-0300-0000181F0000}" name="Column7955" dataDxfId="8448"/>
    <tableColumn id="7961" xr3:uid="{00000000-0010-0000-0300-0000191F0000}" name="Column7956" dataDxfId="8447"/>
    <tableColumn id="7962" xr3:uid="{00000000-0010-0000-0300-00001A1F0000}" name="Column7957" dataDxfId="8446"/>
    <tableColumn id="7963" xr3:uid="{00000000-0010-0000-0300-00001B1F0000}" name="Column7958" dataDxfId="8445"/>
    <tableColumn id="7964" xr3:uid="{00000000-0010-0000-0300-00001C1F0000}" name="Column7959" dataDxfId="8444"/>
    <tableColumn id="7965" xr3:uid="{00000000-0010-0000-0300-00001D1F0000}" name="Column7960" dataDxfId="8443"/>
    <tableColumn id="7966" xr3:uid="{00000000-0010-0000-0300-00001E1F0000}" name="Column7961" dataDxfId="8442"/>
    <tableColumn id="7967" xr3:uid="{00000000-0010-0000-0300-00001F1F0000}" name="Column7962" dataDxfId="8441"/>
    <tableColumn id="7968" xr3:uid="{00000000-0010-0000-0300-0000201F0000}" name="Column7963" dataDxfId="8440"/>
    <tableColumn id="7969" xr3:uid="{00000000-0010-0000-0300-0000211F0000}" name="Column7964" dataDxfId="8439"/>
    <tableColumn id="7970" xr3:uid="{00000000-0010-0000-0300-0000221F0000}" name="Column7965" dataDxfId="8438"/>
    <tableColumn id="7971" xr3:uid="{00000000-0010-0000-0300-0000231F0000}" name="Column7966" dataDxfId="8437"/>
    <tableColumn id="7972" xr3:uid="{00000000-0010-0000-0300-0000241F0000}" name="Column7967" dataDxfId="8436"/>
    <tableColumn id="7973" xr3:uid="{00000000-0010-0000-0300-0000251F0000}" name="Column7968" dataDxfId="8435"/>
    <tableColumn id="7974" xr3:uid="{00000000-0010-0000-0300-0000261F0000}" name="Column7969" dataDxfId="8434"/>
    <tableColumn id="7975" xr3:uid="{00000000-0010-0000-0300-0000271F0000}" name="Column7970" dataDxfId="8433"/>
    <tableColumn id="7976" xr3:uid="{00000000-0010-0000-0300-0000281F0000}" name="Column7971" dataDxfId="8432"/>
    <tableColumn id="7977" xr3:uid="{00000000-0010-0000-0300-0000291F0000}" name="Column7972" dataDxfId="8431"/>
    <tableColumn id="7978" xr3:uid="{00000000-0010-0000-0300-00002A1F0000}" name="Column7973" dataDxfId="8430"/>
    <tableColumn id="7979" xr3:uid="{00000000-0010-0000-0300-00002B1F0000}" name="Column7974" dataDxfId="8429"/>
    <tableColumn id="7980" xr3:uid="{00000000-0010-0000-0300-00002C1F0000}" name="Column7975" dataDxfId="8428"/>
    <tableColumn id="7981" xr3:uid="{00000000-0010-0000-0300-00002D1F0000}" name="Column7976" dataDxfId="8427"/>
    <tableColumn id="7982" xr3:uid="{00000000-0010-0000-0300-00002E1F0000}" name="Column7977" dataDxfId="8426"/>
    <tableColumn id="7983" xr3:uid="{00000000-0010-0000-0300-00002F1F0000}" name="Column7978" dataDxfId="8425"/>
    <tableColumn id="7984" xr3:uid="{00000000-0010-0000-0300-0000301F0000}" name="Column7979" dataDxfId="8424"/>
    <tableColumn id="7985" xr3:uid="{00000000-0010-0000-0300-0000311F0000}" name="Column7980" dataDxfId="8423"/>
    <tableColumn id="7986" xr3:uid="{00000000-0010-0000-0300-0000321F0000}" name="Column7981" dataDxfId="8422"/>
    <tableColumn id="7987" xr3:uid="{00000000-0010-0000-0300-0000331F0000}" name="Column7982" dataDxfId="8421"/>
    <tableColumn id="7988" xr3:uid="{00000000-0010-0000-0300-0000341F0000}" name="Column7983" dataDxfId="8420"/>
    <tableColumn id="7989" xr3:uid="{00000000-0010-0000-0300-0000351F0000}" name="Column7984" dataDxfId="8419"/>
    <tableColumn id="7990" xr3:uid="{00000000-0010-0000-0300-0000361F0000}" name="Column7985" dataDxfId="8418"/>
    <tableColumn id="7991" xr3:uid="{00000000-0010-0000-0300-0000371F0000}" name="Column7986" dataDxfId="8417"/>
    <tableColumn id="7992" xr3:uid="{00000000-0010-0000-0300-0000381F0000}" name="Column7987" dataDxfId="8416"/>
    <tableColumn id="7993" xr3:uid="{00000000-0010-0000-0300-0000391F0000}" name="Column7988" dataDxfId="8415"/>
    <tableColumn id="7994" xr3:uid="{00000000-0010-0000-0300-00003A1F0000}" name="Column7989" dataDxfId="8414"/>
    <tableColumn id="7995" xr3:uid="{00000000-0010-0000-0300-00003B1F0000}" name="Column7990" dataDxfId="8413"/>
    <tableColumn id="7996" xr3:uid="{00000000-0010-0000-0300-00003C1F0000}" name="Column7991" dataDxfId="8412"/>
    <tableColumn id="7997" xr3:uid="{00000000-0010-0000-0300-00003D1F0000}" name="Column7992" dataDxfId="8411"/>
    <tableColumn id="7998" xr3:uid="{00000000-0010-0000-0300-00003E1F0000}" name="Column7993" dataDxfId="8410"/>
    <tableColumn id="7999" xr3:uid="{00000000-0010-0000-0300-00003F1F0000}" name="Column7994" dataDxfId="8409"/>
    <tableColumn id="8000" xr3:uid="{00000000-0010-0000-0300-0000401F0000}" name="Column7995" dataDxfId="8408"/>
    <tableColumn id="8001" xr3:uid="{00000000-0010-0000-0300-0000411F0000}" name="Column7996" dataDxfId="8407"/>
    <tableColumn id="8002" xr3:uid="{00000000-0010-0000-0300-0000421F0000}" name="Column7997" dataDxfId="8406"/>
    <tableColumn id="8003" xr3:uid="{00000000-0010-0000-0300-0000431F0000}" name="Column7998" dataDxfId="8405"/>
    <tableColumn id="8004" xr3:uid="{00000000-0010-0000-0300-0000441F0000}" name="Column7999" dataDxfId="8404"/>
    <tableColumn id="8005" xr3:uid="{00000000-0010-0000-0300-0000451F0000}" name="Column8000" dataDxfId="8403"/>
    <tableColumn id="8006" xr3:uid="{00000000-0010-0000-0300-0000461F0000}" name="Column8001" dataDxfId="8402"/>
    <tableColumn id="8007" xr3:uid="{00000000-0010-0000-0300-0000471F0000}" name="Column8002" dataDxfId="8401"/>
    <tableColumn id="8008" xr3:uid="{00000000-0010-0000-0300-0000481F0000}" name="Column8003" dataDxfId="8400"/>
    <tableColumn id="8009" xr3:uid="{00000000-0010-0000-0300-0000491F0000}" name="Column8004" dataDxfId="8399"/>
    <tableColumn id="8010" xr3:uid="{00000000-0010-0000-0300-00004A1F0000}" name="Column8005" dataDxfId="8398"/>
    <tableColumn id="8011" xr3:uid="{00000000-0010-0000-0300-00004B1F0000}" name="Column8006" dataDxfId="8397"/>
    <tableColumn id="8012" xr3:uid="{00000000-0010-0000-0300-00004C1F0000}" name="Column8007" dataDxfId="8396"/>
    <tableColumn id="8013" xr3:uid="{00000000-0010-0000-0300-00004D1F0000}" name="Column8008" dataDxfId="8395"/>
    <tableColumn id="8014" xr3:uid="{00000000-0010-0000-0300-00004E1F0000}" name="Column8009" dataDxfId="8394"/>
    <tableColumn id="8015" xr3:uid="{00000000-0010-0000-0300-00004F1F0000}" name="Column8010" dataDxfId="8393"/>
    <tableColumn id="8016" xr3:uid="{00000000-0010-0000-0300-0000501F0000}" name="Column8011" dataDxfId="8392"/>
    <tableColumn id="8017" xr3:uid="{00000000-0010-0000-0300-0000511F0000}" name="Column8012" dataDxfId="8391"/>
    <tableColumn id="8018" xr3:uid="{00000000-0010-0000-0300-0000521F0000}" name="Column8013" dataDxfId="8390"/>
    <tableColumn id="8019" xr3:uid="{00000000-0010-0000-0300-0000531F0000}" name="Column8014" dataDxfId="8389"/>
    <tableColumn id="8020" xr3:uid="{00000000-0010-0000-0300-0000541F0000}" name="Column8015" dataDxfId="8388"/>
    <tableColumn id="8021" xr3:uid="{00000000-0010-0000-0300-0000551F0000}" name="Column8016" dataDxfId="8387"/>
    <tableColumn id="8022" xr3:uid="{00000000-0010-0000-0300-0000561F0000}" name="Column8017" dataDxfId="8386"/>
    <tableColumn id="8023" xr3:uid="{00000000-0010-0000-0300-0000571F0000}" name="Column8018" dataDxfId="8385"/>
    <tableColumn id="8024" xr3:uid="{00000000-0010-0000-0300-0000581F0000}" name="Column8019" dataDxfId="8384"/>
    <tableColumn id="8025" xr3:uid="{00000000-0010-0000-0300-0000591F0000}" name="Column8020" dataDxfId="8383"/>
    <tableColumn id="8026" xr3:uid="{00000000-0010-0000-0300-00005A1F0000}" name="Column8021" dataDxfId="8382"/>
    <tableColumn id="8027" xr3:uid="{00000000-0010-0000-0300-00005B1F0000}" name="Column8022" dataDxfId="8381"/>
    <tableColumn id="8028" xr3:uid="{00000000-0010-0000-0300-00005C1F0000}" name="Column8023" dataDxfId="8380"/>
    <tableColumn id="8029" xr3:uid="{00000000-0010-0000-0300-00005D1F0000}" name="Column8024" dataDxfId="8379"/>
    <tableColumn id="8030" xr3:uid="{00000000-0010-0000-0300-00005E1F0000}" name="Column8025" dataDxfId="8378"/>
    <tableColumn id="8031" xr3:uid="{00000000-0010-0000-0300-00005F1F0000}" name="Column8026" dataDxfId="8377"/>
    <tableColumn id="8032" xr3:uid="{00000000-0010-0000-0300-0000601F0000}" name="Column8027" dataDxfId="8376"/>
    <tableColumn id="8033" xr3:uid="{00000000-0010-0000-0300-0000611F0000}" name="Column8028" dataDxfId="8375"/>
    <tableColumn id="8034" xr3:uid="{00000000-0010-0000-0300-0000621F0000}" name="Column8029" dataDxfId="8374"/>
    <tableColumn id="8035" xr3:uid="{00000000-0010-0000-0300-0000631F0000}" name="Column8030" dataDxfId="8373"/>
    <tableColumn id="8036" xr3:uid="{00000000-0010-0000-0300-0000641F0000}" name="Column8031" dataDxfId="8372"/>
    <tableColumn id="8037" xr3:uid="{00000000-0010-0000-0300-0000651F0000}" name="Column8032" dataDxfId="8371"/>
    <tableColumn id="8038" xr3:uid="{00000000-0010-0000-0300-0000661F0000}" name="Column8033" dataDxfId="8370"/>
    <tableColumn id="8039" xr3:uid="{00000000-0010-0000-0300-0000671F0000}" name="Column8034" dataDxfId="8369"/>
    <tableColumn id="8040" xr3:uid="{00000000-0010-0000-0300-0000681F0000}" name="Column8035" dataDxfId="8368"/>
    <tableColumn id="8041" xr3:uid="{00000000-0010-0000-0300-0000691F0000}" name="Column8036" dataDxfId="8367"/>
    <tableColumn id="8042" xr3:uid="{00000000-0010-0000-0300-00006A1F0000}" name="Column8037" dataDxfId="8366"/>
    <tableColumn id="8043" xr3:uid="{00000000-0010-0000-0300-00006B1F0000}" name="Column8038" dataDxfId="8365"/>
    <tableColumn id="8044" xr3:uid="{00000000-0010-0000-0300-00006C1F0000}" name="Column8039" dataDxfId="8364"/>
    <tableColumn id="8045" xr3:uid="{00000000-0010-0000-0300-00006D1F0000}" name="Column8040" dataDxfId="8363"/>
    <tableColumn id="8046" xr3:uid="{00000000-0010-0000-0300-00006E1F0000}" name="Column8041" dataDxfId="8362"/>
    <tableColumn id="8047" xr3:uid="{00000000-0010-0000-0300-00006F1F0000}" name="Column8042" dataDxfId="8361"/>
    <tableColumn id="8048" xr3:uid="{00000000-0010-0000-0300-0000701F0000}" name="Column8043" dataDxfId="8360"/>
    <tableColumn id="8049" xr3:uid="{00000000-0010-0000-0300-0000711F0000}" name="Column8044" dataDxfId="8359"/>
    <tableColumn id="8050" xr3:uid="{00000000-0010-0000-0300-0000721F0000}" name="Column8045" dataDxfId="8358"/>
    <tableColumn id="8051" xr3:uid="{00000000-0010-0000-0300-0000731F0000}" name="Column8046" dataDxfId="8357"/>
    <tableColumn id="8052" xr3:uid="{00000000-0010-0000-0300-0000741F0000}" name="Column8047" dataDxfId="8356"/>
    <tableColumn id="8053" xr3:uid="{00000000-0010-0000-0300-0000751F0000}" name="Column8048" dataDxfId="8355"/>
    <tableColumn id="8054" xr3:uid="{00000000-0010-0000-0300-0000761F0000}" name="Column8049" dataDxfId="8354"/>
    <tableColumn id="8055" xr3:uid="{00000000-0010-0000-0300-0000771F0000}" name="Column8050" dataDxfId="8353"/>
    <tableColumn id="8056" xr3:uid="{00000000-0010-0000-0300-0000781F0000}" name="Column8051" dataDxfId="8352"/>
    <tableColumn id="8057" xr3:uid="{00000000-0010-0000-0300-0000791F0000}" name="Column8052" dataDxfId="8351"/>
    <tableColumn id="8058" xr3:uid="{00000000-0010-0000-0300-00007A1F0000}" name="Column8053" dataDxfId="8350"/>
    <tableColumn id="8059" xr3:uid="{00000000-0010-0000-0300-00007B1F0000}" name="Column8054" dataDxfId="8349"/>
    <tableColumn id="8060" xr3:uid="{00000000-0010-0000-0300-00007C1F0000}" name="Column8055" dataDxfId="8348"/>
    <tableColumn id="8061" xr3:uid="{00000000-0010-0000-0300-00007D1F0000}" name="Column8056" dataDxfId="8347"/>
    <tableColumn id="8062" xr3:uid="{00000000-0010-0000-0300-00007E1F0000}" name="Column8057" dataDxfId="8346"/>
    <tableColumn id="8063" xr3:uid="{00000000-0010-0000-0300-00007F1F0000}" name="Column8058" dataDxfId="8345"/>
    <tableColumn id="8064" xr3:uid="{00000000-0010-0000-0300-0000801F0000}" name="Column8059" dataDxfId="8344"/>
    <tableColumn id="8065" xr3:uid="{00000000-0010-0000-0300-0000811F0000}" name="Column8060" dataDxfId="8343"/>
    <tableColumn id="8066" xr3:uid="{00000000-0010-0000-0300-0000821F0000}" name="Column8061" dataDxfId="8342"/>
    <tableColumn id="8067" xr3:uid="{00000000-0010-0000-0300-0000831F0000}" name="Column8062" dataDxfId="8341"/>
    <tableColumn id="8068" xr3:uid="{00000000-0010-0000-0300-0000841F0000}" name="Column8063" dataDxfId="8340"/>
    <tableColumn id="8069" xr3:uid="{00000000-0010-0000-0300-0000851F0000}" name="Column8064" dataDxfId="8339"/>
    <tableColumn id="8070" xr3:uid="{00000000-0010-0000-0300-0000861F0000}" name="Column8065" dataDxfId="8338"/>
    <tableColumn id="8071" xr3:uid="{00000000-0010-0000-0300-0000871F0000}" name="Column8066" dataDxfId="8337"/>
    <tableColumn id="8072" xr3:uid="{00000000-0010-0000-0300-0000881F0000}" name="Column8067" dataDxfId="8336"/>
    <tableColumn id="8073" xr3:uid="{00000000-0010-0000-0300-0000891F0000}" name="Column8068" dataDxfId="8335"/>
    <tableColumn id="8074" xr3:uid="{00000000-0010-0000-0300-00008A1F0000}" name="Column8069" dataDxfId="8334"/>
    <tableColumn id="8075" xr3:uid="{00000000-0010-0000-0300-00008B1F0000}" name="Column8070" dataDxfId="8333"/>
    <tableColumn id="8076" xr3:uid="{00000000-0010-0000-0300-00008C1F0000}" name="Column8071" dataDxfId="8332"/>
    <tableColumn id="8077" xr3:uid="{00000000-0010-0000-0300-00008D1F0000}" name="Column8072" dataDxfId="8331"/>
    <tableColumn id="8078" xr3:uid="{00000000-0010-0000-0300-00008E1F0000}" name="Column8073" dataDxfId="8330"/>
    <tableColumn id="8079" xr3:uid="{00000000-0010-0000-0300-00008F1F0000}" name="Column8074" dataDxfId="8329"/>
    <tableColumn id="8080" xr3:uid="{00000000-0010-0000-0300-0000901F0000}" name="Column8075" dataDxfId="8328"/>
    <tableColumn id="8081" xr3:uid="{00000000-0010-0000-0300-0000911F0000}" name="Column8076" dataDxfId="8327"/>
    <tableColumn id="8082" xr3:uid="{00000000-0010-0000-0300-0000921F0000}" name="Column8077" dataDxfId="8326"/>
    <tableColumn id="8083" xr3:uid="{00000000-0010-0000-0300-0000931F0000}" name="Column8078" dataDxfId="8325"/>
    <tableColumn id="8084" xr3:uid="{00000000-0010-0000-0300-0000941F0000}" name="Column8079" dataDxfId="8324"/>
    <tableColumn id="8085" xr3:uid="{00000000-0010-0000-0300-0000951F0000}" name="Column8080" dataDxfId="8323"/>
    <tableColumn id="8086" xr3:uid="{00000000-0010-0000-0300-0000961F0000}" name="Column8081" dataDxfId="8322"/>
    <tableColumn id="8087" xr3:uid="{00000000-0010-0000-0300-0000971F0000}" name="Column8082" dataDxfId="8321"/>
    <tableColumn id="8088" xr3:uid="{00000000-0010-0000-0300-0000981F0000}" name="Column8083" dataDxfId="8320"/>
    <tableColumn id="8089" xr3:uid="{00000000-0010-0000-0300-0000991F0000}" name="Column8084" dataDxfId="8319"/>
    <tableColumn id="8090" xr3:uid="{00000000-0010-0000-0300-00009A1F0000}" name="Column8085" dataDxfId="8318"/>
    <tableColumn id="8091" xr3:uid="{00000000-0010-0000-0300-00009B1F0000}" name="Column8086" dataDxfId="8317"/>
    <tableColumn id="8092" xr3:uid="{00000000-0010-0000-0300-00009C1F0000}" name="Column8087" dataDxfId="8316"/>
    <tableColumn id="8093" xr3:uid="{00000000-0010-0000-0300-00009D1F0000}" name="Column8088" dataDxfId="8315"/>
    <tableColumn id="8094" xr3:uid="{00000000-0010-0000-0300-00009E1F0000}" name="Column8089" dataDxfId="8314"/>
    <tableColumn id="8095" xr3:uid="{00000000-0010-0000-0300-00009F1F0000}" name="Column8090" dataDxfId="8313"/>
    <tableColumn id="8096" xr3:uid="{00000000-0010-0000-0300-0000A01F0000}" name="Column8091" dataDxfId="8312"/>
    <tableColumn id="8097" xr3:uid="{00000000-0010-0000-0300-0000A11F0000}" name="Column8092" dataDxfId="8311"/>
    <tableColumn id="8098" xr3:uid="{00000000-0010-0000-0300-0000A21F0000}" name="Column8093" dataDxfId="8310"/>
    <tableColumn id="8099" xr3:uid="{00000000-0010-0000-0300-0000A31F0000}" name="Column8094" dataDxfId="8309"/>
    <tableColumn id="8100" xr3:uid="{00000000-0010-0000-0300-0000A41F0000}" name="Column8095" dataDxfId="8308"/>
    <tableColumn id="8101" xr3:uid="{00000000-0010-0000-0300-0000A51F0000}" name="Column8096" dataDxfId="8307"/>
    <tableColumn id="8102" xr3:uid="{00000000-0010-0000-0300-0000A61F0000}" name="Column8097" dataDxfId="8306"/>
    <tableColumn id="8103" xr3:uid="{00000000-0010-0000-0300-0000A71F0000}" name="Column8098" dataDxfId="8305"/>
    <tableColumn id="8104" xr3:uid="{00000000-0010-0000-0300-0000A81F0000}" name="Column8099" dataDxfId="8304"/>
    <tableColumn id="8105" xr3:uid="{00000000-0010-0000-0300-0000A91F0000}" name="Column8100" dataDxfId="8303"/>
    <tableColumn id="8106" xr3:uid="{00000000-0010-0000-0300-0000AA1F0000}" name="Column8101" dataDxfId="8302"/>
    <tableColumn id="8107" xr3:uid="{00000000-0010-0000-0300-0000AB1F0000}" name="Column8102" dataDxfId="8301"/>
    <tableColumn id="8108" xr3:uid="{00000000-0010-0000-0300-0000AC1F0000}" name="Column8103" dataDxfId="8300"/>
    <tableColumn id="8109" xr3:uid="{00000000-0010-0000-0300-0000AD1F0000}" name="Column8104" dataDxfId="8299"/>
    <tableColumn id="8110" xr3:uid="{00000000-0010-0000-0300-0000AE1F0000}" name="Column8105" dataDxfId="8298"/>
    <tableColumn id="8111" xr3:uid="{00000000-0010-0000-0300-0000AF1F0000}" name="Column8106" dataDxfId="8297"/>
    <tableColumn id="8112" xr3:uid="{00000000-0010-0000-0300-0000B01F0000}" name="Column8107" dataDxfId="8296"/>
    <tableColumn id="8113" xr3:uid="{00000000-0010-0000-0300-0000B11F0000}" name="Column8108" dataDxfId="8295"/>
    <tableColumn id="8114" xr3:uid="{00000000-0010-0000-0300-0000B21F0000}" name="Column8109" dataDxfId="8294"/>
    <tableColumn id="8115" xr3:uid="{00000000-0010-0000-0300-0000B31F0000}" name="Column8110" dataDxfId="8293"/>
    <tableColumn id="8116" xr3:uid="{00000000-0010-0000-0300-0000B41F0000}" name="Column8111" dataDxfId="8292"/>
    <tableColumn id="8117" xr3:uid="{00000000-0010-0000-0300-0000B51F0000}" name="Column8112" dataDxfId="8291"/>
    <tableColumn id="8118" xr3:uid="{00000000-0010-0000-0300-0000B61F0000}" name="Column8113" dataDxfId="8290"/>
    <tableColumn id="8119" xr3:uid="{00000000-0010-0000-0300-0000B71F0000}" name="Column8114" dataDxfId="8289"/>
    <tableColumn id="8120" xr3:uid="{00000000-0010-0000-0300-0000B81F0000}" name="Column8115" dataDxfId="8288"/>
    <tableColumn id="8121" xr3:uid="{00000000-0010-0000-0300-0000B91F0000}" name="Column8116" dataDxfId="8287"/>
    <tableColumn id="8122" xr3:uid="{00000000-0010-0000-0300-0000BA1F0000}" name="Column8117" dataDxfId="8286"/>
    <tableColumn id="8123" xr3:uid="{00000000-0010-0000-0300-0000BB1F0000}" name="Column8118" dataDxfId="8285"/>
    <tableColumn id="8124" xr3:uid="{00000000-0010-0000-0300-0000BC1F0000}" name="Column8119" dataDxfId="8284"/>
    <tableColumn id="8125" xr3:uid="{00000000-0010-0000-0300-0000BD1F0000}" name="Column8120" dataDxfId="8283"/>
    <tableColumn id="8126" xr3:uid="{00000000-0010-0000-0300-0000BE1F0000}" name="Column8121" dataDxfId="8282"/>
    <tableColumn id="8127" xr3:uid="{00000000-0010-0000-0300-0000BF1F0000}" name="Column8122" dataDxfId="8281"/>
    <tableColumn id="8128" xr3:uid="{00000000-0010-0000-0300-0000C01F0000}" name="Column8123" dataDxfId="8280"/>
    <tableColumn id="8129" xr3:uid="{00000000-0010-0000-0300-0000C11F0000}" name="Column8124" dataDxfId="8279"/>
    <tableColumn id="8130" xr3:uid="{00000000-0010-0000-0300-0000C21F0000}" name="Column8125" dataDxfId="8278"/>
    <tableColumn id="8131" xr3:uid="{00000000-0010-0000-0300-0000C31F0000}" name="Column8126" dataDxfId="8277"/>
    <tableColumn id="8132" xr3:uid="{00000000-0010-0000-0300-0000C41F0000}" name="Column8127" dataDxfId="8276"/>
    <tableColumn id="8133" xr3:uid="{00000000-0010-0000-0300-0000C51F0000}" name="Column8128" dataDxfId="8275"/>
    <tableColumn id="8134" xr3:uid="{00000000-0010-0000-0300-0000C61F0000}" name="Column8129" dataDxfId="8274"/>
    <tableColumn id="8135" xr3:uid="{00000000-0010-0000-0300-0000C71F0000}" name="Column8130" dataDxfId="8273"/>
    <tableColumn id="8136" xr3:uid="{00000000-0010-0000-0300-0000C81F0000}" name="Column8131" dataDxfId="8272"/>
    <tableColumn id="8137" xr3:uid="{00000000-0010-0000-0300-0000C91F0000}" name="Column8132" dataDxfId="8271"/>
    <tableColumn id="8138" xr3:uid="{00000000-0010-0000-0300-0000CA1F0000}" name="Column8133" dataDxfId="8270"/>
    <tableColumn id="8139" xr3:uid="{00000000-0010-0000-0300-0000CB1F0000}" name="Column8134" dataDxfId="8269"/>
    <tableColumn id="8140" xr3:uid="{00000000-0010-0000-0300-0000CC1F0000}" name="Column8135" dataDxfId="8268"/>
    <tableColumn id="8141" xr3:uid="{00000000-0010-0000-0300-0000CD1F0000}" name="Column8136" dataDxfId="8267"/>
    <tableColumn id="8142" xr3:uid="{00000000-0010-0000-0300-0000CE1F0000}" name="Column8137" dataDxfId="8266"/>
    <tableColumn id="8143" xr3:uid="{00000000-0010-0000-0300-0000CF1F0000}" name="Column8138" dataDxfId="8265"/>
    <tableColumn id="8144" xr3:uid="{00000000-0010-0000-0300-0000D01F0000}" name="Column8139" dataDxfId="8264"/>
    <tableColumn id="8145" xr3:uid="{00000000-0010-0000-0300-0000D11F0000}" name="Column8140" dataDxfId="8263"/>
    <tableColumn id="8146" xr3:uid="{00000000-0010-0000-0300-0000D21F0000}" name="Column8141" dataDxfId="8262"/>
    <tableColumn id="8147" xr3:uid="{00000000-0010-0000-0300-0000D31F0000}" name="Column8142" dataDxfId="8261"/>
    <tableColumn id="8148" xr3:uid="{00000000-0010-0000-0300-0000D41F0000}" name="Column8143" dataDxfId="8260"/>
    <tableColumn id="8149" xr3:uid="{00000000-0010-0000-0300-0000D51F0000}" name="Column8144" dataDxfId="8259"/>
    <tableColumn id="8150" xr3:uid="{00000000-0010-0000-0300-0000D61F0000}" name="Column8145" dataDxfId="8258"/>
    <tableColumn id="8151" xr3:uid="{00000000-0010-0000-0300-0000D71F0000}" name="Column8146" dataDxfId="8257"/>
    <tableColumn id="8152" xr3:uid="{00000000-0010-0000-0300-0000D81F0000}" name="Column8147" dataDxfId="8256"/>
    <tableColumn id="8153" xr3:uid="{00000000-0010-0000-0300-0000D91F0000}" name="Column8148" dataDxfId="8255"/>
    <tableColumn id="8154" xr3:uid="{00000000-0010-0000-0300-0000DA1F0000}" name="Column8149" dataDxfId="8254"/>
    <tableColumn id="8155" xr3:uid="{00000000-0010-0000-0300-0000DB1F0000}" name="Column8150" dataDxfId="8253"/>
    <tableColumn id="8156" xr3:uid="{00000000-0010-0000-0300-0000DC1F0000}" name="Column8151" dataDxfId="8252"/>
    <tableColumn id="8157" xr3:uid="{00000000-0010-0000-0300-0000DD1F0000}" name="Column8152" dataDxfId="8251"/>
    <tableColumn id="8158" xr3:uid="{00000000-0010-0000-0300-0000DE1F0000}" name="Column8153" dataDxfId="8250"/>
    <tableColumn id="8159" xr3:uid="{00000000-0010-0000-0300-0000DF1F0000}" name="Column8154" dataDxfId="8249"/>
    <tableColumn id="8160" xr3:uid="{00000000-0010-0000-0300-0000E01F0000}" name="Column8155" dataDxfId="8248"/>
    <tableColumn id="8161" xr3:uid="{00000000-0010-0000-0300-0000E11F0000}" name="Column8156" dataDxfId="8247"/>
    <tableColumn id="8162" xr3:uid="{00000000-0010-0000-0300-0000E21F0000}" name="Column8157" dataDxfId="8246"/>
    <tableColumn id="8163" xr3:uid="{00000000-0010-0000-0300-0000E31F0000}" name="Column8158" dataDxfId="8245"/>
    <tableColumn id="8164" xr3:uid="{00000000-0010-0000-0300-0000E41F0000}" name="Column8159" dataDxfId="8244"/>
    <tableColumn id="8165" xr3:uid="{00000000-0010-0000-0300-0000E51F0000}" name="Column8160" dataDxfId="8243"/>
    <tableColumn id="8166" xr3:uid="{00000000-0010-0000-0300-0000E61F0000}" name="Column8161" dataDxfId="8242"/>
    <tableColumn id="8167" xr3:uid="{00000000-0010-0000-0300-0000E71F0000}" name="Column8162" dataDxfId="8241"/>
    <tableColumn id="8168" xr3:uid="{00000000-0010-0000-0300-0000E81F0000}" name="Column8163" dataDxfId="8240"/>
    <tableColumn id="8169" xr3:uid="{00000000-0010-0000-0300-0000E91F0000}" name="Column8164" dataDxfId="8239"/>
    <tableColumn id="8170" xr3:uid="{00000000-0010-0000-0300-0000EA1F0000}" name="Column8165" dataDxfId="8238"/>
    <tableColumn id="8171" xr3:uid="{00000000-0010-0000-0300-0000EB1F0000}" name="Column8166" dataDxfId="8237"/>
    <tableColumn id="8172" xr3:uid="{00000000-0010-0000-0300-0000EC1F0000}" name="Column8167" dataDxfId="8236"/>
    <tableColumn id="8173" xr3:uid="{00000000-0010-0000-0300-0000ED1F0000}" name="Column8168" dataDxfId="8235"/>
    <tableColumn id="8174" xr3:uid="{00000000-0010-0000-0300-0000EE1F0000}" name="Column8169" dataDxfId="8234"/>
    <tableColumn id="8175" xr3:uid="{00000000-0010-0000-0300-0000EF1F0000}" name="Column8170" dataDxfId="8233"/>
    <tableColumn id="8176" xr3:uid="{00000000-0010-0000-0300-0000F01F0000}" name="Column8171" dataDxfId="8232"/>
    <tableColumn id="8177" xr3:uid="{00000000-0010-0000-0300-0000F11F0000}" name="Column8172" dataDxfId="8231"/>
    <tableColumn id="8178" xr3:uid="{00000000-0010-0000-0300-0000F21F0000}" name="Column8173" dataDxfId="8230"/>
    <tableColumn id="8179" xr3:uid="{00000000-0010-0000-0300-0000F31F0000}" name="Column8174" dataDxfId="8229"/>
    <tableColumn id="8180" xr3:uid="{00000000-0010-0000-0300-0000F41F0000}" name="Column8175" dataDxfId="8228"/>
    <tableColumn id="8181" xr3:uid="{00000000-0010-0000-0300-0000F51F0000}" name="Column8176" dataDxfId="8227"/>
    <tableColumn id="8182" xr3:uid="{00000000-0010-0000-0300-0000F61F0000}" name="Column8177" dataDxfId="8226"/>
    <tableColumn id="8183" xr3:uid="{00000000-0010-0000-0300-0000F71F0000}" name="Column8178" dataDxfId="8225"/>
    <tableColumn id="8184" xr3:uid="{00000000-0010-0000-0300-0000F81F0000}" name="Column8179" dataDxfId="8224"/>
    <tableColumn id="8185" xr3:uid="{00000000-0010-0000-0300-0000F91F0000}" name="Column8180" dataDxfId="8223"/>
    <tableColumn id="8186" xr3:uid="{00000000-0010-0000-0300-0000FA1F0000}" name="Column8181" dataDxfId="8222"/>
    <tableColumn id="8187" xr3:uid="{00000000-0010-0000-0300-0000FB1F0000}" name="Column8182" dataDxfId="8221"/>
    <tableColumn id="8188" xr3:uid="{00000000-0010-0000-0300-0000FC1F0000}" name="Column8183" dataDxfId="8220"/>
    <tableColumn id="8189" xr3:uid="{00000000-0010-0000-0300-0000FD1F0000}" name="Column8184" dataDxfId="8219"/>
    <tableColumn id="8190" xr3:uid="{00000000-0010-0000-0300-0000FE1F0000}" name="Column8185" dataDxfId="8218"/>
    <tableColumn id="8191" xr3:uid="{00000000-0010-0000-0300-0000FF1F0000}" name="Column8186" dataDxfId="8217"/>
    <tableColumn id="8192" xr3:uid="{00000000-0010-0000-0300-000000200000}" name="Column8187" dataDxfId="8216"/>
    <tableColumn id="8193" xr3:uid="{00000000-0010-0000-0300-000001200000}" name="Column8188" dataDxfId="8215"/>
    <tableColumn id="8194" xr3:uid="{00000000-0010-0000-0300-000002200000}" name="Column8189" dataDxfId="8214"/>
    <tableColumn id="8195" xr3:uid="{00000000-0010-0000-0300-000003200000}" name="Column8190" dataDxfId="8213"/>
    <tableColumn id="8196" xr3:uid="{00000000-0010-0000-0300-000004200000}" name="Column8191" dataDxfId="8212"/>
    <tableColumn id="8197" xr3:uid="{00000000-0010-0000-0300-000005200000}" name="Column8192" dataDxfId="8211"/>
    <tableColumn id="8198" xr3:uid="{00000000-0010-0000-0300-000006200000}" name="Column8193" dataDxfId="8210"/>
    <tableColumn id="8199" xr3:uid="{00000000-0010-0000-0300-000007200000}" name="Column8194" dataDxfId="8209"/>
    <tableColumn id="8200" xr3:uid="{00000000-0010-0000-0300-000008200000}" name="Column8195" dataDxfId="8208"/>
    <tableColumn id="8201" xr3:uid="{00000000-0010-0000-0300-000009200000}" name="Column8196" dataDxfId="8207"/>
    <tableColumn id="8202" xr3:uid="{00000000-0010-0000-0300-00000A200000}" name="Column8197" dataDxfId="8206"/>
    <tableColumn id="8203" xr3:uid="{00000000-0010-0000-0300-00000B200000}" name="Column8198" dataDxfId="8205"/>
    <tableColumn id="8204" xr3:uid="{00000000-0010-0000-0300-00000C200000}" name="Column8199" dataDxfId="8204"/>
    <tableColumn id="8205" xr3:uid="{00000000-0010-0000-0300-00000D200000}" name="Column8200" dataDxfId="8203"/>
    <tableColumn id="8206" xr3:uid="{00000000-0010-0000-0300-00000E200000}" name="Column8201" dataDxfId="8202"/>
    <tableColumn id="8207" xr3:uid="{00000000-0010-0000-0300-00000F200000}" name="Column8202" dataDxfId="8201"/>
    <tableColumn id="8208" xr3:uid="{00000000-0010-0000-0300-000010200000}" name="Column8203" dataDxfId="8200"/>
    <tableColumn id="8209" xr3:uid="{00000000-0010-0000-0300-000011200000}" name="Column8204" dataDxfId="8199"/>
    <tableColumn id="8210" xr3:uid="{00000000-0010-0000-0300-000012200000}" name="Column8205" dataDxfId="8198"/>
    <tableColumn id="8211" xr3:uid="{00000000-0010-0000-0300-000013200000}" name="Column8206" dataDxfId="8197"/>
    <tableColumn id="8212" xr3:uid="{00000000-0010-0000-0300-000014200000}" name="Column8207" dataDxfId="8196"/>
    <tableColumn id="8213" xr3:uid="{00000000-0010-0000-0300-000015200000}" name="Column8208" dataDxfId="8195"/>
    <tableColumn id="8214" xr3:uid="{00000000-0010-0000-0300-000016200000}" name="Column8209" dataDxfId="8194"/>
    <tableColumn id="8215" xr3:uid="{00000000-0010-0000-0300-000017200000}" name="Column8210" dataDxfId="8193"/>
    <tableColumn id="8216" xr3:uid="{00000000-0010-0000-0300-000018200000}" name="Column8211" dataDxfId="8192"/>
    <tableColumn id="8217" xr3:uid="{00000000-0010-0000-0300-000019200000}" name="Column8212" dataDxfId="8191"/>
    <tableColumn id="8218" xr3:uid="{00000000-0010-0000-0300-00001A200000}" name="Column8213" dataDxfId="8190"/>
    <tableColumn id="8219" xr3:uid="{00000000-0010-0000-0300-00001B200000}" name="Column8214" dataDxfId="8189"/>
    <tableColumn id="8220" xr3:uid="{00000000-0010-0000-0300-00001C200000}" name="Column8215" dataDxfId="8188"/>
    <tableColumn id="8221" xr3:uid="{00000000-0010-0000-0300-00001D200000}" name="Column8216" dataDxfId="8187"/>
    <tableColumn id="8222" xr3:uid="{00000000-0010-0000-0300-00001E200000}" name="Column8217" dataDxfId="8186"/>
    <tableColumn id="8223" xr3:uid="{00000000-0010-0000-0300-00001F200000}" name="Column8218" dataDxfId="8185"/>
    <tableColumn id="8224" xr3:uid="{00000000-0010-0000-0300-000020200000}" name="Column8219" dataDxfId="8184"/>
    <tableColumn id="8225" xr3:uid="{00000000-0010-0000-0300-000021200000}" name="Column8220" dataDxfId="8183"/>
    <tableColumn id="8226" xr3:uid="{00000000-0010-0000-0300-000022200000}" name="Column8221" dataDxfId="8182"/>
    <tableColumn id="8227" xr3:uid="{00000000-0010-0000-0300-000023200000}" name="Column8222" dataDxfId="8181"/>
    <tableColumn id="8228" xr3:uid="{00000000-0010-0000-0300-000024200000}" name="Column8223" dataDxfId="8180"/>
    <tableColumn id="8229" xr3:uid="{00000000-0010-0000-0300-000025200000}" name="Column8224" dataDxfId="8179"/>
    <tableColumn id="8230" xr3:uid="{00000000-0010-0000-0300-000026200000}" name="Column8225" dataDxfId="8178"/>
    <tableColumn id="8231" xr3:uid="{00000000-0010-0000-0300-000027200000}" name="Column8226" dataDxfId="8177"/>
    <tableColumn id="8232" xr3:uid="{00000000-0010-0000-0300-000028200000}" name="Column8227" dataDxfId="8176"/>
    <tableColumn id="8233" xr3:uid="{00000000-0010-0000-0300-000029200000}" name="Column8228" dataDxfId="8175"/>
    <tableColumn id="8234" xr3:uid="{00000000-0010-0000-0300-00002A200000}" name="Column8229" dataDxfId="8174"/>
    <tableColumn id="8235" xr3:uid="{00000000-0010-0000-0300-00002B200000}" name="Column8230" dataDxfId="8173"/>
    <tableColumn id="8236" xr3:uid="{00000000-0010-0000-0300-00002C200000}" name="Column8231" dataDxfId="8172"/>
    <tableColumn id="8237" xr3:uid="{00000000-0010-0000-0300-00002D200000}" name="Column8232" dataDxfId="8171"/>
    <tableColumn id="8238" xr3:uid="{00000000-0010-0000-0300-00002E200000}" name="Column8233" dataDxfId="8170"/>
    <tableColumn id="8239" xr3:uid="{00000000-0010-0000-0300-00002F200000}" name="Column8234" dataDxfId="8169"/>
    <tableColumn id="8240" xr3:uid="{00000000-0010-0000-0300-000030200000}" name="Column8235" dataDxfId="8168"/>
    <tableColumn id="8241" xr3:uid="{00000000-0010-0000-0300-000031200000}" name="Column8236" dataDxfId="8167"/>
    <tableColumn id="8242" xr3:uid="{00000000-0010-0000-0300-000032200000}" name="Column8237" dataDxfId="8166"/>
    <tableColumn id="8243" xr3:uid="{00000000-0010-0000-0300-000033200000}" name="Column8238" dataDxfId="8165"/>
    <tableColumn id="8244" xr3:uid="{00000000-0010-0000-0300-000034200000}" name="Column8239" dataDxfId="8164"/>
    <tableColumn id="8245" xr3:uid="{00000000-0010-0000-0300-000035200000}" name="Column8240" dataDxfId="8163"/>
    <tableColumn id="8246" xr3:uid="{00000000-0010-0000-0300-000036200000}" name="Column8241" dataDxfId="8162"/>
    <tableColumn id="8247" xr3:uid="{00000000-0010-0000-0300-000037200000}" name="Column8242" dataDxfId="8161"/>
    <tableColumn id="8248" xr3:uid="{00000000-0010-0000-0300-000038200000}" name="Column8243" dataDxfId="8160"/>
    <tableColumn id="8249" xr3:uid="{00000000-0010-0000-0300-000039200000}" name="Column8244" dataDxfId="8159"/>
    <tableColumn id="8250" xr3:uid="{00000000-0010-0000-0300-00003A200000}" name="Column8245" dataDxfId="8158"/>
    <tableColumn id="8251" xr3:uid="{00000000-0010-0000-0300-00003B200000}" name="Column8246" dataDxfId="8157"/>
    <tableColumn id="8252" xr3:uid="{00000000-0010-0000-0300-00003C200000}" name="Column8247" dataDxfId="8156"/>
    <tableColumn id="8253" xr3:uid="{00000000-0010-0000-0300-00003D200000}" name="Column8248" dataDxfId="8155"/>
    <tableColumn id="8254" xr3:uid="{00000000-0010-0000-0300-00003E200000}" name="Column8249" dataDxfId="8154"/>
    <tableColumn id="8255" xr3:uid="{00000000-0010-0000-0300-00003F200000}" name="Column8250" dataDxfId="8153"/>
    <tableColumn id="8256" xr3:uid="{00000000-0010-0000-0300-000040200000}" name="Column8251" dataDxfId="8152"/>
    <tableColumn id="8257" xr3:uid="{00000000-0010-0000-0300-000041200000}" name="Column8252" dataDxfId="8151"/>
    <tableColumn id="8258" xr3:uid="{00000000-0010-0000-0300-000042200000}" name="Column8253" dataDxfId="8150"/>
    <tableColumn id="8259" xr3:uid="{00000000-0010-0000-0300-000043200000}" name="Column8254" dataDxfId="8149"/>
    <tableColumn id="8260" xr3:uid="{00000000-0010-0000-0300-000044200000}" name="Column8255" dataDxfId="8148"/>
    <tableColumn id="8261" xr3:uid="{00000000-0010-0000-0300-000045200000}" name="Column8256" dataDxfId="8147"/>
    <tableColumn id="8262" xr3:uid="{00000000-0010-0000-0300-000046200000}" name="Column8257" dataDxfId="8146"/>
    <tableColumn id="8263" xr3:uid="{00000000-0010-0000-0300-000047200000}" name="Column8258" dataDxfId="8145"/>
    <tableColumn id="8264" xr3:uid="{00000000-0010-0000-0300-000048200000}" name="Column8259" dataDxfId="8144"/>
    <tableColumn id="8265" xr3:uid="{00000000-0010-0000-0300-000049200000}" name="Column8260" dataDxfId="8143"/>
    <tableColumn id="8266" xr3:uid="{00000000-0010-0000-0300-00004A200000}" name="Column8261" dataDxfId="8142"/>
    <tableColumn id="8267" xr3:uid="{00000000-0010-0000-0300-00004B200000}" name="Column8262" dataDxfId="8141"/>
    <tableColumn id="8268" xr3:uid="{00000000-0010-0000-0300-00004C200000}" name="Column8263" dataDxfId="8140"/>
    <tableColumn id="8269" xr3:uid="{00000000-0010-0000-0300-00004D200000}" name="Column8264" dataDxfId="8139"/>
    <tableColumn id="8270" xr3:uid="{00000000-0010-0000-0300-00004E200000}" name="Column8265" dataDxfId="8138"/>
    <tableColumn id="8271" xr3:uid="{00000000-0010-0000-0300-00004F200000}" name="Column8266" dataDxfId="8137"/>
    <tableColumn id="8272" xr3:uid="{00000000-0010-0000-0300-000050200000}" name="Column8267" dataDxfId="8136"/>
    <tableColumn id="8273" xr3:uid="{00000000-0010-0000-0300-000051200000}" name="Column8268" dataDxfId="8135"/>
    <tableColumn id="8274" xr3:uid="{00000000-0010-0000-0300-000052200000}" name="Column8269" dataDxfId="8134"/>
    <tableColumn id="8275" xr3:uid="{00000000-0010-0000-0300-000053200000}" name="Column8270" dataDxfId="8133"/>
    <tableColumn id="8276" xr3:uid="{00000000-0010-0000-0300-000054200000}" name="Column8271" dataDxfId="8132"/>
    <tableColumn id="8277" xr3:uid="{00000000-0010-0000-0300-000055200000}" name="Column8272" dataDxfId="8131"/>
    <tableColumn id="8278" xr3:uid="{00000000-0010-0000-0300-000056200000}" name="Column8273" dataDxfId="8130"/>
    <tableColumn id="8279" xr3:uid="{00000000-0010-0000-0300-000057200000}" name="Column8274" dataDxfId="8129"/>
    <tableColumn id="8280" xr3:uid="{00000000-0010-0000-0300-000058200000}" name="Column8275" dataDxfId="8128"/>
    <tableColumn id="8281" xr3:uid="{00000000-0010-0000-0300-000059200000}" name="Column8276" dataDxfId="8127"/>
    <tableColumn id="8282" xr3:uid="{00000000-0010-0000-0300-00005A200000}" name="Column8277" dataDxfId="8126"/>
    <tableColumn id="8283" xr3:uid="{00000000-0010-0000-0300-00005B200000}" name="Column8278" dataDxfId="8125"/>
    <tableColumn id="8284" xr3:uid="{00000000-0010-0000-0300-00005C200000}" name="Column8279" dataDxfId="8124"/>
    <tableColumn id="8285" xr3:uid="{00000000-0010-0000-0300-00005D200000}" name="Column8280" dataDxfId="8123"/>
    <tableColumn id="8286" xr3:uid="{00000000-0010-0000-0300-00005E200000}" name="Column8281" dataDxfId="8122"/>
    <tableColumn id="8287" xr3:uid="{00000000-0010-0000-0300-00005F200000}" name="Column8282" dataDxfId="8121"/>
    <tableColumn id="8288" xr3:uid="{00000000-0010-0000-0300-000060200000}" name="Column8283" dataDxfId="8120"/>
    <tableColumn id="8289" xr3:uid="{00000000-0010-0000-0300-000061200000}" name="Column8284" dataDxfId="8119"/>
    <tableColumn id="8290" xr3:uid="{00000000-0010-0000-0300-000062200000}" name="Column8285" dataDxfId="8118"/>
    <tableColumn id="8291" xr3:uid="{00000000-0010-0000-0300-000063200000}" name="Column8286" dataDxfId="8117"/>
    <tableColumn id="8292" xr3:uid="{00000000-0010-0000-0300-000064200000}" name="Column8287" dataDxfId="8116"/>
    <tableColumn id="8293" xr3:uid="{00000000-0010-0000-0300-000065200000}" name="Column8288" dataDxfId="8115"/>
    <tableColumn id="8294" xr3:uid="{00000000-0010-0000-0300-000066200000}" name="Column8289" dataDxfId="8114"/>
    <tableColumn id="8295" xr3:uid="{00000000-0010-0000-0300-000067200000}" name="Column8290" dataDxfId="8113"/>
    <tableColumn id="8296" xr3:uid="{00000000-0010-0000-0300-000068200000}" name="Column8291" dataDxfId="8112"/>
    <tableColumn id="8297" xr3:uid="{00000000-0010-0000-0300-000069200000}" name="Column8292" dataDxfId="8111"/>
    <tableColumn id="8298" xr3:uid="{00000000-0010-0000-0300-00006A200000}" name="Column8293" dataDxfId="8110"/>
    <tableColumn id="8299" xr3:uid="{00000000-0010-0000-0300-00006B200000}" name="Column8294" dataDxfId="8109"/>
    <tableColumn id="8300" xr3:uid="{00000000-0010-0000-0300-00006C200000}" name="Column8295" dataDxfId="8108"/>
    <tableColumn id="8301" xr3:uid="{00000000-0010-0000-0300-00006D200000}" name="Column8296" dataDxfId="8107"/>
    <tableColumn id="8302" xr3:uid="{00000000-0010-0000-0300-00006E200000}" name="Column8297" dataDxfId="8106"/>
    <tableColumn id="8303" xr3:uid="{00000000-0010-0000-0300-00006F200000}" name="Column8298" dataDxfId="8105"/>
    <tableColumn id="8304" xr3:uid="{00000000-0010-0000-0300-000070200000}" name="Column8299" dataDxfId="8104"/>
    <tableColumn id="8305" xr3:uid="{00000000-0010-0000-0300-000071200000}" name="Column8300" dataDxfId="8103"/>
    <tableColumn id="8306" xr3:uid="{00000000-0010-0000-0300-000072200000}" name="Column8301" dataDxfId="8102"/>
    <tableColumn id="8307" xr3:uid="{00000000-0010-0000-0300-000073200000}" name="Column8302" dataDxfId="8101"/>
    <tableColumn id="8308" xr3:uid="{00000000-0010-0000-0300-000074200000}" name="Column8303" dataDxfId="8100"/>
    <tableColumn id="8309" xr3:uid="{00000000-0010-0000-0300-000075200000}" name="Column8304" dataDxfId="8099"/>
    <tableColumn id="8310" xr3:uid="{00000000-0010-0000-0300-000076200000}" name="Column8305" dataDxfId="8098"/>
    <tableColumn id="8311" xr3:uid="{00000000-0010-0000-0300-000077200000}" name="Column8306" dataDxfId="8097"/>
    <tableColumn id="8312" xr3:uid="{00000000-0010-0000-0300-000078200000}" name="Column8307" dataDxfId="8096"/>
    <tableColumn id="8313" xr3:uid="{00000000-0010-0000-0300-000079200000}" name="Column8308" dataDxfId="8095"/>
    <tableColumn id="8314" xr3:uid="{00000000-0010-0000-0300-00007A200000}" name="Column8309" dataDxfId="8094"/>
    <tableColumn id="8315" xr3:uid="{00000000-0010-0000-0300-00007B200000}" name="Column8310" dataDxfId="8093"/>
    <tableColumn id="8316" xr3:uid="{00000000-0010-0000-0300-00007C200000}" name="Column8311" dataDxfId="8092"/>
    <tableColumn id="8317" xr3:uid="{00000000-0010-0000-0300-00007D200000}" name="Column8312" dataDxfId="8091"/>
    <tableColumn id="8318" xr3:uid="{00000000-0010-0000-0300-00007E200000}" name="Column8313" dataDxfId="8090"/>
    <tableColumn id="8319" xr3:uid="{00000000-0010-0000-0300-00007F200000}" name="Column8314" dataDxfId="8089"/>
    <tableColumn id="8320" xr3:uid="{00000000-0010-0000-0300-000080200000}" name="Column8315" dataDxfId="8088"/>
    <tableColumn id="8321" xr3:uid="{00000000-0010-0000-0300-000081200000}" name="Column8316" dataDxfId="8087"/>
    <tableColumn id="8322" xr3:uid="{00000000-0010-0000-0300-000082200000}" name="Column8317" dataDxfId="8086"/>
    <tableColumn id="8323" xr3:uid="{00000000-0010-0000-0300-000083200000}" name="Column8318" dataDxfId="8085"/>
    <tableColumn id="8324" xr3:uid="{00000000-0010-0000-0300-000084200000}" name="Column8319" dataDxfId="8084"/>
    <tableColumn id="8325" xr3:uid="{00000000-0010-0000-0300-000085200000}" name="Column8320" dataDxfId="8083"/>
    <tableColumn id="8326" xr3:uid="{00000000-0010-0000-0300-000086200000}" name="Column8321" dataDxfId="8082"/>
    <tableColumn id="8327" xr3:uid="{00000000-0010-0000-0300-000087200000}" name="Column8322" dataDxfId="8081"/>
    <tableColumn id="8328" xr3:uid="{00000000-0010-0000-0300-000088200000}" name="Column8323" dataDxfId="8080"/>
    <tableColumn id="8329" xr3:uid="{00000000-0010-0000-0300-000089200000}" name="Column8324" dataDxfId="8079"/>
    <tableColumn id="8330" xr3:uid="{00000000-0010-0000-0300-00008A200000}" name="Column8325" dataDxfId="8078"/>
    <tableColumn id="8331" xr3:uid="{00000000-0010-0000-0300-00008B200000}" name="Column8326" dataDxfId="8077"/>
    <tableColumn id="8332" xr3:uid="{00000000-0010-0000-0300-00008C200000}" name="Column8327" dataDxfId="8076"/>
    <tableColumn id="8333" xr3:uid="{00000000-0010-0000-0300-00008D200000}" name="Column8328" dataDxfId="8075"/>
    <tableColumn id="8334" xr3:uid="{00000000-0010-0000-0300-00008E200000}" name="Column8329" dataDxfId="8074"/>
    <tableColumn id="8335" xr3:uid="{00000000-0010-0000-0300-00008F200000}" name="Column8330" dataDxfId="8073"/>
    <tableColumn id="8336" xr3:uid="{00000000-0010-0000-0300-000090200000}" name="Column8331" dataDxfId="8072"/>
    <tableColumn id="8337" xr3:uid="{00000000-0010-0000-0300-000091200000}" name="Column8332" dataDxfId="8071"/>
    <tableColumn id="8338" xr3:uid="{00000000-0010-0000-0300-000092200000}" name="Column8333" dataDxfId="8070"/>
    <tableColumn id="8339" xr3:uid="{00000000-0010-0000-0300-000093200000}" name="Column8334" dataDxfId="8069"/>
    <tableColumn id="8340" xr3:uid="{00000000-0010-0000-0300-000094200000}" name="Column8335" dataDxfId="8068"/>
    <tableColumn id="8341" xr3:uid="{00000000-0010-0000-0300-000095200000}" name="Column8336" dataDxfId="8067"/>
    <tableColumn id="8342" xr3:uid="{00000000-0010-0000-0300-000096200000}" name="Column8337" dataDxfId="8066"/>
    <tableColumn id="8343" xr3:uid="{00000000-0010-0000-0300-000097200000}" name="Column8338" dataDxfId="8065"/>
    <tableColumn id="8344" xr3:uid="{00000000-0010-0000-0300-000098200000}" name="Column8339" dataDxfId="8064"/>
    <tableColumn id="8345" xr3:uid="{00000000-0010-0000-0300-000099200000}" name="Column8340" dataDxfId="8063"/>
    <tableColumn id="8346" xr3:uid="{00000000-0010-0000-0300-00009A200000}" name="Column8341" dataDxfId="8062"/>
    <tableColumn id="8347" xr3:uid="{00000000-0010-0000-0300-00009B200000}" name="Column8342" dataDxfId="8061"/>
    <tableColumn id="8348" xr3:uid="{00000000-0010-0000-0300-00009C200000}" name="Column8343" dataDxfId="8060"/>
    <tableColumn id="8349" xr3:uid="{00000000-0010-0000-0300-00009D200000}" name="Column8344" dataDxfId="8059"/>
    <tableColumn id="8350" xr3:uid="{00000000-0010-0000-0300-00009E200000}" name="Column8345" dataDxfId="8058"/>
    <tableColumn id="8351" xr3:uid="{00000000-0010-0000-0300-00009F200000}" name="Column8346" dataDxfId="8057"/>
    <tableColumn id="8352" xr3:uid="{00000000-0010-0000-0300-0000A0200000}" name="Column8347" dataDxfId="8056"/>
    <tableColumn id="8353" xr3:uid="{00000000-0010-0000-0300-0000A1200000}" name="Column8348" dataDxfId="8055"/>
    <tableColumn id="8354" xr3:uid="{00000000-0010-0000-0300-0000A2200000}" name="Column8349" dataDxfId="8054"/>
    <tableColumn id="8355" xr3:uid="{00000000-0010-0000-0300-0000A3200000}" name="Column8350" dataDxfId="8053"/>
    <tableColumn id="8356" xr3:uid="{00000000-0010-0000-0300-0000A4200000}" name="Column8351" dataDxfId="8052"/>
    <tableColumn id="8357" xr3:uid="{00000000-0010-0000-0300-0000A5200000}" name="Column8352" dataDxfId="8051"/>
    <tableColumn id="8358" xr3:uid="{00000000-0010-0000-0300-0000A6200000}" name="Column8353" dataDxfId="8050"/>
    <tableColumn id="8359" xr3:uid="{00000000-0010-0000-0300-0000A7200000}" name="Column8354" dataDxfId="8049"/>
    <tableColumn id="8360" xr3:uid="{00000000-0010-0000-0300-0000A8200000}" name="Column8355" dataDxfId="8048"/>
    <tableColumn id="8361" xr3:uid="{00000000-0010-0000-0300-0000A9200000}" name="Column8356" dataDxfId="8047"/>
    <tableColumn id="8362" xr3:uid="{00000000-0010-0000-0300-0000AA200000}" name="Column8357" dataDxfId="8046"/>
    <tableColumn id="8363" xr3:uid="{00000000-0010-0000-0300-0000AB200000}" name="Column8358" dataDxfId="8045"/>
    <tableColumn id="8364" xr3:uid="{00000000-0010-0000-0300-0000AC200000}" name="Column8359" dataDxfId="8044"/>
    <tableColumn id="8365" xr3:uid="{00000000-0010-0000-0300-0000AD200000}" name="Column8360" dataDxfId="8043"/>
    <tableColumn id="8366" xr3:uid="{00000000-0010-0000-0300-0000AE200000}" name="Column8361" dataDxfId="8042"/>
    <tableColumn id="8367" xr3:uid="{00000000-0010-0000-0300-0000AF200000}" name="Column8362" dataDxfId="8041"/>
    <tableColumn id="8368" xr3:uid="{00000000-0010-0000-0300-0000B0200000}" name="Column8363" dataDxfId="8040"/>
    <tableColumn id="8369" xr3:uid="{00000000-0010-0000-0300-0000B1200000}" name="Column8364" dataDxfId="8039"/>
    <tableColumn id="8370" xr3:uid="{00000000-0010-0000-0300-0000B2200000}" name="Column8365" dataDxfId="8038"/>
    <tableColumn id="8371" xr3:uid="{00000000-0010-0000-0300-0000B3200000}" name="Column8366" dataDxfId="8037"/>
    <tableColumn id="8372" xr3:uid="{00000000-0010-0000-0300-0000B4200000}" name="Column8367" dataDxfId="8036"/>
    <tableColumn id="8373" xr3:uid="{00000000-0010-0000-0300-0000B5200000}" name="Column8368" dataDxfId="8035"/>
    <tableColumn id="8374" xr3:uid="{00000000-0010-0000-0300-0000B6200000}" name="Column8369" dataDxfId="8034"/>
    <tableColumn id="8375" xr3:uid="{00000000-0010-0000-0300-0000B7200000}" name="Column8370" dataDxfId="8033"/>
    <tableColumn id="8376" xr3:uid="{00000000-0010-0000-0300-0000B8200000}" name="Column8371" dataDxfId="8032"/>
    <tableColumn id="8377" xr3:uid="{00000000-0010-0000-0300-0000B9200000}" name="Column8372" dataDxfId="8031"/>
    <tableColumn id="8378" xr3:uid="{00000000-0010-0000-0300-0000BA200000}" name="Column8373" dataDxfId="8030"/>
    <tableColumn id="8379" xr3:uid="{00000000-0010-0000-0300-0000BB200000}" name="Column8374" dataDxfId="8029"/>
    <tableColumn id="8380" xr3:uid="{00000000-0010-0000-0300-0000BC200000}" name="Column8375" dataDxfId="8028"/>
    <tableColumn id="8381" xr3:uid="{00000000-0010-0000-0300-0000BD200000}" name="Column8376" dataDxfId="8027"/>
    <tableColumn id="8382" xr3:uid="{00000000-0010-0000-0300-0000BE200000}" name="Column8377" dataDxfId="8026"/>
    <tableColumn id="8383" xr3:uid="{00000000-0010-0000-0300-0000BF200000}" name="Column8378" dataDxfId="8025"/>
    <tableColumn id="8384" xr3:uid="{00000000-0010-0000-0300-0000C0200000}" name="Column8379" dataDxfId="8024"/>
    <tableColumn id="8385" xr3:uid="{00000000-0010-0000-0300-0000C1200000}" name="Column8380" dataDxfId="8023"/>
    <tableColumn id="8386" xr3:uid="{00000000-0010-0000-0300-0000C2200000}" name="Column8381" dataDxfId="8022"/>
    <tableColumn id="8387" xr3:uid="{00000000-0010-0000-0300-0000C3200000}" name="Column8382" dataDxfId="8021"/>
    <tableColumn id="8388" xr3:uid="{00000000-0010-0000-0300-0000C4200000}" name="Column8383" dataDxfId="8020"/>
    <tableColumn id="8389" xr3:uid="{00000000-0010-0000-0300-0000C5200000}" name="Column8384" dataDxfId="8019"/>
    <tableColumn id="8390" xr3:uid="{00000000-0010-0000-0300-0000C6200000}" name="Column8385" dataDxfId="8018"/>
    <tableColumn id="8391" xr3:uid="{00000000-0010-0000-0300-0000C7200000}" name="Column8386" dataDxfId="8017"/>
    <tableColumn id="8392" xr3:uid="{00000000-0010-0000-0300-0000C8200000}" name="Column8387" dataDxfId="8016"/>
    <tableColumn id="8393" xr3:uid="{00000000-0010-0000-0300-0000C9200000}" name="Column8388" dataDxfId="8015"/>
    <tableColumn id="8394" xr3:uid="{00000000-0010-0000-0300-0000CA200000}" name="Column8389" dataDxfId="8014"/>
    <tableColumn id="8395" xr3:uid="{00000000-0010-0000-0300-0000CB200000}" name="Column8390" dataDxfId="8013"/>
    <tableColumn id="8396" xr3:uid="{00000000-0010-0000-0300-0000CC200000}" name="Column8391" dataDxfId="8012"/>
    <tableColumn id="8397" xr3:uid="{00000000-0010-0000-0300-0000CD200000}" name="Column8392" dataDxfId="8011"/>
    <tableColumn id="8398" xr3:uid="{00000000-0010-0000-0300-0000CE200000}" name="Column8393" dataDxfId="8010"/>
    <tableColumn id="8399" xr3:uid="{00000000-0010-0000-0300-0000CF200000}" name="Column8394" dataDxfId="8009"/>
    <tableColumn id="8400" xr3:uid="{00000000-0010-0000-0300-0000D0200000}" name="Column8395" dataDxfId="8008"/>
    <tableColumn id="8401" xr3:uid="{00000000-0010-0000-0300-0000D1200000}" name="Column8396" dataDxfId="8007"/>
    <tableColumn id="8402" xr3:uid="{00000000-0010-0000-0300-0000D2200000}" name="Column8397" dataDxfId="8006"/>
    <tableColumn id="8403" xr3:uid="{00000000-0010-0000-0300-0000D3200000}" name="Column8398" dataDxfId="8005"/>
    <tableColumn id="8404" xr3:uid="{00000000-0010-0000-0300-0000D4200000}" name="Column8399" dataDxfId="8004"/>
    <tableColumn id="8405" xr3:uid="{00000000-0010-0000-0300-0000D5200000}" name="Column8400" dataDxfId="8003"/>
    <tableColumn id="8406" xr3:uid="{00000000-0010-0000-0300-0000D6200000}" name="Column8401" dataDxfId="8002"/>
    <tableColumn id="8407" xr3:uid="{00000000-0010-0000-0300-0000D7200000}" name="Column8402" dataDxfId="8001"/>
    <tableColumn id="8408" xr3:uid="{00000000-0010-0000-0300-0000D8200000}" name="Column8403" dataDxfId="8000"/>
    <tableColumn id="8409" xr3:uid="{00000000-0010-0000-0300-0000D9200000}" name="Column8404" dataDxfId="7999"/>
    <tableColumn id="8410" xr3:uid="{00000000-0010-0000-0300-0000DA200000}" name="Column8405" dataDxfId="7998"/>
    <tableColumn id="8411" xr3:uid="{00000000-0010-0000-0300-0000DB200000}" name="Column8406" dataDxfId="7997"/>
    <tableColumn id="8412" xr3:uid="{00000000-0010-0000-0300-0000DC200000}" name="Column8407" dataDxfId="7996"/>
    <tableColumn id="8413" xr3:uid="{00000000-0010-0000-0300-0000DD200000}" name="Column8408" dataDxfId="7995"/>
    <tableColumn id="8414" xr3:uid="{00000000-0010-0000-0300-0000DE200000}" name="Column8409" dataDxfId="7994"/>
    <tableColumn id="8415" xr3:uid="{00000000-0010-0000-0300-0000DF200000}" name="Column8410" dataDxfId="7993"/>
    <tableColumn id="8416" xr3:uid="{00000000-0010-0000-0300-0000E0200000}" name="Column8411" dataDxfId="7992"/>
    <tableColumn id="8417" xr3:uid="{00000000-0010-0000-0300-0000E1200000}" name="Column8412" dataDxfId="7991"/>
    <tableColumn id="8418" xr3:uid="{00000000-0010-0000-0300-0000E2200000}" name="Column8413" dataDxfId="7990"/>
    <tableColumn id="8419" xr3:uid="{00000000-0010-0000-0300-0000E3200000}" name="Column8414" dataDxfId="7989"/>
    <tableColumn id="8420" xr3:uid="{00000000-0010-0000-0300-0000E4200000}" name="Column8415" dataDxfId="7988"/>
    <tableColumn id="8421" xr3:uid="{00000000-0010-0000-0300-0000E5200000}" name="Column8416" dataDxfId="7987"/>
    <tableColumn id="8422" xr3:uid="{00000000-0010-0000-0300-0000E6200000}" name="Column8417" dataDxfId="7986"/>
    <tableColumn id="8423" xr3:uid="{00000000-0010-0000-0300-0000E7200000}" name="Column8418" dataDxfId="7985"/>
    <tableColumn id="8424" xr3:uid="{00000000-0010-0000-0300-0000E8200000}" name="Column8419" dataDxfId="7984"/>
    <tableColumn id="8425" xr3:uid="{00000000-0010-0000-0300-0000E9200000}" name="Column8420" dataDxfId="7983"/>
    <tableColumn id="8426" xr3:uid="{00000000-0010-0000-0300-0000EA200000}" name="Column8421" dataDxfId="7982"/>
    <tableColumn id="8427" xr3:uid="{00000000-0010-0000-0300-0000EB200000}" name="Column8422" dataDxfId="7981"/>
    <tableColumn id="8428" xr3:uid="{00000000-0010-0000-0300-0000EC200000}" name="Column8423" dataDxfId="7980"/>
    <tableColumn id="8429" xr3:uid="{00000000-0010-0000-0300-0000ED200000}" name="Column8424" dataDxfId="7979"/>
    <tableColumn id="8430" xr3:uid="{00000000-0010-0000-0300-0000EE200000}" name="Column8425" dataDxfId="7978"/>
    <tableColumn id="8431" xr3:uid="{00000000-0010-0000-0300-0000EF200000}" name="Column8426" dataDxfId="7977"/>
    <tableColumn id="8432" xr3:uid="{00000000-0010-0000-0300-0000F0200000}" name="Column8427" dataDxfId="7976"/>
    <tableColumn id="8433" xr3:uid="{00000000-0010-0000-0300-0000F1200000}" name="Column8428" dataDxfId="7975"/>
    <tableColumn id="8434" xr3:uid="{00000000-0010-0000-0300-0000F2200000}" name="Column8429" dataDxfId="7974"/>
    <tableColumn id="8435" xr3:uid="{00000000-0010-0000-0300-0000F3200000}" name="Column8430" dataDxfId="7973"/>
    <tableColumn id="8436" xr3:uid="{00000000-0010-0000-0300-0000F4200000}" name="Column8431" dataDxfId="7972"/>
    <tableColumn id="8437" xr3:uid="{00000000-0010-0000-0300-0000F5200000}" name="Column8432" dataDxfId="7971"/>
    <tableColumn id="8438" xr3:uid="{00000000-0010-0000-0300-0000F6200000}" name="Column8433" dataDxfId="7970"/>
    <tableColumn id="8439" xr3:uid="{00000000-0010-0000-0300-0000F7200000}" name="Column8434" dataDxfId="7969"/>
    <tableColumn id="8440" xr3:uid="{00000000-0010-0000-0300-0000F8200000}" name="Column8435" dataDxfId="7968"/>
    <tableColumn id="8441" xr3:uid="{00000000-0010-0000-0300-0000F9200000}" name="Column8436" dataDxfId="7967"/>
    <tableColumn id="8442" xr3:uid="{00000000-0010-0000-0300-0000FA200000}" name="Column8437" dataDxfId="7966"/>
    <tableColumn id="8443" xr3:uid="{00000000-0010-0000-0300-0000FB200000}" name="Column8438" dataDxfId="7965"/>
    <tableColumn id="8444" xr3:uid="{00000000-0010-0000-0300-0000FC200000}" name="Column8439" dataDxfId="7964"/>
    <tableColumn id="8445" xr3:uid="{00000000-0010-0000-0300-0000FD200000}" name="Column8440" dataDxfId="7963"/>
    <tableColumn id="8446" xr3:uid="{00000000-0010-0000-0300-0000FE200000}" name="Column8441" dataDxfId="7962"/>
    <tableColumn id="8447" xr3:uid="{00000000-0010-0000-0300-0000FF200000}" name="Column8442" dataDxfId="7961"/>
    <tableColumn id="8448" xr3:uid="{00000000-0010-0000-0300-000000210000}" name="Column8443" dataDxfId="7960"/>
    <tableColumn id="8449" xr3:uid="{00000000-0010-0000-0300-000001210000}" name="Column8444" dataDxfId="7959"/>
    <tableColumn id="8450" xr3:uid="{00000000-0010-0000-0300-000002210000}" name="Column8445" dataDxfId="7958"/>
    <tableColumn id="8451" xr3:uid="{00000000-0010-0000-0300-000003210000}" name="Column8446" dataDxfId="7957"/>
    <tableColumn id="8452" xr3:uid="{00000000-0010-0000-0300-000004210000}" name="Column8447" dataDxfId="7956"/>
    <tableColumn id="8453" xr3:uid="{00000000-0010-0000-0300-000005210000}" name="Column8448" dataDxfId="7955"/>
    <tableColumn id="8454" xr3:uid="{00000000-0010-0000-0300-000006210000}" name="Column8449" dataDxfId="7954"/>
    <tableColumn id="8455" xr3:uid="{00000000-0010-0000-0300-000007210000}" name="Column8450" dataDxfId="7953"/>
    <tableColumn id="8456" xr3:uid="{00000000-0010-0000-0300-000008210000}" name="Column8451" dataDxfId="7952"/>
    <tableColumn id="8457" xr3:uid="{00000000-0010-0000-0300-000009210000}" name="Column8452" dataDxfId="7951"/>
    <tableColumn id="8458" xr3:uid="{00000000-0010-0000-0300-00000A210000}" name="Column8453" dataDxfId="7950"/>
    <tableColumn id="8459" xr3:uid="{00000000-0010-0000-0300-00000B210000}" name="Column8454" dataDxfId="7949"/>
    <tableColumn id="8460" xr3:uid="{00000000-0010-0000-0300-00000C210000}" name="Column8455" dataDxfId="7948"/>
    <tableColumn id="8461" xr3:uid="{00000000-0010-0000-0300-00000D210000}" name="Column8456" dataDxfId="7947"/>
    <tableColumn id="8462" xr3:uid="{00000000-0010-0000-0300-00000E210000}" name="Column8457" dataDxfId="7946"/>
    <tableColumn id="8463" xr3:uid="{00000000-0010-0000-0300-00000F210000}" name="Column8458" dataDxfId="7945"/>
    <tableColumn id="8464" xr3:uid="{00000000-0010-0000-0300-000010210000}" name="Column8459" dataDxfId="7944"/>
    <tableColumn id="8465" xr3:uid="{00000000-0010-0000-0300-000011210000}" name="Column8460" dataDxfId="7943"/>
    <tableColumn id="8466" xr3:uid="{00000000-0010-0000-0300-000012210000}" name="Column8461" dataDxfId="7942"/>
    <tableColumn id="8467" xr3:uid="{00000000-0010-0000-0300-000013210000}" name="Column8462" dataDxfId="7941"/>
    <tableColumn id="8468" xr3:uid="{00000000-0010-0000-0300-000014210000}" name="Column8463" dataDxfId="7940"/>
    <tableColumn id="8469" xr3:uid="{00000000-0010-0000-0300-000015210000}" name="Column8464" dataDxfId="7939"/>
    <tableColumn id="8470" xr3:uid="{00000000-0010-0000-0300-000016210000}" name="Column8465" dataDxfId="7938"/>
    <tableColumn id="8471" xr3:uid="{00000000-0010-0000-0300-000017210000}" name="Column8466" dataDxfId="7937"/>
    <tableColumn id="8472" xr3:uid="{00000000-0010-0000-0300-000018210000}" name="Column8467" dataDxfId="7936"/>
    <tableColumn id="8473" xr3:uid="{00000000-0010-0000-0300-000019210000}" name="Column8468" dataDxfId="7935"/>
    <tableColumn id="8474" xr3:uid="{00000000-0010-0000-0300-00001A210000}" name="Column8469" dataDxfId="7934"/>
    <tableColumn id="8475" xr3:uid="{00000000-0010-0000-0300-00001B210000}" name="Column8470" dataDxfId="7933"/>
    <tableColumn id="8476" xr3:uid="{00000000-0010-0000-0300-00001C210000}" name="Column8471" dataDxfId="7932"/>
    <tableColumn id="8477" xr3:uid="{00000000-0010-0000-0300-00001D210000}" name="Column8472" dataDxfId="7931"/>
    <tableColumn id="8478" xr3:uid="{00000000-0010-0000-0300-00001E210000}" name="Column8473" dataDxfId="7930"/>
    <tableColumn id="8479" xr3:uid="{00000000-0010-0000-0300-00001F210000}" name="Column8474" dataDxfId="7929"/>
    <tableColumn id="8480" xr3:uid="{00000000-0010-0000-0300-000020210000}" name="Column8475" dataDxfId="7928"/>
    <tableColumn id="8481" xr3:uid="{00000000-0010-0000-0300-000021210000}" name="Column8476" dataDxfId="7927"/>
    <tableColumn id="8482" xr3:uid="{00000000-0010-0000-0300-000022210000}" name="Column8477" dataDxfId="7926"/>
    <tableColumn id="8483" xr3:uid="{00000000-0010-0000-0300-000023210000}" name="Column8478" dataDxfId="7925"/>
    <tableColumn id="8484" xr3:uid="{00000000-0010-0000-0300-000024210000}" name="Column8479" dataDxfId="7924"/>
    <tableColumn id="8485" xr3:uid="{00000000-0010-0000-0300-000025210000}" name="Column8480" dataDxfId="7923"/>
    <tableColumn id="8486" xr3:uid="{00000000-0010-0000-0300-000026210000}" name="Column8481" dataDxfId="7922"/>
    <tableColumn id="8487" xr3:uid="{00000000-0010-0000-0300-000027210000}" name="Column8482" dataDxfId="7921"/>
    <tableColumn id="8488" xr3:uid="{00000000-0010-0000-0300-000028210000}" name="Column8483" dataDxfId="7920"/>
    <tableColumn id="8489" xr3:uid="{00000000-0010-0000-0300-000029210000}" name="Column8484" dataDxfId="7919"/>
    <tableColumn id="8490" xr3:uid="{00000000-0010-0000-0300-00002A210000}" name="Column8485" dataDxfId="7918"/>
    <tableColumn id="8491" xr3:uid="{00000000-0010-0000-0300-00002B210000}" name="Column8486" dataDxfId="7917"/>
    <tableColumn id="8492" xr3:uid="{00000000-0010-0000-0300-00002C210000}" name="Column8487" dataDxfId="7916"/>
    <tableColumn id="8493" xr3:uid="{00000000-0010-0000-0300-00002D210000}" name="Column8488" dataDxfId="7915"/>
    <tableColumn id="8494" xr3:uid="{00000000-0010-0000-0300-00002E210000}" name="Column8489" dataDxfId="7914"/>
    <tableColumn id="8495" xr3:uid="{00000000-0010-0000-0300-00002F210000}" name="Column8490" dataDxfId="7913"/>
    <tableColumn id="8496" xr3:uid="{00000000-0010-0000-0300-000030210000}" name="Column8491" dataDxfId="7912"/>
    <tableColumn id="8497" xr3:uid="{00000000-0010-0000-0300-000031210000}" name="Column8492" dataDxfId="7911"/>
    <tableColumn id="8498" xr3:uid="{00000000-0010-0000-0300-000032210000}" name="Column8493" dataDxfId="7910"/>
    <tableColumn id="8499" xr3:uid="{00000000-0010-0000-0300-000033210000}" name="Column8494" dataDxfId="7909"/>
    <tableColumn id="8500" xr3:uid="{00000000-0010-0000-0300-000034210000}" name="Column8495" dataDxfId="7908"/>
    <tableColumn id="8501" xr3:uid="{00000000-0010-0000-0300-000035210000}" name="Column8496" dataDxfId="7907"/>
    <tableColumn id="8502" xr3:uid="{00000000-0010-0000-0300-000036210000}" name="Column8497" dataDxfId="7906"/>
    <tableColumn id="8503" xr3:uid="{00000000-0010-0000-0300-000037210000}" name="Column8498" dataDxfId="7905"/>
    <tableColumn id="8504" xr3:uid="{00000000-0010-0000-0300-000038210000}" name="Column8499" dataDxfId="7904"/>
    <tableColumn id="8505" xr3:uid="{00000000-0010-0000-0300-000039210000}" name="Column8500" dataDxfId="7903"/>
    <tableColumn id="8506" xr3:uid="{00000000-0010-0000-0300-00003A210000}" name="Column8501" dataDxfId="7902"/>
    <tableColumn id="8507" xr3:uid="{00000000-0010-0000-0300-00003B210000}" name="Column8502" dataDxfId="7901"/>
    <tableColumn id="8508" xr3:uid="{00000000-0010-0000-0300-00003C210000}" name="Column8503" dataDxfId="7900"/>
    <tableColumn id="8509" xr3:uid="{00000000-0010-0000-0300-00003D210000}" name="Column8504" dataDxfId="7899"/>
    <tableColumn id="8510" xr3:uid="{00000000-0010-0000-0300-00003E210000}" name="Column8505" dataDxfId="7898"/>
    <tableColumn id="8511" xr3:uid="{00000000-0010-0000-0300-00003F210000}" name="Column8506" dataDxfId="7897"/>
    <tableColumn id="8512" xr3:uid="{00000000-0010-0000-0300-000040210000}" name="Column8507" dataDxfId="7896"/>
    <tableColumn id="8513" xr3:uid="{00000000-0010-0000-0300-000041210000}" name="Column8508" dataDxfId="7895"/>
    <tableColumn id="8514" xr3:uid="{00000000-0010-0000-0300-000042210000}" name="Column8509" dataDxfId="7894"/>
    <tableColumn id="8515" xr3:uid="{00000000-0010-0000-0300-000043210000}" name="Column8510" dataDxfId="7893"/>
    <tableColumn id="8516" xr3:uid="{00000000-0010-0000-0300-000044210000}" name="Column8511" dataDxfId="7892"/>
    <tableColumn id="8517" xr3:uid="{00000000-0010-0000-0300-000045210000}" name="Column8512" dataDxfId="7891"/>
    <tableColumn id="8518" xr3:uid="{00000000-0010-0000-0300-000046210000}" name="Column8513" dataDxfId="7890"/>
    <tableColumn id="8519" xr3:uid="{00000000-0010-0000-0300-000047210000}" name="Column8514" dataDxfId="7889"/>
    <tableColumn id="8520" xr3:uid="{00000000-0010-0000-0300-000048210000}" name="Column8515" dataDxfId="7888"/>
    <tableColumn id="8521" xr3:uid="{00000000-0010-0000-0300-000049210000}" name="Column8516" dataDxfId="7887"/>
    <tableColumn id="8522" xr3:uid="{00000000-0010-0000-0300-00004A210000}" name="Column8517" dataDxfId="7886"/>
    <tableColumn id="8523" xr3:uid="{00000000-0010-0000-0300-00004B210000}" name="Column8518" dataDxfId="7885"/>
    <tableColumn id="8524" xr3:uid="{00000000-0010-0000-0300-00004C210000}" name="Column8519" dataDxfId="7884"/>
    <tableColumn id="8525" xr3:uid="{00000000-0010-0000-0300-00004D210000}" name="Column8520" dataDxfId="7883"/>
    <tableColumn id="8526" xr3:uid="{00000000-0010-0000-0300-00004E210000}" name="Column8521" dataDxfId="7882"/>
    <tableColumn id="8527" xr3:uid="{00000000-0010-0000-0300-00004F210000}" name="Column8522" dataDxfId="7881"/>
    <tableColumn id="8528" xr3:uid="{00000000-0010-0000-0300-000050210000}" name="Column8523" dataDxfId="7880"/>
    <tableColumn id="8529" xr3:uid="{00000000-0010-0000-0300-000051210000}" name="Column8524" dataDxfId="7879"/>
    <tableColumn id="8530" xr3:uid="{00000000-0010-0000-0300-000052210000}" name="Column8525" dataDxfId="7878"/>
    <tableColumn id="8531" xr3:uid="{00000000-0010-0000-0300-000053210000}" name="Column8526" dataDxfId="7877"/>
    <tableColumn id="8532" xr3:uid="{00000000-0010-0000-0300-000054210000}" name="Column8527" dataDxfId="7876"/>
    <tableColumn id="8533" xr3:uid="{00000000-0010-0000-0300-000055210000}" name="Column8528" dataDxfId="7875"/>
    <tableColumn id="8534" xr3:uid="{00000000-0010-0000-0300-000056210000}" name="Column8529" dataDxfId="7874"/>
    <tableColumn id="8535" xr3:uid="{00000000-0010-0000-0300-000057210000}" name="Column8530" dataDxfId="7873"/>
    <tableColumn id="8536" xr3:uid="{00000000-0010-0000-0300-000058210000}" name="Column8531" dataDxfId="7872"/>
    <tableColumn id="8537" xr3:uid="{00000000-0010-0000-0300-000059210000}" name="Column8532" dataDxfId="7871"/>
    <tableColumn id="8538" xr3:uid="{00000000-0010-0000-0300-00005A210000}" name="Column8533" dataDxfId="7870"/>
    <tableColumn id="8539" xr3:uid="{00000000-0010-0000-0300-00005B210000}" name="Column8534" dataDxfId="7869"/>
    <tableColumn id="8540" xr3:uid="{00000000-0010-0000-0300-00005C210000}" name="Column8535" dataDxfId="7868"/>
    <tableColumn id="8541" xr3:uid="{00000000-0010-0000-0300-00005D210000}" name="Column8536" dataDxfId="7867"/>
    <tableColumn id="8542" xr3:uid="{00000000-0010-0000-0300-00005E210000}" name="Column8537" dataDxfId="7866"/>
    <tableColumn id="8543" xr3:uid="{00000000-0010-0000-0300-00005F210000}" name="Column8538" dataDxfId="7865"/>
    <tableColumn id="8544" xr3:uid="{00000000-0010-0000-0300-000060210000}" name="Column8539" dataDxfId="7864"/>
    <tableColumn id="8545" xr3:uid="{00000000-0010-0000-0300-000061210000}" name="Column8540" dataDxfId="7863"/>
    <tableColumn id="8546" xr3:uid="{00000000-0010-0000-0300-000062210000}" name="Column8541" dataDxfId="7862"/>
    <tableColumn id="8547" xr3:uid="{00000000-0010-0000-0300-000063210000}" name="Column8542" dataDxfId="7861"/>
    <tableColumn id="8548" xr3:uid="{00000000-0010-0000-0300-000064210000}" name="Column8543" dataDxfId="7860"/>
    <tableColumn id="8549" xr3:uid="{00000000-0010-0000-0300-000065210000}" name="Column8544" dataDxfId="7859"/>
    <tableColumn id="8550" xr3:uid="{00000000-0010-0000-0300-000066210000}" name="Column8545" dataDxfId="7858"/>
    <tableColumn id="8551" xr3:uid="{00000000-0010-0000-0300-000067210000}" name="Column8546" dataDxfId="7857"/>
    <tableColumn id="8552" xr3:uid="{00000000-0010-0000-0300-000068210000}" name="Column8547" dataDxfId="7856"/>
    <tableColumn id="8553" xr3:uid="{00000000-0010-0000-0300-000069210000}" name="Column8548" dataDxfId="7855"/>
    <tableColumn id="8554" xr3:uid="{00000000-0010-0000-0300-00006A210000}" name="Column8549" dataDxfId="7854"/>
    <tableColumn id="8555" xr3:uid="{00000000-0010-0000-0300-00006B210000}" name="Column8550" dataDxfId="7853"/>
    <tableColumn id="8556" xr3:uid="{00000000-0010-0000-0300-00006C210000}" name="Column8551" dataDxfId="7852"/>
    <tableColumn id="8557" xr3:uid="{00000000-0010-0000-0300-00006D210000}" name="Column8552" dataDxfId="7851"/>
    <tableColumn id="8558" xr3:uid="{00000000-0010-0000-0300-00006E210000}" name="Column8553" dataDxfId="7850"/>
    <tableColumn id="8559" xr3:uid="{00000000-0010-0000-0300-00006F210000}" name="Column8554" dataDxfId="7849"/>
    <tableColumn id="8560" xr3:uid="{00000000-0010-0000-0300-000070210000}" name="Column8555" dataDxfId="7848"/>
    <tableColumn id="8561" xr3:uid="{00000000-0010-0000-0300-000071210000}" name="Column8556" dataDxfId="7847"/>
    <tableColumn id="8562" xr3:uid="{00000000-0010-0000-0300-000072210000}" name="Column8557" dataDxfId="7846"/>
    <tableColumn id="8563" xr3:uid="{00000000-0010-0000-0300-000073210000}" name="Column8558" dataDxfId="7845"/>
    <tableColumn id="8564" xr3:uid="{00000000-0010-0000-0300-000074210000}" name="Column8559" dataDxfId="7844"/>
    <tableColumn id="8565" xr3:uid="{00000000-0010-0000-0300-000075210000}" name="Column8560" dataDxfId="7843"/>
    <tableColumn id="8566" xr3:uid="{00000000-0010-0000-0300-000076210000}" name="Column8561" dataDxfId="7842"/>
    <tableColumn id="8567" xr3:uid="{00000000-0010-0000-0300-000077210000}" name="Column8562" dataDxfId="7841"/>
    <tableColumn id="8568" xr3:uid="{00000000-0010-0000-0300-000078210000}" name="Column8563" dataDxfId="7840"/>
    <tableColumn id="8569" xr3:uid="{00000000-0010-0000-0300-000079210000}" name="Column8564" dataDxfId="7839"/>
    <tableColumn id="8570" xr3:uid="{00000000-0010-0000-0300-00007A210000}" name="Column8565" dataDxfId="7838"/>
    <tableColumn id="8571" xr3:uid="{00000000-0010-0000-0300-00007B210000}" name="Column8566" dataDxfId="7837"/>
    <tableColumn id="8572" xr3:uid="{00000000-0010-0000-0300-00007C210000}" name="Column8567" dataDxfId="7836"/>
    <tableColumn id="8573" xr3:uid="{00000000-0010-0000-0300-00007D210000}" name="Column8568" dataDxfId="7835"/>
    <tableColumn id="8574" xr3:uid="{00000000-0010-0000-0300-00007E210000}" name="Column8569" dataDxfId="7834"/>
    <tableColumn id="8575" xr3:uid="{00000000-0010-0000-0300-00007F210000}" name="Column8570" dataDxfId="7833"/>
    <tableColumn id="8576" xr3:uid="{00000000-0010-0000-0300-000080210000}" name="Column8571" dataDxfId="7832"/>
    <tableColumn id="8577" xr3:uid="{00000000-0010-0000-0300-000081210000}" name="Column8572" dataDxfId="7831"/>
    <tableColumn id="8578" xr3:uid="{00000000-0010-0000-0300-000082210000}" name="Column8573" dataDxfId="7830"/>
    <tableColumn id="8579" xr3:uid="{00000000-0010-0000-0300-000083210000}" name="Column8574" dataDxfId="7829"/>
    <tableColumn id="8580" xr3:uid="{00000000-0010-0000-0300-000084210000}" name="Column8575" dataDxfId="7828"/>
    <tableColumn id="8581" xr3:uid="{00000000-0010-0000-0300-000085210000}" name="Column8576" dataDxfId="7827"/>
    <tableColumn id="8582" xr3:uid="{00000000-0010-0000-0300-000086210000}" name="Column8577" dataDxfId="7826"/>
    <tableColumn id="8583" xr3:uid="{00000000-0010-0000-0300-000087210000}" name="Column8578" dataDxfId="7825"/>
    <tableColumn id="8584" xr3:uid="{00000000-0010-0000-0300-000088210000}" name="Column8579" dataDxfId="7824"/>
    <tableColumn id="8585" xr3:uid="{00000000-0010-0000-0300-000089210000}" name="Column8580" dataDxfId="7823"/>
    <tableColumn id="8586" xr3:uid="{00000000-0010-0000-0300-00008A210000}" name="Column8581" dataDxfId="7822"/>
    <tableColumn id="8587" xr3:uid="{00000000-0010-0000-0300-00008B210000}" name="Column8582" dataDxfId="7821"/>
    <tableColumn id="8588" xr3:uid="{00000000-0010-0000-0300-00008C210000}" name="Column8583" dataDxfId="7820"/>
    <tableColumn id="8589" xr3:uid="{00000000-0010-0000-0300-00008D210000}" name="Column8584" dataDxfId="7819"/>
    <tableColumn id="8590" xr3:uid="{00000000-0010-0000-0300-00008E210000}" name="Column8585" dataDxfId="7818"/>
    <tableColumn id="8591" xr3:uid="{00000000-0010-0000-0300-00008F210000}" name="Column8586" dataDxfId="7817"/>
    <tableColumn id="8592" xr3:uid="{00000000-0010-0000-0300-000090210000}" name="Column8587" dataDxfId="7816"/>
    <tableColumn id="8593" xr3:uid="{00000000-0010-0000-0300-000091210000}" name="Column8588" dataDxfId="7815"/>
    <tableColumn id="8594" xr3:uid="{00000000-0010-0000-0300-000092210000}" name="Column8589" dataDxfId="7814"/>
    <tableColumn id="8595" xr3:uid="{00000000-0010-0000-0300-000093210000}" name="Column8590" dataDxfId="7813"/>
    <tableColumn id="8596" xr3:uid="{00000000-0010-0000-0300-000094210000}" name="Column8591" dataDxfId="7812"/>
    <tableColumn id="8597" xr3:uid="{00000000-0010-0000-0300-000095210000}" name="Column8592" dataDxfId="7811"/>
    <tableColumn id="8598" xr3:uid="{00000000-0010-0000-0300-000096210000}" name="Column8593" dataDxfId="7810"/>
    <tableColumn id="8599" xr3:uid="{00000000-0010-0000-0300-000097210000}" name="Column8594" dataDxfId="7809"/>
    <tableColumn id="8600" xr3:uid="{00000000-0010-0000-0300-000098210000}" name="Column8595" dataDxfId="7808"/>
    <tableColumn id="8601" xr3:uid="{00000000-0010-0000-0300-000099210000}" name="Column8596" dataDxfId="7807"/>
    <tableColumn id="8602" xr3:uid="{00000000-0010-0000-0300-00009A210000}" name="Column8597" dataDxfId="7806"/>
    <tableColumn id="8603" xr3:uid="{00000000-0010-0000-0300-00009B210000}" name="Column8598" dataDxfId="7805"/>
    <tableColumn id="8604" xr3:uid="{00000000-0010-0000-0300-00009C210000}" name="Column8599" dataDxfId="7804"/>
    <tableColumn id="8605" xr3:uid="{00000000-0010-0000-0300-00009D210000}" name="Column8600" dataDxfId="7803"/>
    <tableColumn id="8606" xr3:uid="{00000000-0010-0000-0300-00009E210000}" name="Column8601" dataDxfId="7802"/>
    <tableColumn id="8607" xr3:uid="{00000000-0010-0000-0300-00009F210000}" name="Column8602" dataDxfId="7801"/>
    <tableColumn id="8608" xr3:uid="{00000000-0010-0000-0300-0000A0210000}" name="Column8603" dataDxfId="7800"/>
    <tableColumn id="8609" xr3:uid="{00000000-0010-0000-0300-0000A1210000}" name="Column8604" dataDxfId="7799"/>
    <tableColumn id="8610" xr3:uid="{00000000-0010-0000-0300-0000A2210000}" name="Column8605" dataDxfId="7798"/>
    <tableColumn id="8611" xr3:uid="{00000000-0010-0000-0300-0000A3210000}" name="Column8606" dataDxfId="7797"/>
    <tableColumn id="8612" xr3:uid="{00000000-0010-0000-0300-0000A4210000}" name="Column8607" dataDxfId="7796"/>
    <tableColumn id="8613" xr3:uid="{00000000-0010-0000-0300-0000A5210000}" name="Column8608" dataDxfId="7795"/>
    <tableColumn id="8614" xr3:uid="{00000000-0010-0000-0300-0000A6210000}" name="Column8609" dataDxfId="7794"/>
    <tableColumn id="8615" xr3:uid="{00000000-0010-0000-0300-0000A7210000}" name="Column8610" dataDxfId="7793"/>
    <tableColumn id="8616" xr3:uid="{00000000-0010-0000-0300-0000A8210000}" name="Column8611" dataDxfId="7792"/>
    <tableColumn id="8617" xr3:uid="{00000000-0010-0000-0300-0000A9210000}" name="Column8612" dataDxfId="7791"/>
    <tableColumn id="8618" xr3:uid="{00000000-0010-0000-0300-0000AA210000}" name="Column8613" dataDxfId="7790"/>
    <tableColumn id="8619" xr3:uid="{00000000-0010-0000-0300-0000AB210000}" name="Column8614" dataDxfId="7789"/>
    <tableColumn id="8620" xr3:uid="{00000000-0010-0000-0300-0000AC210000}" name="Column8615" dataDxfId="7788"/>
    <tableColumn id="8621" xr3:uid="{00000000-0010-0000-0300-0000AD210000}" name="Column8616" dataDxfId="7787"/>
    <tableColumn id="8622" xr3:uid="{00000000-0010-0000-0300-0000AE210000}" name="Column8617" dataDxfId="7786"/>
    <tableColumn id="8623" xr3:uid="{00000000-0010-0000-0300-0000AF210000}" name="Column8618" dataDxfId="7785"/>
    <tableColumn id="8624" xr3:uid="{00000000-0010-0000-0300-0000B0210000}" name="Column8619" dataDxfId="7784"/>
    <tableColumn id="8625" xr3:uid="{00000000-0010-0000-0300-0000B1210000}" name="Column8620" dataDxfId="7783"/>
    <tableColumn id="8626" xr3:uid="{00000000-0010-0000-0300-0000B2210000}" name="Column8621" dataDxfId="7782"/>
    <tableColumn id="8627" xr3:uid="{00000000-0010-0000-0300-0000B3210000}" name="Column8622" dataDxfId="7781"/>
    <tableColumn id="8628" xr3:uid="{00000000-0010-0000-0300-0000B4210000}" name="Column8623" dataDxfId="7780"/>
    <tableColumn id="8629" xr3:uid="{00000000-0010-0000-0300-0000B5210000}" name="Column8624" dataDxfId="7779"/>
    <tableColumn id="8630" xr3:uid="{00000000-0010-0000-0300-0000B6210000}" name="Column8625" dataDxfId="7778"/>
    <tableColumn id="8631" xr3:uid="{00000000-0010-0000-0300-0000B7210000}" name="Column8626" dataDxfId="7777"/>
    <tableColumn id="8632" xr3:uid="{00000000-0010-0000-0300-0000B8210000}" name="Column8627" dataDxfId="7776"/>
    <tableColumn id="8633" xr3:uid="{00000000-0010-0000-0300-0000B9210000}" name="Column8628" dataDxfId="7775"/>
    <tableColumn id="8634" xr3:uid="{00000000-0010-0000-0300-0000BA210000}" name="Column8629" dataDxfId="7774"/>
    <tableColumn id="8635" xr3:uid="{00000000-0010-0000-0300-0000BB210000}" name="Column8630" dataDxfId="7773"/>
    <tableColumn id="8636" xr3:uid="{00000000-0010-0000-0300-0000BC210000}" name="Column8631" dataDxfId="7772"/>
    <tableColumn id="8637" xr3:uid="{00000000-0010-0000-0300-0000BD210000}" name="Column8632" dataDxfId="7771"/>
    <tableColumn id="8638" xr3:uid="{00000000-0010-0000-0300-0000BE210000}" name="Column8633" dataDxfId="7770"/>
    <tableColumn id="8639" xr3:uid="{00000000-0010-0000-0300-0000BF210000}" name="Column8634" dataDxfId="7769"/>
    <tableColumn id="8640" xr3:uid="{00000000-0010-0000-0300-0000C0210000}" name="Column8635" dataDxfId="7768"/>
    <tableColumn id="8641" xr3:uid="{00000000-0010-0000-0300-0000C1210000}" name="Column8636" dataDxfId="7767"/>
    <tableColumn id="8642" xr3:uid="{00000000-0010-0000-0300-0000C2210000}" name="Column8637" dataDxfId="7766"/>
    <tableColumn id="8643" xr3:uid="{00000000-0010-0000-0300-0000C3210000}" name="Column8638" dataDxfId="7765"/>
    <tableColumn id="8644" xr3:uid="{00000000-0010-0000-0300-0000C4210000}" name="Column8639" dataDxfId="7764"/>
    <tableColumn id="8645" xr3:uid="{00000000-0010-0000-0300-0000C5210000}" name="Column8640" dataDxfId="7763"/>
    <tableColumn id="8646" xr3:uid="{00000000-0010-0000-0300-0000C6210000}" name="Column8641" dataDxfId="7762"/>
    <tableColumn id="8647" xr3:uid="{00000000-0010-0000-0300-0000C7210000}" name="Column8642" dataDxfId="7761"/>
    <tableColumn id="8648" xr3:uid="{00000000-0010-0000-0300-0000C8210000}" name="Column8643" dataDxfId="7760"/>
    <tableColumn id="8649" xr3:uid="{00000000-0010-0000-0300-0000C9210000}" name="Column8644" dataDxfId="7759"/>
    <tableColumn id="8650" xr3:uid="{00000000-0010-0000-0300-0000CA210000}" name="Column8645" dataDxfId="7758"/>
    <tableColumn id="8651" xr3:uid="{00000000-0010-0000-0300-0000CB210000}" name="Column8646" dataDxfId="7757"/>
    <tableColumn id="8652" xr3:uid="{00000000-0010-0000-0300-0000CC210000}" name="Column8647" dataDxfId="7756"/>
    <tableColumn id="8653" xr3:uid="{00000000-0010-0000-0300-0000CD210000}" name="Column8648" dataDxfId="7755"/>
    <tableColumn id="8654" xr3:uid="{00000000-0010-0000-0300-0000CE210000}" name="Column8649" dataDxfId="7754"/>
    <tableColumn id="8655" xr3:uid="{00000000-0010-0000-0300-0000CF210000}" name="Column8650" dataDxfId="7753"/>
    <tableColumn id="8656" xr3:uid="{00000000-0010-0000-0300-0000D0210000}" name="Column8651" dataDxfId="7752"/>
    <tableColumn id="8657" xr3:uid="{00000000-0010-0000-0300-0000D1210000}" name="Column8652" dataDxfId="7751"/>
    <tableColumn id="8658" xr3:uid="{00000000-0010-0000-0300-0000D2210000}" name="Column8653" dataDxfId="7750"/>
    <tableColumn id="8659" xr3:uid="{00000000-0010-0000-0300-0000D3210000}" name="Column8654" dataDxfId="7749"/>
    <tableColumn id="8660" xr3:uid="{00000000-0010-0000-0300-0000D4210000}" name="Column8655" dataDxfId="7748"/>
    <tableColumn id="8661" xr3:uid="{00000000-0010-0000-0300-0000D5210000}" name="Column8656" dataDxfId="7747"/>
    <tableColumn id="8662" xr3:uid="{00000000-0010-0000-0300-0000D6210000}" name="Column8657" dataDxfId="7746"/>
    <tableColumn id="8663" xr3:uid="{00000000-0010-0000-0300-0000D7210000}" name="Column8658" dataDxfId="7745"/>
    <tableColumn id="8664" xr3:uid="{00000000-0010-0000-0300-0000D8210000}" name="Column8659" dataDxfId="7744"/>
    <tableColumn id="8665" xr3:uid="{00000000-0010-0000-0300-0000D9210000}" name="Column8660" dataDxfId="7743"/>
    <tableColumn id="8666" xr3:uid="{00000000-0010-0000-0300-0000DA210000}" name="Column8661" dataDxfId="7742"/>
    <tableColumn id="8667" xr3:uid="{00000000-0010-0000-0300-0000DB210000}" name="Column8662" dataDxfId="7741"/>
    <tableColumn id="8668" xr3:uid="{00000000-0010-0000-0300-0000DC210000}" name="Column8663" dataDxfId="7740"/>
    <tableColumn id="8669" xr3:uid="{00000000-0010-0000-0300-0000DD210000}" name="Column8664" dataDxfId="7739"/>
    <tableColumn id="8670" xr3:uid="{00000000-0010-0000-0300-0000DE210000}" name="Column8665" dataDxfId="7738"/>
    <tableColumn id="8671" xr3:uid="{00000000-0010-0000-0300-0000DF210000}" name="Column8666" dataDxfId="7737"/>
    <tableColumn id="8672" xr3:uid="{00000000-0010-0000-0300-0000E0210000}" name="Column8667" dataDxfId="7736"/>
    <tableColumn id="8673" xr3:uid="{00000000-0010-0000-0300-0000E1210000}" name="Column8668" dataDxfId="7735"/>
    <tableColumn id="8674" xr3:uid="{00000000-0010-0000-0300-0000E2210000}" name="Column8669" dataDxfId="7734"/>
    <tableColumn id="8675" xr3:uid="{00000000-0010-0000-0300-0000E3210000}" name="Column8670" dataDxfId="7733"/>
    <tableColumn id="8676" xr3:uid="{00000000-0010-0000-0300-0000E4210000}" name="Column8671" dataDxfId="7732"/>
    <tableColumn id="8677" xr3:uid="{00000000-0010-0000-0300-0000E5210000}" name="Column8672" dataDxfId="7731"/>
    <tableColumn id="8678" xr3:uid="{00000000-0010-0000-0300-0000E6210000}" name="Column8673" dataDxfId="7730"/>
    <tableColumn id="8679" xr3:uid="{00000000-0010-0000-0300-0000E7210000}" name="Column8674" dataDxfId="7729"/>
    <tableColumn id="8680" xr3:uid="{00000000-0010-0000-0300-0000E8210000}" name="Column8675" dataDxfId="7728"/>
    <tableColumn id="8681" xr3:uid="{00000000-0010-0000-0300-0000E9210000}" name="Column8676" dataDxfId="7727"/>
    <tableColumn id="8682" xr3:uid="{00000000-0010-0000-0300-0000EA210000}" name="Column8677" dataDxfId="7726"/>
    <tableColumn id="8683" xr3:uid="{00000000-0010-0000-0300-0000EB210000}" name="Column8678" dataDxfId="7725"/>
    <tableColumn id="8684" xr3:uid="{00000000-0010-0000-0300-0000EC210000}" name="Column8679" dataDxfId="7724"/>
    <tableColumn id="8685" xr3:uid="{00000000-0010-0000-0300-0000ED210000}" name="Column8680" dataDxfId="7723"/>
    <tableColumn id="8686" xr3:uid="{00000000-0010-0000-0300-0000EE210000}" name="Column8681" dataDxfId="7722"/>
    <tableColumn id="8687" xr3:uid="{00000000-0010-0000-0300-0000EF210000}" name="Column8682" dataDxfId="7721"/>
    <tableColumn id="8688" xr3:uid="{00000000-0010-0000-0300-0000F0210000}" name="Column8683" dataDxfId="7720"/>
    <tableColumn id="8689" xr3:uid="{00000000-0010-0000-0300-0000F1210000}" name="Column8684" dataDxfId="7719"/>
    <tableColumn id="8690" xr3:uid="{00000000-0010-0000-0300-0000F2210000}" name="Column8685" dataDxfId="7718"/>
    <tableColumn id="8691" xr3:uid="{00000000-0010-0000-0300-0000F3210000}" name="Column8686" dataDxfId="7717"/>
    <tableColumn id="8692" xr3:uid="{00000000-0010-0000-0300-0000F4210000}" name="Column8687" dataDxfId="7716"/>
    <tableColumn id="8693" xr3:uid="{00000000-0010-0000-0300-0000F5210000}" name="Column8688" dataDxfId="7715"/>
    <tableColumn id="8694" xr3:uid="{00000000-0010-0000-0300-0000F6210000}" name="Column8689" dataDxfId="7714"/>
    <tableColumn id="8695" xr3:uid="{00000000-0010-0000-0300-0000F7210000}" name="Column8690" dataDxfId="7713"/>
    <tableColumn id="8696" xr3:uid="{00000000-0010-0000-0300-0000F8210000}" name="Column8691" dataDxfId="7712"/>
    <tableColumn id="8697" xr3:uid="{00000000-0010-0000-0300-0000F9210000}" name="Column8692" dataDxfId="7711"/>
    <tableColumn id="8698" xr3:uid="{00000000-0010-0000-0300-0000FA210000}" name="Column8693" dataDxfId="7710"/>
    <tableColumn id="8699" xr3:uid="{00000000-0010-0000-0300-0000FB210000}" name="Column8694" dataDxfId="7709"/>
    <tableColumn id="8700" xr3:uid="{00000000-0010-0000-0300-0000FC210000}" name="Column8695" dataDxfId="7708"/>
    <tableColumn id="8701" xr3:uid="{00000000-0010-0000-0300-0000FD210000}" name="Column8696" dataDxfId="7707"/>
    <tableColumn id="8702" xr3:uid="{00000000-0010-0000-0300-0000FE210000}" name="Column8697" dataDxfId="7706"/>
    <tableColumn id="8703" xr3:uid="{00000000-0010-0000-0300-0000FF210000}" name="Column8698" dataDxfId="7705"/>
    <tableColumn id="8704" xr3:uid="{00000000-0010-0000-0300-000000220000}" name="Column8699" dataDxfId="7704"/>
    <tableColumn id="8705" xr3:uid="{00000000-0010-0000-0300-000001220000}" name="Column8700" dataDxfId="7703"/>
    <tableColumn id="8706" xr3:uid="{00000000-0010-0000-0300-000002220000}" name="Column8701" dataDxfId="7702"/>
    <tableColumn id="8707" xr3:uid="{00000000-0010-0000-0300-000003220000}" name="Column8702" dataDxfId="7701"/>
    <tableColumn id="8708" xr3:uid="{00000000-0010-0000-0300-000004220000}" name="Column8703" dataDxfId="7700"/>
    <tableColumn id="8709" xr3:uid="{00000000-0010-0000-0300-000005220000}" name="Column8704" dataDxfId="7699"/>
    <tableColumn id="8710" xr3:uid="{00000000-0010-0000-0300-000006220000}" name="Column8705" dataDxfId="7698"/>
    <tableColumn id="8711" xr3:uid="{00000000-0010-0000-0300-000007220000}" name="Column8706" dataDxfId="7697"/>
    <tableColumn id="8712" xr3:uid="{00000000-0010-0000-0300-000008220000}" name="Column8707" dataDxfId="7696"/>
    <tableColumn id="8713" xr3:uid="{00000000-0010-0000-0300-000009220000}" name="Column8708" dataDxfId="7695"/>
    <tableColumn id="8714" xr3:uid="{00000000-0010-0000-0300-00000A220000}" name="Column8709" dataDxfId="7694"/>
    <tableColumn id="8715" xr3:uid="{00000000-0010-0000-0300-00000B220000}" name="Column8710" dataDxfId="7693"/>
    <tableColumn id="8716" xr3:uid="{00000000-0010-0000-0300-00000C220000}" name="Column8711" dataDxfId="7692"/>
    <tableColumn id="8717" xr3:uid="{00000000-0010-0000-0300-00000D220000}" name="Column8712" dataDxfId="7691"/>
    <tableColumn id="8718" xr3:uid="{00000000-0010-0000-0300-00000E220000}" name="Column8713" dataDxfId="7690"/>
    <tableColumn id="8719" xr3:uid="{00000000-0010-0000-0300-00000F220000}" name="Column8714" dataDxfId="7689"/>
    <tableColumn id="8720" xr3:uid="{00000000-0010-0000-0300-000010220000}" name="Column8715" dataDxfId="7688"/>
    <tableColumn id="8721" xr3:uid="{00000000-0010-0000-0300-000011220000}" name="Column8716" dataDxfId="7687"/>
    <tableColumn id="8722" xr3:uid="{00000000-0010-0000-0300-000012220000}" name="Column8717" dataDxfId="7686"/>
    <tableColumn id="8723" xr3:uid="{00000000-0010-0000-0300-000013220000}" name="Column8718" dataDxfId="7685"/>
    <tableColumn id="8724" xr3:uid="{00000000-0010-0000-0300-000014220000}" name="Column8719" dataDxfId="7684"/>
    <tableColumn id="8725" xr3:uid="{00000000-0010-0000-0300-000015220000}" name="Column8720" dataDxfId="7683"/>
    <tableColumn id="8726" xr3:uid="{00000000-0010-0000-0300-000016220000}" name="Column8721" dataDxfId="7682"/>
    <tableColumn id="8727" xr3:uid="{00000000-0010-0000-0300-000017220000}" name="Column8722" dataDxfId="7681"/>
    <tableColumn id="8728" xr3:uid="{00000000-0010-0000-0300-000018220000}" name="Column8723" dataDxfId="7680"/>
    <tableColumn id="8729" xr3:uid="{00000000-0010-0000-0300-000019220000}" name="Column8724" dataDxfId="7679"/>
    <tableColumn id="8730" xr3:uid="{00000000-0010-0000-0300-00001A220000}" name="Column8725" dataDxfId="7678"/>
    <tableColumn id="8731" xr3:uid="{00000000-0010-0000-0300-00001B220000}" name="Column8726" dataDxfId="7677"/>
    <tableColumn id="8732" xr3:uid="{00000000-0010-0000-0300-00001C220000}" name="Column8727" dataDxfId="7676"/>
    <tableColumn id="8733" xr3:uid="{00000000-0010-0000-0300-00001D220000}" name="Column8728" dataDxfId="7675"/>
    <tableColumn id="8734" xr3:uid="{00000000-0010-0000-0300-00001E220000}" name="Column8729" dataDxfId="7674"/>
    <tableColumn id="8735" xr3:uid="{00000000-0010-0000-0300-00001F220000}" name="Column8730" dataDxfId="7673"/>
    <tableColumn id="8736" xr3:uid="{00000000-0010-0000-0300-000020220000}" name="Column8731" dataDxfId="7672"/>
    <tableColumn id="8737" xr3:uid="{00000000-0010-0000-0300-000021220000}" name="Column8732" dataDxfId="7671"/>
    <tableColumn id="8738" xr3:uid="{00000000-0010-0000-0300-000022220000}" name="Column8733" dataDxfId="7670"/>
    <tableColumn id="8739" xr3:uid="{00000000-0010-0000-0300-000023220000}" name="Column8734" dataDxfId="7669"/>
    <tableColumn id="8740" xr3:uid="{00000000-0010-0000-0300-000024220000}" name="Column8735" dataDxfId="7668"/>
    <tableColumn id="8741" xr3:uid="{00000000-0010-0000-0300-000025220000}" name="Column8736" dataDxfId="7667"/>
    <tableColumn id="8742" xr3:uid="{00000000-0010-0000-0300-000026220000}" name="Column8737" dataDxfId="7666"/>
    <tableColumn id="8743" xr3:uid="{00000000-0010-0000-0300-000027220000}" name="Column8738" dataDxfId="7665"/>
    <tableColumn id="8744" xr3:uid="{00000000-0010-0000-0300-000028220000}" name="Column8739" dataDxfId="7664"/>
    <tableColumn id="8745" xr3:uid="{00000000-0010-0000-0300-000029220000}" name="Column8740" dataDxfId="7663"/>
    <tableColumn id="8746" xr3:uid="{00000000-0010-0000-0300-00002A220000}" name="Column8741" dataDxfId="7662"/>
    <tableColumn id="8747" xr3:uid="{00000000-0010-0000-0300-00002B220000}" name="Column8742" dataDxfId="7661"/>
    <tableColumn id="8748" xr3:uid="{00000000-0010-0000-0300-00002C220000}" name="Column8743" dataDxfId="7660"/>
    <tableColumn id="8749" xr3:uid="{00000000-0010-0000-0300-00002D220000}" name="Column8744" dataDxfId="7659"/>
    <tableColumn id="8750" xr3:uid="{00000000-0010-0000-0300-00002E220000}" name="Column8745" dataDxfId="7658"/>
    <tableColumn id="8751" xr3:uid="{00000000-0010-0000-0300-00002F220000}" name="Column8746" dataDxfId="7657"/>
    <tableColumn id="8752" xr3:uid="{00000000-0010-0000-0300-000030220000}" name="Column8747" dataDxfId="7656"/>
    <tableColumn id="8753" xr3:uid="{00000000-0010-0000-0300-000031220000}" name="Column8748" dataDxfId="7655"/>
    <tableColumn id="8754" xr3:uid="{00000000-0010-0000-0300-000032220000}" name="Column8749" dataDxfId="7654"/>
    <tableColumn id="8755" xr3:uid="{00000000-0010-0000-0300-000033220000}" name="Column8750" dataDxfId="7653"/>
    <tableColumn id="8756" xr3:uid="{00000000-0010-0000-0300-000034220000}" name="Column8751" dataDxfId="7652"/>
    <tableColumn id="8757" xr3:uid="{00000000-0010-0000-0300-000035220000}" name="Column8752" dataDxfId="7651"/>
    <tableColumn id="8758" xr3:uid="{00000000-0010-0000-0300-000036220000}" name="Column8753" dataDxfId="7650"/>
    <tableColumn id="8759" xr3:uid="{00000000-0010-0000-0300-000037220000}" name="Column8754" dataDxfId="7649"/>
    <tableColumn id="8760" xr3:uid="{00000000-0010-0000-0300-000038220000}" name="Column8755" dataDxfId="7648"/>
    <tableColumn id="8761" xr3:uid="{00000000-0010-0000-0300-000039220000}" name="Column8756" dataDxfId="7647"/>
    <tableColumn id="8762" xr3:uid="{00000000-0010-0000-0300-00003A220000}" name="Column8757" dataDxfId="7646"/>
    <tableColumn id="8763" xr3:uid="{00000000-0010-0000-0300-00003B220000}" name="Column8758" dataDxfId="7645"/>
    <tableColumn id="8764" xr3:uid="{00000000-0010-0000-0300-00003C220000}" name="Column8759" dataDxfId="7644"/>
    <tableColumn id="8765" xr3:uid="{00000000-0010-0000-0300-00003D220000}" name="Column8760" dataDxfId="7643"/>
    <tableColumn id="8766" xr3:uid="{00000000-0010-0000-0300-00003E220000}" name="Column8761" dataDxfId="7642"/>
    <tableColumn id="8767" xr3:uid="{00000000-0010-0000-0300-00003F220000}" name="Column8762" dataDxfId="7641"/>
    <tableColumn id="8768" xr3:uid="{00000000-0010-0000-0300-000040220000}" name="Column8763" dataDxfId="7640"/>
    <tableColumn id="8769" xr3:uid="{00000000-0010-0000-0300-000041220000}" name="Column8764" dataDxfId="7639"/>
    <tableColumn id="8770" xr3:uid="{00000000-0010-0000-0300-000042220000}" name="Column8765" dataDxfId="7638"/>
    <tableColumn id="8771" xr3:uid="{00000000-0010-0000-0300-000043220000}" name="Column8766" dataDxfId="7637"/>
    <tableColumn id="8772" xr3:uid="{00000000-0010-0000-0300-000044220000}" name="Column8767" dataDxfId="7636"/>
    <tableColumn id="8773" xr3:uid="{00000000-0010-0000-0300-000045220000}" name="Column8768" dataDxfId="7635"/>
    <tableColumn id="8774" xr3:uid="{00000000-0010-0000-0300-000046220000}" name="Column8769" dataDxfId="7634"/>
    <tableColumn id="8775" xr3:uid="{00000000-0010-0000-0300-000047220000}" name="Column8770" dataDxfId="7633"/>
    <tableColumn id="8776" xr3:uid="{00000000-0010-0000-0300-000048220000}" name="Column8771" dataDxfId="7632"/>
    <tableColumn id="8777" xr3:uid="{00000000-0010-0000-0300-000049220000}" name="Column8772" dataDxfId="7631"/>
    <tableColumn id="8778" xr3:uid="{00000000-0010-0000-0300-00004A220000}" name="Column8773" dataDxfId="7630"/>
    <tableColumn id="8779" xr3:uid="{00000000-0010-0000-0300-00004B220000}" name="Column8774" dataDxfId="7629"/>
    <tableColumn id="8780" xr3:uid="{00000000-0010-0000-0300-00004C220000}" name="Column8775" dataDxfId="7628"/>
    <tableColumn id="8781" xr3:uid="{00000000-0010-0000-0300-00004D220000}" name="Column8776" dataDxfId="7627"/>
    <tableColumn id="8782" xr3:uid="{00000000-0010-0000-0300-00004E220000}" name="Column8777" dataDxfId="7626"/>
    <tableColumn id="8783" xr3:uid="{00000000-0010-0000-0300-00004F220000}" name="Column8778" dataDxfId="7625"/>
    <tableColumn id="8784" xr3:uid="{00000000-0010-0000-0300-000050220000}" name="Column8779" dataDxfId="7624"/>
    <tableColumn id="8785" xr3:uid="{00000000-0010-0000-0300-000051220000}" name="Column8780" dataDxfId="7623"/>
    <tableColumn id="8786" xr3:uid="{00000000-0010-0000-0300-000052220000}" name="Column8781" dataDxfId="7622"/>
    <tableColumn id="8787" xr3:uid="{00000000-0010-0000-0300-000053220000}" name="Column8782" dataDxfId="7621"/>
    <tableColumn id="8788" xr3:uid="{00000000-0010-0000-0300-000054220000}" name="Column8783" dataDxfId="7620"/>
    <tableColumn id="8789" xr3:uid="{00000000-0010-0000-0300-000055220000}" name="Column8784" dataDxfId="7619"/>
    <tableColumn id="8790" xr3:uid="{00000000-0010-0000-0300-000056220000}" name="Column8785" dataDxfId="7618"/>
    <tableColumn id="8791" xr3:uid="{00000000-0010-0000-0300-000057220000}" name="Column8786" dataDxfId="7617"/>
    <tableColumn id="8792" xr3:uid="{00000000-0010-0000-0300-000058220000}" name="Column8787" dataDxfId="7616"/>
    <tableColumn id="8793" xr3:uid="{00000000-0010-0000-0300-000059220000}" name="Column8788" dataDxfId="7615"/>
    <tableColumn id="8794" xr3:uid="{00000000-0010-0000-0300-00005A220000}" name="Column8789" dataDxfId="7614"/>
    <tableColumn id="8795" xr3:uid="{00000000-0010-0000-0300-00005B220000}" name="Column8790" dataDxfId="7613"/>
    <tableColumn id="8796" xr3:uid="{00000000-0010-0000-0300-00005C220000}" name="Column8791" dataDxfId="7612"/>
    <tableColumn id="8797" xr3:uid="{00000000-0010-0000-0300-00005D220000}" name="Column8792" dataDxfId="7611"/>
    <tableColumn id="8798" xr3:uid="{00000000-0010-0000-0300-00005E220000}" name="Column8793" dataDxfId="7610"/>
    <tableColumn id="8799" xr3:uid="{00000000-0010-0000-0300-00005F220000}" name="Column8794" dataDxfId="7609"/>
    <tableColumn id="8800" xr3:uid="{00000000-0010-0000-0300-000060220000}" name="Column8795" dataDxfId="7608"/>
    <tableColumn id="8801" xr3:uid="{00000000-0010-0000-0300-000061220000}" name="Column8796" dataDxfId="7607"/>
    <tableColumn id="8802" xr3:uid="{00000000-0010-0000-0300-000062220000}" name="Column8797" dataDxfId="7606"/>
    <tableColumn id="8803" xr3:uid="{00000000-0010-0000-0300-000063220000}" name="Column8798" dataDxfId="7605"/>
    <tableColumn id="8804" xr3:uid="{00000000-0010-0000-0300-000064220000}" name="Column8799" dataDxfId="7604"/>
    <tableColumn id="8805" xr3:uid="{00000000-0010-0000-0300-000065220000}" name="Column8800" dataDxfId="7603"/>
    <tableColumn id="8806" xr3:uid="{00000000-0010-0000-0300-000066220000}" name="Column8801" dataDxfId="7602"/>
    <tableColumn id="8807" xr3:uid="{00000000-0010-0000-0300-000067220000}" name="Column8802" dataDxfId="7601"/>
    <tableColumn id="8808" xr3:uid="{00000000-0010-0000-0300-000068220000}" name="Column8803" dataDxfId="7600"/>
    <tableColumn id="8809" xr3:uid="{00000000-0010-0000-0300-000069220000}" name="Column8804" dataDxfId="7599"/>
    <tableColumn id="8810" xr3:uid="{00000000-0010-0000-0300-00006A220000}" name="Column8805" dataDxfId="7598"/>
    <tableColumn id="8811" xr3:uid="{00000000-0010-0000-0300-00006B220000}" name="Column8806" dataDxfId="7597"/>
    <tableColumn id="8812" xr3:uid="{00000000-0010-0000-0300-00006C220000}" name="Column8807" dataDxfId="7596"/>
    <tableColumn id="8813" xr3:uid="{00000000-0010-0000-0300-00006D220000}" name="Column8808" dataDxfId="7595"/>
    <tableColumn id="8814" xr3:uid="{00000000-0010-0000-0300-00006E220000}" name="Column8809" dataDxfId="7594"/>
    <tableColumn id="8815" xr3:uid="{00000000-0010-0000-0300-00006F220000}" name="Column8810" dataDxfId="7593"/>
    <tableColumn id="8816" xr3:uid="{00000000-0010-0000-0300-000070220000}" name="Column8811" dataDxfId="7592"/>
    <tableColumn id="8817" xr3:uid="{00000000-0010-0000-0300-000071220000}" name="Column8812" dataDxfId="7591"/>
    <tableColumn id="8818" xr3:uid="{00000000-0010-0000-0300-000072220000}" name="Column8813" dataDxfId="7590"/>
    <tableColumn id="8819" xr3:uid="{00000000-0010-0000-0300-000073220000}" name="Column8814" dataDxfId="7589"/>
    <tableColumn id="8820" xr3:uid="{00000000-0010-0000-0300-000074220000}" name="Column8815" dataDxfId="7588"/>
    <tableColumn id="8821" xr3:uid="{00000000-0010-0000-0300-000075220000}" name="Column8816" dataDxfId="7587"/>
    <tableColumn id="8822" xr3:uid="{00000000-0010-0000-0300-000076220000}" name="Column8817" dataDxfId="7586"/>
    <tableColumn id="8823" xr3:uid="{00000000-0010-0000-0300-000077220000}" name="Column8818" dataDxfId="7585"/>
    <tableColumn id="8824" xr3:uid="{00000000-0010-0000-0300-000078220000}" name="Column8819" dataDxfId="7584"/>
    <tableColumn id="8825" xr3:uid="{00000000-0010-0000-0300-000079220000}" name="Column8820" dataDxfId="7583"/>
    <tableColumn id="8826" xr3:uid="{00000000-0010-0000-0300-00007A220000}" name="Column8821" dataDxfId="7582"/>
    <tableColumn id="8827" xr3:uid="{00000000-0010-0000-0300-00007B220000}" name="Column8822" dataDxfId="7581"/>
    <tableColumn id="8828" xr3:uid="{00000000-0010-0000-0300-00007C220000}" name="Column8823" dataDxfId="7580"/>
    <tableColumn id="8829" xr3:uid="{00000000-0010-0000-0300-00007D220000}" name="Column8824" dataDxfId="7579"/>
    <tableColumn id="8830" xr3:uid="{00000000-0010-0000-0300-00007E220000}" name="Column8825" dataDxfId="7578"/>
    <tableColumn id="8831" xr3:uid="{00000000-0010-0000-0300-00007F220000}" name="Column8826" dataDxfId="7577"/>
    <tableColumn id="8832" xr3:uid="{00000000-0010-0000-0300-000080220000}" name="Column8827" dataDxfId="7576"/>
    <tableColumn id="8833" xr3:uid="{00000000-0010-0000-0300-000081220000}" name="Column8828" dataDxfId="7575"/>
    <tableColumn id="8834" xr3:uid="{00000000-0010-0000-0300-000082220000}" name="Column8829" dataDxfId="7574"/>
    <tableColumn id="8835" xr3:uid="{00000000-0010-0000-0300-000083220000}" name="Column8830" dataDxfId="7573"/>
    <tableColumn id="8836" xr3:uid="{00000000-0010-0000-0300-000084220000}" name="Column8831" dataDxfId="7572"/>
    <tableColumn id="8837" xr3:uid="{00000000-0010-0000-0300-000085220000}" name="Column8832" dataDxfId="7571"/>
    <tableColumn id="8838" xr3:uid="{00000000-0010-0000-0300-000086220000}" name="Column8833" dataDxfId="7570"/>
    <tableColumn id="8839" xr3:uid="{00000000-0010-0000-0300-000087220000}" name="Column8834" dataDxfId="7569"/>
    <tableColumn id="8840" xr3:uid="{00000000-0010-0000-0300-000088220000}" name="Column8835" dataDxfId="7568"/>
    <tableColumn id="8841" xr3:uid="{00000000-0010-0000-0300-000089220000}" name="Column8836" dataDxfId="7567"/>
    <tableColumn id="8842" xr3:uid="{00000000-0010-0000-0300-00008A220000}" name="Column8837" dataDxfId="7566"/>
    <tableColumn id="8843" xr3:uid="{00000000-0010-0000-0300-00008B220000}" name="Column8838" dataDxfId="7565"/>
    <tableColumn id="8844" xr3:uid="{00000000-0010-0000-0300-00008C220000}" name="Column8839" dataDxfId="7564"/>
    <tableColumn id="8845" xr3:uid="{00000000-0010-0000-0300-00008D220000}" name="Column8840" dataDxfId="7563"/>
    <tableColumn id="8846" xr3:uid="{00000000-0010-0000-0300-00008E220000}" name="Column8841" dataDxfId="7562"/>
    <tableColumn id="8847" xr3:uid="{00000000-0010-0000-0300-00008F220000}" name="Column8842" dataDxfId="7561"/>
    <tableColumn id="8848" xr3:uid="{00000000-0010-0000-0300-000090220000}" name="Column8843" dataDxfId="7560"/>
    <tableColumn id="8849" xr3:uid="{00000000-0010-0000-0300-000091220000}" name="Column8844" dataDxfId="7559"/>
    <tableColumn id="8850" xr3:uid="{00000000-0010-0000-0300-000092220000}" name="Column8845" dataDxfId="7558"/>
    <tableColumn id="8851" xr3:uid="{00000000-0010-0000-0300-000093220000}" name="Column8846" dataDxfId="7557"/>
    <tableColumn id="8852" xr3:uid="{00000000-0010-0000-0300-000094220000}" name="Column8847" dataDxfId="7556"/>
    <tableColumn id="8853" xr3:uid="{00000000-0010-0000-0300-000095220000}" name="Column8848" dataDxfId="7555"/>
    <tableColumn id="8854" xr3:uid="{00000000-0010-0000-0300-000096220000}" name="Column8849" dataDxfId="7554"/>
    <tableColumn id="8855" xr3:uid="{00000000-0010-0000-0300-000097220000}" name="Column8850" dataDxfId="7553"/>
    <tableColumn id="8856" xr3:uid="{00000000-0010-0000-0300-000098220000}" name="Column8851" dataDxfId="7552"/>
    <tableColumn id="8857" xr3:uid="{00000000-0010-0000-0300-000099220000}" name="Column8852" dataDxfId="7551"/>
    <tableColumn id="8858" xr3:uid="{00000000-0010-0000-0300-00009A220000}" name="Column8853" dataDxfId="7550"/>
    <tableColumn id="8859" xr3:uid="{00000000-0010-0000-0300-00009B220000}" name="Column8854" dataDxfId="7549"/>
    <tableColumn id="8860" xr3:uid="{00000000-0010-0000-0300-00009C220000}" name="Column8855" dataDxfId="7548"/>
    <tableColumn id="8861" xr3:uid="{00000000-0010-0000-0300-00009D220000}" name="Column8856" dataDxfId="7547"/>
    <tableColumn id="8862" xr3:uid="{00000000-0010-0000-0300-00009E220000}" name="Column8857" dataDxfId="7546"/>
    <tableColumn id="8863" xr3:uid="{00000000-0010-0000-0300-00009F220000}" name="Column8858" dataDxfId="7545"/>
    <tableColumn id="8864" xr3:uid="{00000000-0010-0000-0300-0000A0220000}" name="Column8859" dataDxfId="7544"/>
    <tableColumn id="8865" xr3:uid="{00000000-0010-0000-0300-0000A1220000}" name="Column8860" dataDxfId="7543"/>
    <tableColumn id="8866" xr3:uid="{00000000-0010-0000-0300-0000A2220000}" name="Column8861" dataDxfId="7542"/>
    <tableColumn id="8867" xr3:uid="{00000000-0010-0000-0300-0000A3220000}" name="Column8862" dataDxfId="7541"/>
    <tableColumn id="8868" xr3:uid="{00000000-0010-0000-0300-0000A4220000}" name="Column8863" dataDxfId="7540"/>
    <tableColumn id="8869" xr3:uid="{00000000-0010-0000-0300-0000A5220000}" name="Column8864" dataDxfId="7539"/>
    <tableColumn id="8870" xr3:uid="{00000000-0010-0000-0300-0000A6220000}" name="Column8865" dataDxfId="7538"/>
    <tableColumn id="8871" xr3:uid="{00000000-0010-0000-0300-0000A7220000}" name="Column8866" dataDxfId="7537"/>
    <tableColumn id="8872" xr3:uid="{00000000-0010-0000-0300-0000A8220000}" name="Column8867" dataDxfId="7536"/>
    <tableColumn id="8873" xr3:uid="{00000000-0010-0000-0300-0000A9220000}" name="Column8868" dataDxfId="7535"/>
    <tableColumn id="8874" xr3:uid="{00000000-0010-0000-0300-0000AA220000}" name="Column8869" dataDxfId="7534"/>
    <tableColumn id="8875" xr3:uid="{00000000-0010-0000-0300-0000AB220000}" name="Column8870" dataDxfId="7533"/>
    <tableColumn id="8876" xr3:uid="{00000000-0010-0000-0300-0000AC220000}" name="Column8871" dataDxfId="7532"/>
    <tableColumn id="8877" xr3:uid="{00000000-0010-0000-0300-0000AD220000}" name="Column8872" dataDxfId="7531"/>
    <tableColumn id="8878" xr3:uid="{00000000-0010-0000-0300-0000AE220000}" name="Column8873" dataDxfId="7530"/>
    <tableColumn id="8879" xr3:uid="{00000000-0010-0000-0300-0000AF220000}" name="Column8874" dataDxfId="7529"/>
    <tableColumn id="8880" xr3:uid="{00000000-0010-0000-0300-0000B0220000}" name="Column8875" dataDxfId="7528"/>
    <tableColumn id="8881" xr3:uid="{00000000-0010-0000-0300-0000B1220000}" name="Column8876" dataDxfId="7527"/>
    <tableColumn id="8882" xr3:uid="{00000000-0010-0000-0300-0000B2220000}" name="Column8877" dataDxfId="7526"/>
    <tableColumn id="8883" xr3:uid="{00000000-0010-0000-0300-0000B3220000}" name="Column8878" dataDxfId="7525"/>
    <tableColumn id="8884" xr3:uid="{00000000-0010-0000-0300-0000B4220000}" name="Column8879" dataDxfId="7524"/>
    <tableColumn id="8885" xr3:uid="{00000000-0010-0000-0300-0000B5220000}" name="Column8880" dataDxfId="7523"/>
    <tableColumn id="8886" xr3:uid="{00000000-0010-0000-0300-0000B6220000}" name="Column8881" dataDxfId="7522"/>
    <tableColumn id="8887" xr3:uid="{00000000-0010-0000-0300-0000B7220000}" name="Column8882" dataDxfId="7521"/>
    <tableColumn id="8888" xr3:uid="{00000000-0010-0000-0300-0000B8220000}" name="Column8883" dataDxfId="7520"/>
    <tableColumn id="8889" xr3:uid="{00000000-0010-0000-0300-0000B9220000}" name="Column8884" dataDxfId="7519"/>
    <tableColumn id="8890" xr3:uid="{00000000-0010-0000-0300-0000BA220000}" name="Column8885" dataDxfId="7518"/>
    <tableColumn id="8891" xr3:uid="{00000000-0010-0000-0300-0000BB220000}" name="Column8886" dataDxfId="7517"/>
    <tableColumn id="8892" xr3:uid="{00000000-0010-0000-0300-0000BC220000}" name="Column8887" dataDxfId="7516"/>
    <tableColumn id="8893" xr3:uid="{00000000-0010-0000-0300-0000BD220000}" name="Column8888" dataDxfId="7515"/>
    <tableColumn id="8894" xr3:uid="{00000000-0010-0000-0300-0000BE220000}" name="Column8889" dataDxfId="7514"/>
    <tableColumn id="8895" xr3:uid="{00000000-0010-0000-0300-0000BF220000}" name="Column8890" dataDxfId="7513"/>
    <tableColumn id="8896" xr3:uid="{00000000-0010-0000-0300-0000C0220000}" name="Column8891" dataDxfId="7512"/>
    <tableColumn id="8897" xr3:uid="{00000000-0010-0000-0300-0000C1220000}" name="Column8892" dataDxfId="7511"/>
    <tableColumn id="8898" xr3:uid="{00000000-0010-0000-0300-0000C2220000}" name="Column8893" dataDxfId="7510"/>
    <tableColumn id="8899" xr3:uid="{00000000-0010-0000-0300-0000C3220000}" name="Column8894" dataDxfId="7509"/>
    <tableColumn id="8900" xr3:uid="{00000000-0010-0000-0300-0000C4220000}" name="Column8895" dataDxfId="7508"/>
    <tableColumn id="8901" xr3:uid="{00000000-0010-0000-0300-0000C5220000}" name="Column8896" dataDxfId="7507"/>
    <tableColumn id="8902" xr3:uid="{00000000-0010-0000-0300-0000C6220000}" name="Column8897" dataDxfId="7506"/>
    <tableColumn id="8903" xr3:uid="{00000000-0010-0000-0300-0000C7220000}" name="Column8898" dataDxfId="7505"/>
    <tableColumn id="8904" xr3:uid="{00000000-0010-0000-0300-0000C8220000}" name="Column8899" dataDxfId="7504"/>
    <tableColumn id="8905" xr3:uid="{00000000-0010-0000-0300-0000C9220000}" name="Column8900" dataDxfId="7503"/>
    <tableColumn id="8906" xr3:uid="{00000000-0010-0000-0300-0000CA220000}" name="Column8901" dataDxfId="7502"/>
    <tableColumn id="8907" xr3:uid="{00000000-0010-0000-0300-0000CB220000}" name="Column8902" dataDxfId="7501"/>
    <tableColumn id="8908" xr3:uid="{00000000-0010-0000-0300-0000CC220000}" name="Column8903" dataDxfId="7500"/>
    <tableColumn id="8909" xr3:uid="{00000000-0010-0000-0300-0000CD220000}" name="Column8904" dataDxfId="7499"/>
    <tableColumn id="8910" xr3:uid="{00000000-0010-0000-0300-0000CE220000}" name="Column8905" dataDxfId="7498"/>
    <tableColumn id="8911" xr3:uid="{00000000-0010-0000-0300-0000CF220000}" name="Column8906" dataDxfId="7497"/>
    <tableColumn id="8912" xr3:uid="{00000000-0010-0000-0300-0000D0220000}" name="Column8907" dataDxfId="7496"/>
    <tableColumn id="8913" xr3:uid="{00000000-0010-0000-0300-0000D1220000}" name="Column8908" dataDxfId="7495"/>
    <tableColumn id="8914" xr3:uid="{00000000-0010-0000-0300-0000D2220000}" name="Column8909" dataDxfId="7494"/>
    <tableColumn id="8915" xr3:uid="{00000000-0010-0000-0300-0000D3220000}" name="Column8910" dataDxfId="7493"/>
    <tableColumn id="8916" xr3:uid="{00000000-0010-0000-0300-0000D4220000}" name="Column8911" dataDxfId="7492"/>
    <tableColumn id="8917" xr3:uid="{00000000-0010-0000-0300-0000D5220000}" name="Column8912" dataDxfId="7491"/>
    <tableColumn id="8918" xr3:uid="{00000000-0010-0000-0300-0000D6220000}" name="Column8913" dataDxfId="7490"/>
    <tableColumn id="8919" xr3:uid="{00000000-0010-0000-0300-0000D7220000}" name="Column8914" dataDxfId="7489"/>
    <tableColumn id="8920" xr3:uid="{00000000-0010-0000-0300-0000D8220000}" name="Column8915" dataDxfId="7488"/>
    <tableColumn id="8921" xr3:uid="{00000000-0010-0000-0300-0000D9220000}" name="Column8916" dataDxfId="7487"/>
    <tableColumn id="8922" xr3:uid="{00000000-0010-0000-0300-0000DA220000}" name="Column8917" dataDxfId="7486"/>
    <tableColumn id="8923" xr3:uid="{00000000-0010-0000-0300-0000DB220000}" name="Column8918" dataDxfId="7485"/>
    <tableColumn id="8924" xr3:uid="{00000000-0010-0000-0300-0000DC220000}" name="Column8919" dataDxfId="7484"/>
    <tableColumn id="8925" xr3:uid="{00000000-0010-0000-0300-0000DD220000}" name="Column8920" dataDxfId="7483"/>
    <tableColumn id="8926" xr3:uid="{00000000-0010-0000-0300-0000DE220000}" name="Column8921" dataDxfId="7482"/>
    <tableColumn id="8927" xr3:uid="{00000000-0010-0000-0300-0000DF220000}" name="Column8922" dataDxfId="7481"/>
    <tableColumn id="8928" xr3:uid="{00000000-0010-0000-0300-0000E0220000}" name="Column8923" dataDxfId="7480"/>
    <tableColumn id="8929" xr3:uid="{00000000-0010-0000-0300-0000E1220000}" name="Column8924" dataDxfId="7479"/>
    <tableColumn id="8930" xr3:uid="{00000000-0010-0000-0300-0000E2220000}" name="Column8925" dataDxfId="7478"/>
    <tableColumn id="8931" xr3:uid="{00000000-0010-0000-0300-0000E3220000}" name="Column8926" dataDxfId="7477"/>
    <tableColumn id="8932" xr3:uid="{00000000-0010-0000-0300-0000E4220000}" name="Column8927" dataDxfId="7476"/>
    <tableColumn id="8933" xr3:uid="{00000000-0010-0000-0300-0000E5220000}" name="Column8928" dataDxfId="7475"/>
    <tableColumn id="8934" xr3:uid="{00000000-0010-0000-0300-0000E6220000}" name="Column8929" dataDxfId="7474"/>
    <tableColumn id="8935" xr3:uid="{00000000-0010-0000-0300-0000E7220000}" name="Column8930" dataDxfId="7473"/>
    <tableColumn id="8936" xr3:uid="{00000000-0010-0000-0300-0000E8220000}" name="Column8931" dataDxfId="7472"/>
    <tableColumn id="8937" xr3:uid="{00000000-0010-0000-0300-0000E9220000}" name="Column8932" dataDxfId="7471"/>
    <tableColumn id="8938" xr3:uid="{00000000-0010-0000-0300-0000EA220000}" name="Column8933" dataDxfId="7470"/>
    <tableColumn id="8939" xr3:uid="{00000000-0010-0000-0300-0000EB220000}" name="Column8934" dataDxfId="7469"/>
    <tableColumn id="8940" xr3:uid="{00000000-0010-0000-0300-0000EC220000}" name="Column8935" dataDxfId="7468"/>
    <tableColumn id="8941" xr3:uid="{00000000-0010-0000-0300-0000ED220000}" name="Column8936" dataDxfId="7467"/>
    <tableColumn id="8942" xr3:uid="{00000000-0010-0000-0300-0000EE220000}" name="Column8937" dataDxfId="7466"/>
    <tableColumn id="8943" xr3:uid="{00000000-0010-0000-0300-0000EF220000}" name="Column8938" dataDxfId="7465"/>
    <tableColumn id="8944" xr3:uid="{00000000-0010-0000-0300-0000F0220000}" name="Column8939" dataDxfId="7464"/>
    <tableColumn id="8945" xr3:uid="{00000000-0010-0000-0300-0000F1220000}" name="Column8940" dataDxfId="7463"/>
    <tableColumn id="8946" xr3:uid="{00000000-0010-0000-0300-0000F2220000}" name="Column8941" dataDxfId="7462"/>
    <tableColumn id="8947" xr3:uid="{00000000-0010-0000-0300-0000F3220000}" name="Column8942" dataDxfId="7461"/>
    <tableColumn id="8948" xr3:uid="{00000000-0010-0000-0300-0000F4220000}" name="Column8943" dataDxfId="7460"/>
    <tableColumn id="8949" xr3:uid="{00000000-0010-0000-0300-0000F5220000}" name="Column8944" dataDxfId="7459"/>
    <tableColumn id="8950" xr3:uid="{00000000-0010-0000-0300-0000F6220000}" name="Column8945" dataDxfId="7458"/>
    <tableColumn id="8951" xr3:uid="{00000000-0010-0000-0300-0000F7220000}" name="Column8946" dataDxfId="7457"/>
    <tableColumn id="8952" xr3:uid="{00000000-0010-0000-0300-0000F8220000}" name="Column8947" dataDxfId="7456"/>
    <tableColumn id="8953" xr3:uid="{00000000-0010-0000-0300-0000F9220000}" name="Column8948" dataDxfId="7455"/>
    <tableColumn id="8954" xr3:uid="{00000000-0010-0000-0300-0000FA220000}" name="Column8949" dataDxfId="7454"/>
    <tableColumn id="8955" xr3:uid="{00000000-0010-0000-0300-0000FB220000}" name="Column8950" dataDxfId="7453"/>
    <tableColumn id="8956" xr3:uid="{00000000-0010-0000-0300-0000FC220000}" name="Column8951" dataDxfId="7452"/>
    <tableColumn id="8957" xr3:uid="{00000000-0010-0000-0300-0000FD220000}" name="Column8952" dataDxfId="7451"/>
    <tableColumn id="8958" xr3:uid="{00000000-0010-0000-0300-0000FE220000}" name="Column8953" dataDxfId="7450"/>
    <tableColumn id="8959" xr3:uid="{00000000-0010-0000-0300-0000FF220000}" name="Column8954" dataDxfId="7449"/>
    <tableColumn id="8960" xr3:uid="{00000000-0010-0000-0300-000000230000}" name="Column8955" dataDxfId="7448"/>
    <tableColumn id="8961" xr3:uid="{00000000-0010-0000-0300-000001230000}" name="Column8956" dataDxfId="7447"/>
    <tableColumn id="8962" xr3:uid="{00000000-0010-0000-0300-000002230000}" name="Column8957" dataDxfId="7446"/>
    <tableColumn id="8963" xr3:uid="{00000000-0010-0000-0300-000003230000}" name="Column8958" dataDxfId="7445"/>
    <tableColumn id="8964" xr3:uid="{00000000-0010-0000-0300-000004230000}" name="Column8959" dataDxfId="7444"/>
    <tableColumn id="8965" xr3:uid="{00000000-0010-0000-0300-000005230000}" name="Column8960" dataDxfId="7443"/>
    <tableColumn id="8966" xr3:uid="{00000000-0010-0000-0300-000006230000}" name="Column8961" dataDxfId="7442"/>
    <tableColumn id="8967" xr3:uid="{00000000-0010-0000-0300-000007230000}" name="Column8962" dataDxfId="7441"/>
    <tableColumn id="8968" xr3:uid="{00000000-0010-0000-0300-000008230000}" name="Column8963" dataDxfId="7440"/>
    <tableColumn id="8969" xr3:uid="{00000000-0010-0000-0300-000009230000}" name="Column8964" dataDxfId="7439"/>
    <tableColumn id="8970" xr3:uid="{00000000-0010-0000-0300-00000A230000}" name="Column8965" dataDxfId="7438"/>
    <tableColumn id="8971" xr3:uid="{00000000-0010-0000-0300-00000B230000}" name="Column8966" dataDxfId="7437"/>
    <tableColumn id="8972" xr3:uid="{00000000-0010-0000-0300-00000C230000}" name="Column8967" dataDxfId="7436"/>
    <tableColumn id="8973" xr3:uid="{00000000-0010-0000-0300-00000D230000}" name="Column8968" dataDxfId="7435"/>
    <tableColumn id="8974" xr3:uid="{00000000-0010-0000-0300-00000E230000}" name="Column8969" dataDxfId="7434"/>
    <tableColumn id="8975" xr3:uid="{00000000-0010-0000-0300-00000F230000}" name="Column8970" dataDxfId="7433"/>
    <tableColumn id="8976" xr3:uid="{00000000-0010-0000-0300-000010230000}" name="Column8971" dataDxfId="7432"/>
    <tableColumn id="8977" xr3:uid="{00000000-0010-0000-0300-000011230000}" name="Column8972" dataDxfId="7431"/>
    <tableColumn id="8978" xr3:uid="{00000000-0010-0000-0300-000012230000}" name="Column8973" dataDxfId="7430"/>
    <tableColumn id="8979" xr3:uid="{00000000-0010-0000-0300-000013230000}" name="Column8974" dataDxfId="7429"/>
    <tableColumn id="8980" xr3:uid="{00000000-0010-0000-0300-000014230000}" name="Column8975" dataDxfId="7428"/>
    <tableColumn id="8981" xr3:uid="{00000000-0010-0000-0300-000015230000}" name="Column8976" dataDxfId="7427"/>
    <tableColumn id="8982" xr3:uid="{00000000-0010-0000-0300-000016230000}" name="Column8977" dataDxfId="7426"/>
    <tableColumn id="8983" xr3:uid="{00000000-0010-0000-0300-000017230000}" name="Column8978" dataDxfId="7425"/>
    <tableColumn id="8984" xr3:uid="{00000000-0010-0000-0300-000018230000}" name="Column8979" dataDxfId="7424"/>
    <tableColumn id="8985" xr3:uid="{00000000-0010-0000-0300-000019230000}" name="Column8980" dataDxfId="7423"/>
    <tableColumn id="8986" xr3:uid="{00000000-0010-0000-0300-00001A230000}" name="Column8981" dataDxfId="7422"/>
    <tableColumn id="8987" xr3:uid="{00000000-0010-0000-0300-00001B230000}" name="Column8982" dataDxfId="7421"/>
    <tableColumn id="8988" xr3:uid="{00000000-0010-0000-0300-00001C230000}" name="Column8983" dataDxfId="7420"/>
    <tableColumn id="8989" xr3:uid="{00000000-0010-0000-0300-00001D230000}" name="Column8984" dataDxfId="7419"/>
    <tableColumn id="8990" xr3:uid="{00000000-0010-0000-0300-00001E230000}" name="Column8985" dataDxfId="7418"/>
    <tableColumn id="8991" xr3:uid="{00000000-0010-0000-0300-00001F230000}" name="Column8986" dataDxfId="7417"/>
    <tableColumn id="8992" xr3:uid="{00000000-0010-0000-0300-000020230000}" name="Column8987" dataDxfId="7416"/>
    <tableColumn id="8993" xr3:uid="{00000000-0010-0000-0300-000021230000}" name="Column8988" dataDxfId="7415"/>
    <tableColumn id="8994" xr3:uid="{00000000-0010-0000-0300-000022230000}" name="Column8989" dataDxfId="7414"/>
    <tableColumn id="8995" xr3:uid="{00000000-0010-0000-0300-000023230000}" name="Column8990" dataDxfId="7413"/>
    <tableColumn id="8996" xr3:uid="{00000000-0010-0000-0300-000024230000}" name="Column8991" dataDxfId="7412"/>
    <tableColumn id="8997" xr3:uid="{00000000-0010-0000-0300-000025230000}" name="Column8992" dataDxfId="7411"/>
    <tableColumn id="8998" xr3:uid="{00000000-0010-0000-0300-000026230000}" name="Column8993" dataDxfId="7410"/>
    <tableColumn id="8999" xr3:uid="{00000000-0010-0000-0300-000027230000}" name="Column8994" dataDxfId="7409"/>
    <tableColumn id="9000" xr3:uid="{00000000-0010-0000-0300-000028230000}" name="Column8995" dataDxfId="7408"/>
    <tableColumn id="9001" xr3:uid="{00000000-0010-0000-0300-000029230000}" name="Column8996" dataDxfId="7407"/>
    <tableColumn id="9002" xr3:uid="{00000000-0010-0000-0300-00002A230000}" name="Column8997" dataDxfId="7406"/>
    <tableColumn id="9003" xr3:uid="{00000000-0010-0000-0300-00002B230000}" name="Column8998" dataDxfId="7405"/>
    <tableColumn id="9004" xr3:uid="{00000000-0010-0000-0300-00002C230000}" name="Column8999" dataDxfId="7404"/>
    <tableColumn id="9005" xr3:uid="{00000000-0010-0000-0300-00002D230000}" name="Column9000" dataDxfId="7403"/>
    <tableColumn id="9006" xr3:uid="{00000000-0010-0000-0300-00002E230000}" name="Column9001" dataDxfId="7402"/>
    <tableColumn id="9007" xr3:uid="{00000000-0010-0000-0300-00002F230000}" name="Column9002" dataDxfId="7401"/>
    <tableColumn id="9008" xr3:uid="{00000000-0010-0000-0300-000030230000}" name="Column9003" dataDxfId="7400"/>
    <tableColumn id="9009" xr3:uid="{00000000-0010-0000-0300-000031230000}" name="Column9004" dataDxfId="7399"/>
    <tableColumn id="9010" xr3:uid="{00000000-0010-0000-0300-000032230000}" name="Column9005" dataDxfId="7398"/>
    <tableColumn id="9011" xr3:uid="{00000000-0010-0000-0300-000033230000}" name="Column9006" dataDxfId="7397"/>
    <tableColumn id="9012" xr3:uid="{00000000-0010-0000-0300-000034230000}" name="Column9007" dataDxfId="7396"/>
    <tableColumn id="9013" xr3:uid="{00000000-0010-0000-0300-000035230000}" name="Column9008" dataDxfId="7395"/>
    <tableColumn id="9014" xr3:uid="{00000000-0010-0000-0300-000036230000}" name="Column9009" dataDxfId="7394"/>
    <tableColumn id="9015" xr3:uid="{00000000-0010-0000-0300-000037230000}" name="Column9010" dataDxfId="7393"/>
    <tableColumn id="9016" xr3:uid="{00000000-0010-0000-0300-000038230000}" name="Column9011" dataDxfId="7392"/>
    <tableColumn id="9017" xr3:uid="{00000000-0010-0000-0300-000039230000}" name="Column9012" dataDxfId="7391"/>
    <tableColumn id="9018" xr3:uid="{00000000-0010-0000-0300-00003A230000}" name="Column9013" dataDxfId="7390"/>
    <tableColumn id="9019" xr3:uid="{00000000-0010-0000-0300-00003B230000}" name="Column9014" dataDxfId="7389"/>
    <tableColumn id="9020" xr3:uid="{00000000-0010-0000-0300-00003C230000}" name="Column9015" dataDxfId="7388"/>
    <tableColumn id="9021" xr3:uid="{00000000-0010-0000-0300-00003D230000}" name="Column9016" dataDxfId="7387"/>
    <tableColumn id="9022" xr3:uid="{00000000-0010-0000-0300-00003E230000}" name="Column9017" dataDxfId="7386"/>
    <tableColumn id="9023" xr3:uid="{00000000-0010-0000-0300-00003F230000}" name="Column9018" dataDxfId="7385"/>
    <tableColumn id="9024" xr3:uid="{00000000-0010-0000-0300-000040230000}" name="Column9019" dataDxfId="7384"/>
    <tableColumn id="9025" xr3:uid="{00000000-0010-0000-0300-000041230000}" name="Column9020" dataDxfId="7383"/>
    <tableColumn id="9026" xr3:uid="{00000000-0010-0000-0300-000042230000}" name="Column9021" dataDxfId="7382"/>
    <tableColumn id="9027" xr3:uid="{00000000-0010-0000-0300-000043230000}" name="Column9022" dataDxfId="7381"/>
    <tableColumn id="9028" xr3:uid="{00000000-0010-0000-0300-000044230000}" name="Column9023" dataDxfId="7380"/>
    <tableColumn id="9029" xr3:uid="{00000000-0010-0000-0300-000045230000}" name="Column9024" dataDxfId="7379"/>
    <tableColumn id="9030" xr3:uid="{00000000-0010-0000-0300-000046230000}" name="Column9025" dataDxfId="7378"/>
    <tableColumn id="9031" xr3:uid="{00000000-0010-0000-0300-000047230000}" name="Column9026" dataDxfId="7377"/>
    <tableColumn id="9032" xr3:uid="{00000000-0010-0000-0300-000048230000}" name="Column9027" dataDxfId="7376"/>
    <tableColumn id="9033" xr3:uid="{00000000-0010-0000-0300-000049230000}" name="Column9028" dataDxfId="7375"/>
    <tableColumn id="9034" xr3:uid="{00000000-0010-0000-0300-00004A230000}" name="Column9029" dataDxfId="7374"/>
    <tableColumn id="9035" xr3:uid="{00000000-0010-0000-0300-00004B230000}" name="Column9030" dataDxfId="7373"/>
    <tableColumn id="9036" xr3:uid="{00000000-0010-0000-0300-00004C230000}" name="Column9031" dataDxfId="7372"/>
    <tableColumn id="9037" xr3:uid="{00000000-0010-0000-0300-00004D230000}" name="Column9032" dataDxfId="7371"/>
    <tableColumn id="9038" xr3:uid="{00000000-0010-0000-0300-00004E230000}" name="Column9033" dataDxfId="7370"/>
    <tableColumn id="9039" xr3:uid="{00000000-0010-0000-0300-00004F230000}" name="Column9034" dataDxfId="7369"/>
    <tableColumn id="9040" xr3:uid="{00000000-0010-0000-0300-000050230000}" name="Column9035" dataDxfId="7368"/>
    <tableColumn id="9041" xr3:uid="{00000000-0010-0000-0300-000051230000}" name="Column9036" dataDxfId="7367"/>
    <tableColumn id="9042" xr3:uid="{00000000-0010-0000-0300-000052230000}" name="Column9037" dataDxfId="7366"/>
    <tableColumn id="9043" xr3:uid="{00000000-0010-0000-0300-000053230000}" name="Column9038" dataDxfId="7365"/>
    <tableColumn id="9044" xr3:uid="{00000000-0010-0000-0300-000054230000}" name="Column9039" dataDxfId="7364"/>
    <tableColumn id="9045" xr3:uid="{00000000-0010-0000-0300-000055230000}" name="Column9040" dataDxfId="7363"/>
    <tableColumn id="9046" xr3:uid="{00000000-0010-0000-0300-000056230000}" name="Column9041" dataDxfId="7362"/>
    <tableColumn id="9047" xr3:uid="{00000000-0010-0000-0300-000057230000}" name="Column9042" dataDxfId="7361"/>
    <tableColumn id="9048" xr3:uid="{00000000-0010-0000-0300-000058230000}" name="Column9043" dataDxfId="7360"/>
    <tableColumn id="9049" xr3:uid="{00000000-0010-0000-0300-000059230000}" name="Column9044" dataDxfId="7359"/>
    <tableColumn id="9050" xr3:uid="{00000000-0010-0000-0300-00005A230000}" name="Column9045" dataDxfId="7358"/>
    <tableColumn id="9051" xr3:uid="{00000000-0010-0000-0300-00005B230000}" name="Column9046" dataDxfId="7357"/>
    <tableColumn id="9052" xr3:uid="{00000000-0010-0000-0300-00005C230000}" name="Column9047" dataDxfId="7356"/>
    <tableColumn id="9053" xr3:uid="{00000000-0010-0000-0300-00005D230000}" name="Column9048" dataDxfId="7355"/>
    <tableColumn id="9054" xr3:uid="{00000000-0010-0000-0300-00005E230000}" name="Column9049" dataDxfId="7354"/>
    <tableColumn id="9055" xr3:uid="{00000000-0010-0000-0300-00005F230000}" name="Column9050" dataDxfId="7353"/>
    <tableColumn id="9056" xr3:uid="{00000000-0010-0000-0300-000060230000}" name="Column9051" dataDxfId="7352"/>
    <tableColumn id="9057" xr3:uid="{00000000-0010-0000-0300-000061230000}" name="Column9052" dataDxfId="7351"/>
    <tableColumn id="9058" xr3:uid="{00000000-0010-0000-0300-000062230000}" name="Column9053" dataDxfId="7350"/>
    <tableColumn id="9059" xr3:uid="{00000000-0010-0000-0300-000063230000}" name="Column9054" dataDxfId="7349"/>
    <tableColumn id="9060" xr3:uid="{00000000-0010-0000-0300-000064230000}" name="Column9055" dataDxfId="7348"/>
    <tableColumn id="9061" xr3:uid="{00000000-0010-0000-0300-000065230000}" name="Column9056" dataDxfId="7347"/>
    <tableColumn id="9062" xr3:uid="{00000000-0010-0000-0300-000066230000}" name="Column9057" dataDxfId="7346"/>
    <tableColumn id="9063" xr3:uid="{00000000-0010-0000-0300-000067230000}" name="Column9058" dataDxfId="7345"/>
    <tableColumn id="9064" xr3:uid="{00000000-0010-0000-0300-000068230000}" name="Column9059" dataDxfId="7344"/>
    <tableColumn id="9065" xr3:uid="{00000000-0010-0000-0300-000069230000}" name="Column9060" dataDxfId="7343"/>
    <tableColumn id="9066" xr3:uid="{00000000-0010-0000-0300-00006A230000}" name="Column9061" dataDxfId="7342"/>
    <tableColumn id="9067" xr3:uid="{00000000-0010-0000-0300-00006B230000}" name="Column9062" dataDxfId="7341"/>
    <tableColumn id="9068" xr3:uid="{00000000-0010-0000-0300-00006C230000}" name="Column9063" dataDxfId="7340"/>
    <tableColumn id="9069" xr3:uid="{00000000-0010-0000-0300-00006D230000}" name="Column9064" dataDxfId="7339"/>
    <tableColumn id="9070" xr3:uid="{00000000-0010-0000-0300-00006E230000}" name="Column9065" dataDxfId="7338"/>
    <tableColumn id="9071" xr3:uid="{00000000-0010-0000-0300-00006F230000}" name="Column9066" dataDxfId="7337"/>
    <tableColumn id="9072" xr3:uid="{00000000-0010-0000-0300-000070230000}" name="Column9067" dataDxfId="7336"/>
    <tableColumn id="9073" xr3:uid="{00000000-0010-0000-0300-000071230000}" name="Column9068" dataDxfId="7335"/>
    <tableColumn id="9074" xr3:uid="{00000000-0010-0000-0300-000072230000}" name="Column9069" dataDxfId="7334"/>
    <tableColumn id="9075" xr3:uid="{00000000-0010-0000-0300-000073230000}" name="Column9070" dataDxfId="7333"/>
    <tableColumn id="9076" xr3:uid="{00000000-0010-0000-0300-000074230000}" name="Column9071" dataDxfId="7332"/>
    <tableColumn id="9077" xr3:uid="{00000000-0010-0000-0300-000075230000}" name="Column9072" dataDxfId="7331"/>
    <tableColumn id="9078" xr3:uid="{00000000-0010-0000-0300-000076230000}" name="Column9073" dataDxfId="7330"/>
    <tableColumn id="9079" xr3:uid="{00000000-0010-0000-0300-000077230000}" name="Column9074" dataDxfId="7329"/>
    <tableColumn id="9080" xr3:uid="{00000000-0010-0000-0300-000078230000}" name="Column9075" dataDxfId="7328"/>
    <tableColumn id="9081" xr3:uid="{00000000-0010-0000-0300-000079230000}" name="Column9076" dataDxfId="7327"/>
    <tableColumn id="9082" xr3:uid="{00000000-0010-0000-0300-00007A230000}" name="Column9077" dataDxfId="7326"/>
    <tableColumn id="9083" xr3:uid="{00000000-0010-0000-0300-00007B230000}" name="Column9078" dataDxfId="7325"/>
    <tableColumn id="9084" xr3:uid="{00000000-0010-0000-0300-00007C230000}" name="Column9079" dataDxfId="7324"/>
    <tableColumn id="9085" xr3:uid="{00000000-0010-0000-0300-00007D230000}" name="Column9080" dataDxfId="7323"/>
    <tableColumn id="9086" xr3:uid="{00000000-0010-0000-0300-00007E230000}" name="Column9081" dataDxfId="7322"/>
    <tableColumn id="9087" xr3:uid="{00000000-0010-0000-0300-00007F230000}" name="Column9082" dataDxfId="7321"/>
    <tableColumn id="9088" xr3:uid="{00000000-0010-0000-0300-000080230000}" name="Column9083" dataDxfId="7320"/>
    <tableColumn id="9089" xr3:uid="{00000000-0010-0000-0300-000081230000}" name="Column9084" dataDxfId="7319"/>
    <tableColumn id="9090" xr3:uid="{00000000-0010-0000-0300-000082230000}" name="Column9085" dataDxfId="7318"/>
    <tableColumn id="9091" xr3:uid="{00000000-0010-0000-0300-000083230000}" name="Column9086" dataDxfId="7317"/>
    <tableColumn id="9092" xr3:uid="{00000000-0010-0000-0300-000084230000}" name="Column9087" dataDxfId="7316"/>
    <tableColumn id="9093" xr3:uid="{00000000-0010-0000-0300-000085230000}" name="Column9088" dataDxfId="7315"/>
    <tableColumn id="9094" xr3:uid="{00000000-0010-0000-0300-000086230000}" name="Column9089" dataDxfId="7314"/>
    <tableColumn id="9095" xr3:uid="{00000000-0010-0000-0300-000087230000}" name="Column9090" dataDxfId="7313"/>
    <tableColumn id="9096" xr3:uid="{00000000-0010-0000-0300-000088230000}" name="Column9091" dataDxfId="7312"/>
    <tableColumn id="9097" xr3:uid="{00000000-0010-0000-0300-000089230000}" name="Column9092" dataDxfId="7311"/>
    <tableColumn id="9098" xr3:uid="{00000000-0010-0000-0300-00008A230000}" name="Column9093" dataDxfId="7310"/>
    <tableColumn id="9099" xr3:uid="{00000000-0010-0000-0300-00008B230000}" name="Column9094" dataDxfId="7309"/>
    <tableColumn id="9100" xr3:uid="{00000000-0010-0000-0300-00008C230000}" name="Column9095" dataDxfId="7308"/>
    <tableColumn id="9101" xr3:uid="{00000000-0010-0000-0300-00008D230000}" name="Column9096" dataDxfId="7307"/>
    <tableColumn id="9102" xr3:uid="{00000000-0010-0000-0300-00008E230000}" name="Column9097" dataDxfId="7306"/>
    <tableColumn id="9103" xr3:uid="{00000000-0010-0000-0300-00008F230000}" name="Column9098" dataDxfId="7305"/>
    <tableColumn id="9104" xr3:uid="{00000000-0010-0000-0300-000090230000}" name="Column9099" dataDxfId="7304"/>
    <tableColumn id="9105" xr3:uid="{00000000-0010-0000-0300-000091230000}" name="Column9100" dataDxfId="7303"/>
    <tableColumn id="9106" xr3:uid="{00000000-0010-0000-0300-000092230000}" name="Column9101" dataDxfId="7302"/>
    <tableColumn id="9107" xr3:uid="{00000000-0010-0000-0300-000093230000}" name="Column9102" dataDxfId="7301"/>
    <tableColumn id="9108" xr3:uid="{00000000-0010-0000-0300-000094230000}" name="Column9103" dataDxfId="7300"/>
    <tableColumn id="9109" xr3:uid="{00000000-0010-0000-0300-000095230000}" name="Column9104" dataDxfId="7299"/>
    <tableColumn id="9110" xr3:uid="{00000000-0010-0000-0300-000096230000}" name="Column9105" dataDxfId="7298"/>
    <tableColumn id="9111" xr3:uid="{00000000-0010-0000-0300-000097230000}" name="Column9106" dataDxfId="7297"/>
    <tableColumn id="9112" xr3:uid="{00000000-0010-0000-0300-000098230000}" name="Column9107" dataDxfId="7296"/>
    <tableColumn id="9113" xr3:uid="{00000000-0010-0000-0300-000099230000}" name="Column9108" dataDxfId="7295"/>
    <tableColumn id="9114" xr3:uid="{00000000-0010-0000-0300-00009A230000}" name="Column9109" dataDxfId="7294"/>
    <tableColumn id="9115" xr3:uid="{00000000-0010-0000-0300-00009B230000}" name="Column9110" dataDxfId="7293"/>
    <tableColumn id="9116" xr3:uid="{00000000-0010-0000-0300-00009C230000}" name="Column9111" dataDxfId="7292"/>
    <tableColumn id="9117" xr3:uid="{00000000-0010-0000-0300-00009D230000}" name="Column9112" dataDxfId="7291"/>
    <tableColumn id="9118" xr3:uid="{00000000-0010-0000-0300-00009E230000}" name="Column9113" dataDxfId="7290"/>
    <tableColumn id="9119" xr3:uid="{00000000-0010-0000-0300-00009F230000}" name="Column9114" dataDxfId="7289"/>
    <tableColumn id="9120" xr3:uid="{00000000-0010-0000-0300-0000A0230000}" name="Column9115" dataDxfId="7288"/>
    <tableColumn id="9121" xr3:uid="{00000000-0010-0000-0300-0000A1230000}" name="Column9116" dataDxfId="7287"/>
    <tableColumn id="9122" xr3:uid="{00000000-0010-0000-0300-0000A2230000}" name="Column9117" dataDxfId="7286"/>
    <tableColumn id="9123" xr3:uid="{00000000-0010-0000-0300-0000A3230000}" name="Column9118" dataDxfId="7285"/>
    <tableColumn id="9124" xr3:uid="{00000000-0010-0000-0300-0000A4230000}" name="Column9119" dataDxfId="7284"/>
    <tableColumn id="9125" xr3:uid="{00000000-0010-0000-0300-0000A5230000}" name="Column9120" dataDxfId="7283"/>
    <tableColumn id="9126" xr3:uid="{00000000-0010-0000-0300-0000A6230000}" name="Column9121" dataDxfId="7282"/>
    <tableColumn id="9127" xr3:uid="{00000000-0010-0000-0300-0000A7230000}" name="Column9122" dataDxfId="7281"/>
    <tableColumn id="9128" xr3:uid="{00000000-0010-0000-0300-0000A8230000}" name="Column9123" dataDxfId="7280"/>
    <tableColumn id="9129" xr3:uid="{00000000-0010-0000-0300-0000A9230000}" name="Column9124" dataDxfId="7279"/>
    <tableColumn id="9130" xr3:uid="{00000000-0010-0000-0300-0000AA230000}" name="Column9125" dataDxfId="7278"/>
    <tableColumn id="9131" xr3:uid="{00000000-0010-0000-0300-0000AB230000}" name="Column9126" dataDxfId="7277"/>
    <tableColumn id="9132" xr3:uid="{00000000-0010-0000-0300-0000AC230000}" name="Column9127" dataDxfId="7276"/>
    <tableColumn id="9133" xr3:uid="{00000000-0010-0000-0300-0000AD230000}" name="Column9128" dataDxfId="7275"/>
    <tableColumn id="9134" xr3:uid="{00000000-0010-0000-0300-0000AE230000}" name="Column9129" dataDxfId="7274"/>
    <tableColumn id="9135" xr3:uid="{00000000-0010-0000-0300-0000AF230000}" name="Column9130" dataDxfId="7273"/>
    <tableColumn id="9136" xr3:uid="{00000000-0010-0000-0300-0000B0230000}" name="Column9131" dataDxfId="7272"/>
    <tableColumn id="9137" xr3:uid="{00000000-0010-0000-0300-0000B1230000}" name="Column9132" dataDxfId="7271"/>
    <tableColumn id="9138" xr3:uid="{00000000-0010-0000-0300-0000B2230000}" name="Column9133" dataDxfId="7270"/>
    <tableColumn id="9139" xr3:uid="{00000000-0010-0000-0300-0000B3230000}" name="Column9134" dataDxfId="7269"/>
    <tableColumn id="9140" xr3:uid="{00000000-0010-0000-0300-0000B4230000}" name="Column9135" dataDxfId="7268"/>
    <tableColumn id="9141" xr3:uid="{00000000-0010-0000-0300-0000B5230000}" name="Column9136" dataDxfId="7267"/>
    <tableColumn id="9142" xr3:uid="{00000000-0010-0000-0300-0000B6230000}" name="Column9137" dataDxfId="7266"/>
    <tableColumn id="9143" xr3:uid="{00000000-0010-0000-0300-0000B7230000}" name="Column9138" dataDxfId="7265"/>
    <tableColumn id="9144" xr3:uid="{00000000-0010-0000-0300-0000B8230000}" name="Column9139" dataDxfId="7264"/>
    <tableColumn id="9145" xr3:uid="{00000000-0010-0000-0300-0000B9230000}" name="Column9140" dataDxfId="7263"/>
    <tableColumn id="9146" xr3:uid="{00000000-0010-0000-0300-0000BA230000}" name="Column9141" dataDxfId="7262"/>
    <tableColumn id="9147" xr3:uid="{00000000-0010-0000-0300-0000BB230000}" name="Column9142" dataDxfId="7261"/>
    <tableColumn id="9148" xr3:uid="{00000000-0010-0000-0300-0000BC230000}" name="Column9143" dataDxfId="7260"/>
    <tableColumn id="9149" xr3:uid="{00000000-0010-0000-0300-0000BD230000}" name="Column9144" dataDxfId="7259"/>
    <tableColumn id="9150" xr3:uid="{00000000-0010-0000-0300-0000BE230000}" name="Column9145" dataDxfId="7258"/>
    <tableColumn id="9151" xr3:uid="{00000000-0010-0000-0300-0000BF230000}" name="Column9146" dataDxfId="7257"/>
    <tableColumn id="9152" xr3:uid="{00000000-0010-0000-0300-0000C0230000}" name="Column9147" dataDxfId="7256"/>
    <tableColumn id="9153" xr3:uid="{00000000-0010-0000-0300-0000C1230000}" name="Column9148" dataDxfId="7255"/>
    <tableColumn id="9154" xr3:uid="{00000000-0010-0000-0300-0000C2230000}" name="Column9149" dataDxfId="7254"/>
    <tableColumn id="9155" xr3:uid="{00000000-0010-0000-0300-0000C3230000}" name="Column9150" dataDxfId="7253"/>
    <tableColumn id="9156" xr3:uid="{00000000-0010-0000-0300-0000C4230000}" name="Column9151" dataDxfId="7252"/>
    <tableColumn id="9157" xr3:uid="{00000000-0010-0000-0300-0000C5230000}" name="Column9152" dataDxfId="7251"/>
    <tableColumn id="9158" xr3:uid="{00000000-0010-0000-0300-0000C6230000}" name="Column9153" dataDxfId="7250"/>
    <tableColumn id="9159" xr3:uid="{00000000-0010-0000-0300-0000C7230000}" name="Column9154" dataDxfId="7249"/>
    <tableColumn id="9160" xr3:uid="{00000000-0010-0000-0300-0000C8230000}" name="Column9155" dataDxfId="7248"/>
    <tableColumn id="9161" xr3:uid="{00000000-0010-0000-0300-0000C9230000}" name="Column9156" dataDxfId="7247"/>
    <tableColumn id="9162" xr3:uid="{00000000-0010-0000-0300-0000CA230000}" name="Column9157" dataDxfId="7246"/>
    <tableColumn id="9163" xr3:uid="{00000000-0010-0000-0300-0000CB230000}" name="Column9158" dataDxfId="7245"/>
    <tableColumn id="9164" xr3:uid="{00000000-0010-0000-0300-0000CC230000}" name="Column9159" dataDxfId="7244"/>
    <tableColumn id="9165" xr3:uid="{00000000-0010-0000-0300-0000CD230000}" name="Column9160" dataDxfId="7243"/>
    <tableColumn id="9166" xr3:uid="{00000000-0010-0000-0300-0000CE230000}" name="Column9161" dataDxfId="7242"/>
    <tableColumn id="9167" xr3:uid="{00000000-0010-0000-0300-0000CF230000}" name="Column9162" dataDxfId="7241"/>
    <tableColumn id="9168" xr3:uid="{00000000-0010-0000-0300-0000D0230000}" name="Column9163" dataDxfId="7240"/>
    <tableColumn id="9169" xr3:uid="{00000000-0010-0000-0300-0000D1230000}" name="Column9164" dataDxfId="7239"/>
    <tableColumn id="9170" xr3:uid="{00000000-0010-0000-0300-0000D2230000}" name="Column9165" dataDxfId="7238"/>
    <tableColumn id="9171" xr3:uid="{00000000-0010-0000-0300-0000D3230000}" name="Column9166" dataDxfId="7237"/>
    <tableColumn id="9172" xr3:uid="{00000000-0010-0000-0300-0000D4230000}" name="Column9167" dataDxfId="7236"/>
    <tableColumn id="9173" xr3:uid="{00000000-0010-0000-0300-0000D5230000}" name="Column9168" dataDxfId="7235"/>
    <tableColumn id="9174" xr3:uid="{00000000-0010-0000-0300-0000D6230000}" name="Column9169" dataDxfId="7234"/>
    <tableColumn id="9175" xr3:uid="{00000000-0010-0000-0300-0000D7230000}" name="Column9170" dataDxfId="7233"/>
    <tableColumn id="9176" xr3:uid="{00000000-0010-0000-0300-0000D8230000}" name="Column9171" dataDxfId="7232"/>
    <tableColumn id="9177" xr3:uid="{00000000-0010-0000-0300-0000D9230000}" name="Column9172" dataDxfId="7231"/>
    <tableColumn id="9178" xr3:uid="{00000000-0010-0000-0300-0000DA230000}" name="Column9173" dataDxfId="7230"/>
    <tableColumn id="9179" xr3:uid="{00000000-0010-0000-0300-0000DB230000}" name="Column9174" dataDxfId="7229"/>
    <tableColumn id="9180" xr3:uid="{00000000-0010-0000-0300-0000DC230000}" name="Column9175" dataDxfId="7228"/>
    <tableColumn id="9181" xr3:uid="{00000000-0010-0000-0300-0000DD230000}" name="Column9176" dataDxfId="7227"/>
    <tableColumn id="9182" xr3:uid="{00000000-0010-0000-0300-0000DE230000}" name="Column9177" dataDxfId="7226"/>
    <tableColumn id="9183" xr3:uid="{00000000-0010-0000-0300-0000DF230000}" name="Column9178" dataDxfId="7225"/>
    <tableColumn id="9184" xr3:uid="{00000000-0010-0000-0300-0000E0230000}" name="Column9179" dataDxfId="7224"/>
    <tableColumn id="9185" xr3:uid="{00000000-0010-0000-0300-0000E1230000}" name="Column9180" dataDxfId="7223"/>
    <tableColumn id="9186" xr3:uid="{00000000-0010-0000-0300-0000E2230000}" name="Column9181" dataDxfId="7222"/>
    <tableColumn id="9187" xr3:uid="{00000000-0010-0000-0300-0000E3230000}" name="Column9182" dataDxfId="7221"/>
    <tableColumn id="9188" xr3:uid="{00000000-0010-0000-0300-0000E4230000}" name="Column9183" dataDxfId="7220"/>
    <tableColumn id="9189" xr3:uid="{00000000-0010-0000-0300-0000E5230000}" name="Column9184" dataDxfId="7219"/>
    <tableColumn id="9190" xr3:uid="{00000000-0010-0000-0300-0000E6230000}" name="Column9185" dataDxfId="7218"/>
    <tableColumn id="9191" xr3:uid="{00000000-0010-0000-0300-0000E7230000}" name="Column9186" dataDxfId="7217"/>
    <tableColumn id="9192" xr3:uid="{00000000-0010-0000-0300-0000E8230000}" name="Column9187" dataDxfId="7216"/>
    <tableColumn id="9193" xr3:uid="{00000000-0010-0000-0300-0000E9230000}" name="Column9188" dataDxfId="7215"/>
    <tableColumn id="9194" xr3:uid="{00000000-0010-0000-0300-0000EA230000}" name="Column9189" dataDxfId="7214"/>
    <tableColumn id="9195" xr3:uid="{00000000-0010-0000-0300-0000EB230000}" name="Column9190" dataDxfId="7213"/>
    <tableColumn id="9196" xr3:uid="{00000000-0010-0000-0300-0000EC230000}" name="Column9191" dataDxfId="7212"/>
    <tableColumn id="9197" xr3:uid="{00000000-0010-0000-0300-0000ED230000}" name="Column9192" dataDxfId="7211"/>
    <tableColumn id="9198" xr3:uid="{00000000-0010-0000-0300-0000EE230000}" name="Column9193" dataDxfId="7210"/>
    <tableColumn id="9199" xr3:uid="{00000000-0010-0000-0300-0000EF230000}" name="Column9194" dataDxfId="7209"/>
    <tableColumn id="9200" xr3:uid="{00000000-0010-0000-0300-0000F0230000}" name="Column9195" dataDxfId="7208"/>
    <tableColumn id="9201" xr3:uid="{00000000-0010-0000-0300-0000F1230000}" name="Column9196" dataDxfId="7207"/>
    <tableColumn id="9202" xr3:uid="{00000000-0010-0000-0300-0000F2230000}" name="Column9197" dataDxfId="7206"/>
    <tableColumn id="9203" xr3:uid="{00000000-0010-0000-0300-0000F3230000}" name="Column9198" dataDxfId="7205"/>
    <tableColumn id="9204" xr3:uid="{00000000-0010-0000-0300-0000F4230000}" name="Column9199" dataDxfId="7204"/>
    <tableColumn id="9205" xr3:uid="{00000000-0010-0000-0300-0000F5230000}" name="Column9200" dataDxfId="7203"/>
    <tableColumn id="9206" xr3:uid="{00000000-0010-0000-0300-0000F6230000}" name="Column9201" dataDxfId="7202"/>
    <tableColumn id="9207" xr3:uid="{00000000-0010-0000-0300-0000F7230000}" name="Column9202" dataDxfId="7201"/>
    <tableColumn id="9208" xr3:uid="{00000000-0010-0000-0300-0000F8230000}" name="Column9203" dataDxfId="7200"/>
    <tableColumn id="9209" xr3:uid="{00000000-0010-0000-0300-0000F9230000}" name="Column9204" dataDxfId="7199"/>
    <tableColumn id="9210" xr3:uid="{00000000-0010-0000-0300-0000FA230000}" name="Column9205" dataDxfId="7198"/>
    <tableColumn id="9211" xr3:uid="{00000000-0010-0000-0300-0000FB230000}" name="Column9206" dataDxfId="7197"/>
    <tableColumn id="9212" xr3:uid="{00000000-0010-0000-0300-0000FC230000}" name="Column9207" dataDxfId="7196"/>
    <tableColumn id="9213" xr3:uid="{00000000-0010-0000-0300-0000FD230000}" name="Column9208" dataDxfId="7195"/>
    <tableColumn id="9214" xr3:uid="{00000000-0010-0000-0300-0000FE230000}" name="Column9209" dataDxfId="7194"/>
    <tableColumn id="9215" xr3:uid="{00000000-0010-0000-0300-0000FF230000}" name="Column9210" dataDxfId="7193"/>
    <tableColumn id="9216" xr3:uid="{00000000-0010-0000-0300-000000240000}" name="Column9211" dataDxfId="7192"/>
    <tableColumn id="9217" xr3:uid="{00000000-0010-0000-0300-000001240000}" name="Column9212" dataDxfId="7191"/>
    <tableColumn id="9218" xr3:uid="{00000000-0010-0000-0300-000002240000}" name="Column9213" dataDxfId="7190"/>
    <tableColumn id="9219" xr3:uid="{00000000-0010-0000-0300-000003240000}" name="Column9214" dataDxfId="7189"/>
    <tableColumn id="9220" xr3:uid="{00000000-0010-0000-0300-000004240000}" name="Column9215" dataDxfId="7188"/>
    <tableColumn id="9221" xr3:uid="{00000000-0010-0000-0300-000005240000}" name="Column9216" dataDxfId="7187"/>
    <tableColumn id="9222" xr3:uid="{00000000-0010-0000-0300-000006240000}" name="Column9217" dataDxfId="7186"/>
    <tableColumn id="9223" xr3:uid="{00000000-0010-0000-0300-000007240000}" name="Column9218" dataDxfId="7185"/>
    <tableColumn id="9224" xr3:uid="{00000000-0010-0000-0300-000008240000}" name="Column9219" dataDxfId="7184"/>
    <tableColumn id="9225" xr3:uid="{00000000-0010-0000-0300-000009240000}" name="Column9220" dataDxfId="7183"/>
    <tableColumn id="9226" xr3:uid="{00000000-0010-0000-0300-00000A240000}" name="Column9221" dataDxfId="7182"/>
    <tableColumn id="9227" xr3:uid="{00000000-0010-0000-0300-00000B240000}" name="Column9222" dataDxfId="7181"/>
    <tableColumn id="9228" xr3:uid="{00000000-0010-0000-0300-00000C240000}" name="Column9223" dataDxfId="7180"/>
    <tableColumn id="9229" xr3:uid="{00000000-0010-0000-0300-00000D240000}" name="Column9224" dataDxfId="7179"/>
    <tableColumn id="9230" xr3:uid="{00000000-0010-0000-0300-00000E240000}" name="Column9225" dataDxfId="7178"/>
    <tableColumn id="9231" xr3:uid="{00000000-0010-0000-0300-00000F240000}" name="Column9226" dataDxfId="7177"/>
    <tableColumn id="9232" xr3:uid="{00000000-0010-0000-0300-000010240000}" name="Column9227" dataDxfId="7176"/>
    <tableColumn id="9233" xr3:uid="{00000000-0010-0000-0300-000011240000}" name="Column9228" dataDxfId="7175"/>
    <tableColumn id="9234" xr3:uid="{00000000-0010-0000-0300-000012240000}" name="Column9229" dataDxfId="7174"/>
    <tableColumn id="9235" xr3:uid="{00000000-0010-0000-0300-000013240000}" name="Column9230" dataDxfId="7173"/>
    <tableColumn id="9236" xr3:uid="{00000000-0010-0000-0300-000014240000}" name="Column9231" dataDxfId="7172"/>
    <tableColumn id="9237" xr3:uid="{00000000-0010-0000-0300-000015240000}" name="Column9232" dataDxfId="7171"/>
    <tableColumn id="9238" xr3:uid="{00000000-0010-0000-0300-000016240000}" name="Column9233" dataDxfId="7170"/>
    <tableColumn id="9239" xr3:uid="{00000000-0010-0000-0300-000017240000}" name="Column9234" dataDxfId="7169"/>
    <tableColumn id="9240" xr3:uid="{00000000-0010-0000-0300-000018240000}" name="Column9235" dataDxfId="7168"/>
    <tableColumn id="9241" xr3:uid="{00000000-0010-0000-0300-000019240000}" name="Column9236" dataDxfId="7167"/>
    <tableColumn id="9242" xr3:uid="{00000000-0010-0000-0300-00001A240000}" name="Column9237" dataDxfId="7166"/>
    <tableColumn id="9243" xr3:uid="{00000000-0010-0000-0300-00001B240000}" name="Column9238" dataDxfId="7165"/>
    <tableColumn id="9244" xr3:uid="{00000000-0010-0000-0300-00001C240000}" name="Column9239" dataDxfId="7164"/>
    <tableColumn id="9245" xr3:uid="{00000000-0010-0000-0300-00001D240000}" name="Column9240" dataDxfId="7163"/>
    <tableColumn id="9246" xr3:uid="{00000000-0010-0000-0300-00001E240000}" name="Column9241" dataDxfId="7162"/>
    <tableColumn id="9247" xr3:uid="{00000000-0010-0000-0300-00001F240000}" name="Column9242" dataDxfId="7161"/>
    <tableColumn id="9248" xr3:uid="{00000000-0010-0000-0300-000020240000}" name="Column9243" dataDxfId="7160"/>
    <tableColumn id="9249" xr3:uid="{00000000-0010-0000-0300-000021240000}" name="Column9244" dataDxfId="7159"/>
    <tableColumn id="9250" xr3:uid="{00000000-0010-0000-0300-000022240000}" name="Column9245" dataDxfId="7158"/>
    <tableColumn id="9251" xr3:uid="{00000000-0010-0000-0300-000023240000}" name="Column9246" dataDxfId="7157"/>
    <tableColumn id="9252" xr3:uid="{00000000-0010-0000-0300-000024240000}" name="Column9247" dataDxfId="7156"/>
    <tableColumn id="9253" xr3:uid="{00000000-0010-0000-0300-000025240000}" name="Column9248" dataDxfId="7155"/>
    <tableColumn id="9254" xr3:uid="{00000000-0010-0000-0300-000026240000}" name="Column9249" dataDxfId="7154"/>
    <tableColumn id="9255" xr3:uid="{00000000-0010-0000-0300-000027240000}" name="Column9250" dataDxfId="7153"/>
    <tableColumn id="9256" xr3:uid="{00000000-0010-0000-0300-000028240000}" name="Column9251" dataDxfId="7152"/>
    <tableColumn id="9257" xr3:uid="{00000000-0010-0000-0300-000029240000}" name="Column9252" dataDxfId="7151"/>
    <tableColumn id="9258" xr3:uid="{00000000-0010-0000-0300-00002A240000}" name="Column9253" dataDxfId="7150"/>
    <tableColumn id="9259" xr3:uid="{00000000-0010-0000-0300-00002B240000}" name="Column9254" dataDxfId="7149"/>
    <tableColumn id="9260" xr3:uid="{00000000-0010-0000-0300-00002C240000}" name="Column9255" dataDxfId="7148"/>
    <tableColumn id="9261" xr3:uid="{00000000-0010-0000-0300-00002D240000}" name="Column9256" dataDxfId="7147"/>
    <tableColumn id="9262" xr3:uid="{00000000-0010-0000-0300-00002E240000}" name="Column9257" dataDxfId="7146"/>
    <tableColumn id="9263" xr3:uid="{00000000-0010-0000-0300-00002F240000}" name="Column9258" dataDxfId="7145"/>
    <tableColumn id="9264" xr3:uid="{00000000-0010-0000-0300-000030240000}" name="Column9259" dataDxfId="7144"/>
    <tableColumn id="9265" xr3:uid="{00000000-0010-0000-0300-000031240000}" name="Column9260" dataDxfId="7143"/>
    <tableColumn id="9266" xr3:uid="{00000000-0010-0000-0300-000032240000}" name="Column9261" dataDxfId="7142"/>
    <tableColumn id="9267" xr3:uid="{00000000-0010-0000-0300-000033240000}" name="Column9262" dataDxfId="7141"/>
    <tableColumn id="9268" xr3:uid="{00000000-0010-0000-0300-000034240000}" name="Column9263" dataDxfId="7140"/>
    <tableColumn id="9269" xr3:uid="{00000000-0010-0000-0300-000035240000}" name="Column9264" dataDxfId="7139"/>
    <tableColumn id="9270" xr3:uid="{00000000-0010-0000-0300-000036240000}" name="Column9265" dataDxfId="7138"/>
    <tableColumn id="9271" xr3:uid="{00000000-0010-0000-0300-000037240000}" name="Column9266" dataDxfId="7137"/>
    <tableColumn id="9272" xr3:uid="{00000000-0010-0000-0300-000038240000}" name="Column9267" dataDxfId="7136"/>
    <tableColumn id="9273" xr3:uid="{00000000-0010-0000-0300-000039240000}" name="Column9268" dataDxfId="7135"/>
    <tableColumn id="9274" xr3:uid="{00000000-0010-0000-0300-00003A240000}" name="Column9269" dataDxfId="7134"/>
    <tableColumn id="9275" xr3:uid="{00000000-0010-0000-0300-00003B240000}" name="Column9270" dataDxfId="7133"/>
    <tableColumn id="9276" xr3:uid="{00000000-0010-0000-0300-00003C240000}" name="Column9271" dataDxfId="7132"/>
    <tableColumn id="9277" xr3:uid="{00000000-0010-0000-0300-00003D240000}" name="Column9272" dataDxfId="7131"/>
    <tableColumn id="9278" xr3:uid="{00000000-0010-0000-0300-00003E240000}" name="Column9273" dataDxfId="7130"/>
    <tableColumn id="9279" xr3:uid="{00000000-0010-0000-0300-00003F240000}" name="Column9274" dataDxfId="7129"/>
    <tableColumn id="9280" xr3:uid="{00000000-0010-0000-0300-000040240000}" name="Column9275" dataDxfId="7128"/>
    <tableColumn id="9281" xr3:uid="{00000000-0010-0000-0300-000041240000}" name="Column9276" dataDxfId="7127"/>
    <tableColumn id="9282" xr3:uid="{00000000-0010-0000-0300-000042240000}" name="Column9277" dataDxfId="7126"/>
    <tableColumn id="9283" xr3:uid="{00000000-0010-0000-0300-000043240000}" name="Column9278" dataDxfId="7125"/>
    <tableColumn id="9284" xr3:uid="{00000000-0010-0000-0300-000044240000}" name="Column9279" dataDxfId="7124"/>
    <tableColumn id="9285" xr3:uid="{00000000-0010-0000-0300-000045240000}" name="Column9280" dataDxfId="7123"/>
    <tableColumn id="9286" xr3:uid="{00000000-0010-0000-0300-000046240000}" name="Column9281" dataDxfId="7122"/>
    <tableColumn id="9287" xr3:uid="{00000000-0010-0000-0300-000047240000}" name="Column9282" dataDxfId="7121"/>
    <tableColumn id="9288" xr3:uid="{00000000-0010-0000-0300-000048240000}" name="Column9283" dataDxfId="7120"/>
    <tableColumn id="9289" xr3:uid="{00000000-0010-0000-0300-000049240000}" name="Column9284" dataDxfId="7119"/>
    <tableColumn id="9290" xr3:uid="{00000000-0010-0000-0300-00004A240000}" name="Column9285" dataDxfId="7118"/>
    <tableColumn id="9291" xr3:uid="{00000000-0010-0000-0300-00004B240000}" name="Column9286" dataDxfId="7117"/>
    <tableColumn id="9292" xr3:uid="{00000000-0010-0000-0300-00004C240000}" name="Column9287" dataDxfId="7116"/>
    <tableColumn id="9293" xr3:uid="{00000000-0010-0000-0300-00004D240000}" name="Column9288" dataDxfId="7115"/>
    <tableColumn id="9294" xr3:uid="{00000000-0010-0000-0300-00004E240000}" name="Column9289" dataDxfId="7114"/>
    <tableColumn id="9295" xr3:uid="{00000000-0010-0000-0300-00004F240000}" name="Column9290" dataDxfId="7113"/>
    <tableColumn id="9296" xr3:uid="{00000000-0010-0000-0300-000050240000}" name="Column9291" dataDxfId="7112"/>
    <tableColumn id="9297" xr3:uid="{00000000-0010-0000-0300-000051240000}" name="Column9292" dataDxfId="7111"/>
    <tableColumn id="9298" xr3:uid="{00000000-0010-0000-0300-000052240000}" name="Column9293" dataDxfId="7110"/>
    <tableColumn id="9299" xr3:uid="{00000000-0010-0000-0300-000053240000}" name="Column9294" dataDxfId="7109"/>
    <tableColumn id="9300" xr3:uid="{00000000-0010-0000-0300-000054240000}" name="Column9295" dataDxfId="7108"/>
    <tableColumn id="9301" xr3:uid="{00000000-0010-0000-0300-000055240000}" name="Column9296" dataDxfId="7107"/>
    <tableColumn id="9302" xr3:uid="{00000000-0010-0000-0300-000056240000}" name="Column9297" dataDxfId="7106"/>
    <tableColumn id="9303" xr3:uid="{00000000-0010-0000-0300-000057240000}" name="Column9298" dataDxfId="7105"/>
    <tableColumn id="9304" xr3:uid="{00000000-0010-0000-0300-000058240000}" name="Column9299" dataDxfId="7104"/>
    <tableColumn id="9305" xr3:uid="{00000000-0010-0000-0300-000059240000}" name="Column9300" dataDxfId="7103"/>
    <tableColumn id="9306" xr3:uid="{00000000-0010-0000-0300-00005A240000}" name="Column9301" dataDxfId="7102"/>
    <tableColumn id="9307" xr3:uid="{00000000-0010-0000-0300-00005B240000}" name="Column9302" dataDxfId="7101"/>
    <tableColumn id="9308" xr3:uid="{00000000-0010-0000-0300-00005C240000}" name="Column9303" dataDxfId="7100"/>
    <tableColumn id="9309" xr3:uid="{00000000-0010-0000-0300-00005D240000}" name="Column9304" dataDxfId="7099"/>
    <tableColumn id="9310" xr3:uid="{00000000-0010-0000-0300-00005E240000}" name="Column9305" dataDxfId="7098"/>
    <tableColumn id="9311" xr3:uid="{00000000-0010-0000-0300-00005F240000}" name="Column9306" dataDxfId="7097"/>
    <tableColumn id="9312" xr3:uid="{00000000-0010-0000-0300-000060240000}" name="Column9307" dataDxfId="7096"/>
    <tableColumn id="9313" xr3:uid="{00000000-0010-0000-0300-000061240000}" name="Column9308" dataDxfId="7095"/>
    <tableColumn id="9314" xr3:uid="{00000000-0010-0000-0300-000062240000}" name="Column9309" dataDxfId="7094"/>
    <tableColumn id="9315" xr3:uid="{00000000-0010-0000-0300-000063240000}" name="Column9310" dataDxfId="7093"/>
    <tableColumn id="9316" xr3:uid="{00000000-0010-0000-0300-000064240000}" name="Column9311" dataDxfId="7092"/>
    <tableColumn id="9317" xr3:uid="{00000000-0010-0000-0300-000065240000}" name="Column9312" dataDxfId="7091"/>
    <tableColumn id="9318" xr3:uid="{00000000-0010-0000-0300-000066240000}" name="Column9313" dataDxfId="7090"/>
    <tableColumn id="9319" xr3:uid="{00000000-0010-0000-0300-000067240000}" name="Column9314" dataDxfId="7089"/>
    <tableColumn id="9320" xr3:uid="{00000000-0010-0000-0300-000068240000}" name="Column9315" dataDxfId="7088"/>
    <tableColumn id="9321" xr3:uid="{00000000-0010-0000-0300-000069240000}" name="Column9316" dataDxfId="7087"/>
    <tableColumn id="9322" xr3:uid="{00000000-0010-0000-0300-00006A240000}" name="Column9317" dataDxfId="7086"/>
    <tableColumn id="9323" xr3:uid="{00000000-0010-0000-0300-00006B240000}" name="Column9318" dataDxfId="7085"/>
    <tableColumn id="9324" xr3:uid="{00000000-0010-0000-0300-00006C240000}" name="Column9319" dataDxfId="7084"/>
    <tableColumn id="9325" xr3:uid="{00000000-0010-0000-0300-00006D240000}" name="Column9320" dataDxfId="7083"/>
    <tableColumn id="9326" xr3:uid="{00000000-0010-0000-0300-00006E240000}" name="Column9321" dataDxfId="7082"/>
    <tableColumn id="9327" xr3:uid="{00000000-0010-0000-0300-00006F240000}" name="Column9322" dataDxfId="7081"/>
    <tableColumn id="9328" xr3:uid="{00000000-0010-0000-0300-000070240000}" name="Column9323" dataDxfId="7080"/>
    <tableColumn id="9329" xr3:uid="{00000000-0010-0000-0300-000071240000}" name="Column9324" dataDxfId="7079"/>
    <tableColumn id="9330" xr3:uid="{00000000-0010-0000-0300-000072240000}" name="Column9325" dataDxfId="7078"/>
    <tableColumn id="9331" xr3:uid="{00000000-0010-0000-0300-000073240000}" name="Column9326" dataDxfId="7077"/>
    <tableColumn id="9332" xr3:uid="{00000000-0010-0000-0300-000074240000}" name="Column9327" dataDxfId="7076"/>
    <tableColumn id="9333" xr3:uid="{00000000-0010-0000-0300-000075240000}" name="Column9328" dataDxfId="7075"/>
    <tableColumn id="9334" xr3:uid="{00000000-0010-0000-0300-000076240000}" name="Column9329" dataDxfId="7074"/>
    <tableColumn id="9335" xr3:uid="{00000000-0010-0000-0300-000077240000}" name="Column9330" dataDxfId="7073"/>
    <tableColumn id="9336" xr3:uid="{00000000-0010-0000-0300-000078240000}" name="Column9331" dataDxfId="7072"/>
    <tableColumn id="9337" xr3:uid="{00000000-0010-0000-0300-000079240000}" name="Column9332" dataDxfId="7071"/>
    <tableColumn id="9338" xr3:uid="{00000000-0010-0000-0300-00007A240000}" name="Column9333" dataDxfId="7070"/>
    <tableColumn id="9339" xr3:uid="{00000000-0010-0000-0300-00007B240000}" name="Column9334" dataDxfId="7069"/>
    <tableColumn id="9340" xr3:uid="{00000000-0010-0000-0300-00007C240000}" name="Column9335" dataDxfId="7068"/>
    <tableColumn id="9341" xr3:uid="{00000000-0010-0000-0300-00007D240000}" name="Column9336" dataDxfId="7067"/>
    <tableColumn id="9342" xr3:uid="{00000000-0010-0000-0300-00007E240000}" name="Column9337" dataDxfId="7066"/>
    <tableColumn id="9343" xr3:uid="{00000000-0010-0000-0300-00007F240000}" name="Column9338" dataDxfId="7065"/>
    <tableColumn id="9344" xr3:uid="{00000000-0010-0000-0300-000080240000}" name="Column9339" dataDxfId="7064"/>
    <tableColumn id="9345" xr3:uid="{00000000-0010-0000-0300-000081240000}" name="Column9340" dataDxfId="7063"/>
    <tableColumn id="9346" xr3:uid="{00000000-0010-0000-0300-000082240000}" name="Column9341" dataDxfId="7062"/>
    <tableColumn id="9347" xr3:uid="{00000000-0010-0000-0300-000083240000}" name="Column9342" dataDxfId="7061"/>
    <tableColumn id="9348" xr3:uid="{00000000-0010-0000-0300-000084240000}" name="Column9343" dataDxfId="7060"/>
    <tableColumn id="9349" xr3:uid="{00000000-0010-0000-0300-000085240000}" name="Column9344" dataDxfId="7059"/>
    <tableColumn id="9350" xr3:uid="{00000000-0010-0000-0300-000086240000}" name="Column9345" dataDxfId="7058"/>
    <tableColumn id="9351" xr3:uid="{00000000-0010-0000-0300-000087240000}" name="Column9346" dataDxfId="7057"/>
    <tableColumn id="9352" xr3:uid="{00000000-0010-0000-0300-000088240000}" name="Column9347" dataDxfId="7056"/>
    <tableColumn id="9353" xr3:uid="{00000000-0010-0000-0300-000089240000}" name="Column9348" dataDxfId="7055"/>
    <tableColumn id="9354" xr3:uid="{00000000-0010-0000-0300-00008A240000}" name="Column9349" dataDxfId="7054"/>
    <tableColumn id="9355" xr3:uid="{00000000-0010-0000-0300-00008B240000}" name="Column9350" dataDxfId="7053"/>
    <tableColumn id="9356" xr3:uid="{00000000-0010-0000-0300-00008C240000}" name="Column9351" dataDxfId="7052"/>
    <tableColumn id="9357" xr3:uid="{00000000-0010-0000-0300-00008D240000}" name="Column9352" dataDxfId="7051"/>
    <tableColumn id="9358" xr3:uid="{00000000-0010-0000-0300-00008E240000}" name="Column9353" dataDxfId="7050"/>
    <tableColumn id="9359" xr3:uid="{00000000-0010-0000-0300-00008F240000}" name="Column9354" dataDxfId="7049"/>
    <tableColumn id="9360" xr3:uid="{00000000-0010-0000-0300-000090240000}" name="Column9355" dataDxfId="7048"/>
    <tableColumn id="9361" xr3:uid="{00000000-0010-0000-0300-000091240000}" name="Column9356" dataDxfId="7047"/>
    <tableColumn id="9362" xr3:uid="{00000000-0010-0000-0300-000092240000}" name="Column9357" dataDxfId="7046"/>
    <tableColumn id="9363" xr3:uid="{00000000-0010-0000-0300-000093240000}" name="Column9358" dataDxfId="7045"/>
    <tableColumn id="9364" xr3:uid="{00000000-0010-0000-0300-000094240000}" name="Column9359" dataDxfId="7044"/>
    <tableColumn id="9365" xr3:uid="{00000000-0010-0000-0300-000095240000}" name="Column9360" dataDxfId="7043"/>
    <tableColumn id="9366" xr3:uid="{00000000-0010-0000-0300-000096240000}" name="Column9361" dataDxfId="7042"/>
    <tableColumn id="9367" xr3:uid="{00000000-0010-0000-0300-000097240000}" name="Column9362" dataDxfId="7041"/>
    <tableColumn id="9368" xr3:uid="{00000000-0010-0000-0300-000098240000}" name="Column9363" dataDxfId="7040"/>
    <tableColumn id="9369" xr3:uid="{00000000-0010-0000-0300-000099240000}" name="Column9364" dataDxfId="7039"/>
    <tableColumn id="9370" xr3:uid="{00000000-0010-0000-0300-00009A240000}" name="Column9365" dataDxfId="7038"/>
    <tableColumn id="9371" xr3:uid="{00000000-0010-0000-0300-00009B240000}" name="Column9366" dataDxfId="7037"/>
    <tableColumn id="9372" xr3:uid="{00000000-0010-0000-0300-00009C240000}" name="Column9367" dataDxfId="7036"/>
    <tableColumn id="9373" xr3:uid="{00000000-0010-0000-0300-00009D240000}" name="Column9368" dataDxfId="7035"/>
    <tableColumn id="9374" xr3:uid="{00000000-0010-0000-0300-00009E240000}" name="Column9369" dataDxfId="7034"/>
    <tableColumn id="9375" xr3:uid="{00000000-0010-0000-0300-00009F240000}" name="Column9370" dataDxfId="7033"/>
    <tableColumn id="9376" xr3:uid="{00000000-0010-0000-0300-0000A0240000}" name="Column9371" dataDxfId="7032"/>
    <tableColumn id="9377" xr3:uid="{00000000-0010-0000-0300-0000A1240000}" name="Column9372" dataDxfId="7031"/>
    <tableColumn id="9378" xr3:uid="{00000000-0010-0000-0300-0000A2240000}" name="Column9373" dataDxfId="7030"/>
    <tableColumn id="9379" xr3:uid="{00000000-0010-0000-0300-0000A3240000}" name="Column9374" dataDxfId="7029"/>
    <tableColumn id="9380" xr3:uid="{00000000-0010-0000-0300-0000A4240000}" name="Column9375" dataDxfId="7028"/>
    <tableColumn id="9381" xr3:uid="{00000000-0010-0000-0300-0000A5240000}" name="Column9376" dataDxfId="7027"/>
    <tableColumn id="9382" xr3:uid="{00000000-0010-0000-0300-0000A6240000}" name="Column9377" dataDxfId="7026"/>
    <tableColumn id="9383" xr3:uid="{00000000-0010-0000-0300-0000A7240000}" name="Column9378" dataDxfId="7025"/>
    <tableColumn id="9384" xr3:uid="{00000000-0010-0000-0300-0000A8240000}" name="Column9379" dataDxfId="7024"/>
    <tableColumn id="9385" xr3:uid="{00000000-0010-0000-0300-0000A9240000}" name="Column9380" dataDxfId="7023"/>
    <tableColumn id="9386" xr3:uid="{00000000-0010-0000-0300-0000AA240000}" name="Column9381" dataDxfId="7022"/>
    <tableColumn id="9387" xr3:uid="{00000000-0010-0000-0300-0000AB240000}" name="Column9382" dataDxfId="7021"/>
    <tableColumn id="9388" xr3:uid="{00000000-0010-0000-0300-0000AC240000}" name="Column9383" dataDxfId="7020"/>
    <tableColumn id="9389" xr3:uid="{00000000-0010-0000-0300-0000AD240000}" name="Column9384" dataDxfId="7019"/>
    <tableColumn id="9390" xr3:uid="{00000000-0010-0000-0300-0000AE240000}" name="Column9385" dataDxfId="7018"/>
    <tableColumn id="9391" xr3:uid="{00000000-0010-0000-0300-0000AF240000}" name="Column9386" dataDxfId="7017"/>
    <tableColumn id="9392" xr3:uid="{00000000-0010-0000-0300-0000B0240000}" name="Column9387" dataDxfId="7016"/>
    <tableColumn id="9393" xr3:uid="{00000000-0010-0000-0300-0000B1240000}" name="Column9388" dataDxfId="7015"/>
    <tableColumn id="9394" xr3:uid="{00000000-0010-0000-0300-0000B2240000}" name="Column9389" dataDxfId="7014"/>
    <tableColumn id="9395" xr3:uid="{00000000-0010-0000-0300-0000B3240000}" name="Column9390" dataDxfId="7013"/>
    <tableColumn id="9396" xr3:uid="{00000000-0010-0000-0300-0000B4240000}" name="Column9391" dataDxfId="7012"/>
    <tableColumn id="9397" xr3:uid="{00000000-0010-0000-0300-0000B5240000}" name="Column9392" dataDxfId="7011"/>
    <tableColumn id="9398" xr3:uid="{00000000-0010-0000-0300-0000B6240000}" name="Column9393" dataDxfId="7010"/>
    <tableColumn id="9399" xr3:uid="{00000000-0010-0000-0300-0000B7240000}" name="Column9394" dataDxfId="7009"/>
    <tableColumn id="9400" xr3:uid="{00000000-0010-0000-0300-0000B8240000}" name="Column9395" dataDxfId="7008"/>
    <tableColumn id="9401" xr3:uid="{00000000-0010-0000-0300-0000B9240000}" name="Column9396" dataDxfId="7007"/>
    <tableColumn id="9402" xr3:uid="{00000000-0010-0000-0300-0000BA240000}" name="Column9397" dataDxfId="7006"/>
    <tableColumn id="9403" xr3:uid="{00000000-0010-0000-0300-0000BB240000}" name="Column9398" dataDxfId="7005"/>
    <tableColumn id="9404" xr3:uid="{00000000-0010-0000-0300-0000BC240000}" name="Column9399" dataDxfId="7004"/>
    <tableColumn id="9405" xr3:uid="{00000000-0010-0000-0300-0000BD240000}" name="Column9400" dataDxfId="7003"/>
    <tableColumn id="9406" xr3:uid="{00000000-0010-0000-0300-0000BE240000}" name="Column9401" dataDxfId="7002"/>
    <tableColumn id="9407" xr3:uid="{00000000-0010-0000-0300-0000BF240000}" name="Column9402" dataDxfId="7001"/>
    <tableColumn id="9408" xr3:uid="{00000000-0010-0000-0300-0000C0240000}" name="Column9403" dataDxfId="7000"/>
    <tableColumn id="9409" xr3:uid="{00000000-0010-0000-0300-0000C1240000}" name="Column9404" dataDxfId="6999"/>
    <tableColumn id="9410" xr3:uid="{00000000-0010-0000-0300-0000C2240000}" name="Column9405" dataDxfId="6998"/>
    <tableColumn id="9411" xr3:uid="{00000000-0010-0000-0300-0000C3240000}" name="Column9406" dataDxfId="6997"/>
    <tableColumn id="9412" xr3:uid="{00000000-0010-0000-0300-0000C4240000}" name="Column9407" dataDxfId="6996"/>
    <tableColumn id="9413" xr3:uid="{00000000-0010-0000-0300-0000C5240000}" name="Column9408" dataDxfId="6995"/>
    <tableColumn id="9414" xr3:uid="{00000000-0010-0000-0300-0000C6240000}" name="Column9409" dataDxfId="6994"/>
    <tableColumn id="9415" xr3:uid="{00000000-0010-0000-0300-0000C7240000}" name="Column9410" dataDxfId="6993"/>
    <tableColumn id="9416" xr3:uid="{00000000-0010-0000-0300-0000C8240000}" name="Column9411" dataDxfId="6992"/>
    <tableColumn id="9417" xr3:uid="{00000000-0010-0000-0300-0000C9240000}" name="Column9412" dataDxfId="6991"/>
    <tableColumn id="9418" xr3:uid="{00000000-0010-0000-0300-0000CA240000}" name="Column9413" dataDxfId="6990"/>
    <tableColumn id="9419" xr3:uid="{00000000-0010-0000-0300-0000CB240000}" name="Column9414" dataDxfId="6989"/>
    <tableColumn id="9420" xr3:uid="{00000000-0010-0000-0300-0000CC240000}" name="Column9415" dataDxfId="6988"/>
    <tableColumn id="9421" xr3:uid="{00000000-0010-0000-0300-0000CD240000}" name="Column9416" dataDxfId="6987"/>
    <tableColumn id="9422" xr3:uid="{00000000-0010-0000-0300-0000CE240000}" name="Column9417" dataDxfId="6986"/>
    <tableColumn id="9423" xr3:uid="{00000000-0010-0000-0300-0000CF240000}" name="Column9418" dataDxfId="6985"/>
    <tableColumn id="9424" xr3:uid="{00000000-0010-0000-0300-0000D0240000}" name="Column9419" dataDxfId="6984"/>
    <tableColumn id="9425" xr3:uid="{00000000-0010-0000-0300-0000D1240000}" name="Column9420" dataDxfId="6983"/>
    <tableColumn id="9426" xr3:uid="{00000000-0010-0000-0300-0000D2240000}" name="Column9421" dataDxfId="6982"/>
    <tableColumn id="9427" xr3:uid="{00000000-0010-0000-0300-0000D3240000}" name="Column9422" dataDxfId="6981"/>
    <tableColumn id="9428" xr3:uid="{00000000-0010-0000-0300-0000D4240000}" name="Column9423" dataDxfId="6980"/>
    <tableColumn id="9429" xr3:uid="{00000000-0010-0000-0300-0000D5240000}" name="Column9424" dataDxfId="6979"/>
    <tableColumn id="9430" xr3:uid="{00000000-0010-0000-0300-0000D6240000}" name="Column9425" dataDxfId="6978"/>
    <tableColumn id="9431" xr3:uid="{00000000-0010-0000-0300-0000D7240000}" name="Column9426" dataDxfId="6977"/>
    <tableColumn id="9432" xr3:uid="{00000000-0010-0000-0300-0000D8240000}" name="Column9427" dataDxfId="6976"/>
    <tableColumn id="9433" xr3:uid="{00000000-0010-0000-0300-0000D9240000}" name="Column9428" dataDxfId="6975"/>
    <tableColumn id="9434" xr3:uid="{00000000-0010-0000-0300-0000DA240000}" name="Column9429" dataDxfId="6974"/>
    <tableColumn id="9435" xr3:uid="{00000000-0010-0000-0300-0000DB240000}" name="Column9430" dataDxfId="6973"/>
    <tableColumn id="9436" xr3:uid="{00000000-0010-0000-0300-0000DC240000}" name="Column9431" dataDxfId="6972"/>
    <tableColumn id="9437" xr3:uid="{00000000-0010-0000-0300-0000DD240000}" name="Column9432" dataDxfId="6971"/>
    <tableColumn id="9438" xr3:uid="{00000000-0010-0000-0300-0000DE240000}" name="Column9433" dataDxfId="6970"/>
    <tableColumn id="9439" xr3:uid="{00000000-0010-0000-0300-0000DF240000}" name="Column9434" dataDxfId="6969"/>
    <tableColumn id="9440" xr3:uid="{00000000-0010-0000-0300-0000E0240000}" name="Column9435" dataDxfId="6968"/>
    <tableColumn id="9441" xr3:uid="{00000000-0010-0000-0300-0000E1240000}" name="Column9436" dataDxfId="6967"/>
    <tableColumn id="9442" xr3:uid="{00000000-0010-0000-0300-0000E2240000}" name="Column9437" dataDxfId="6966"/>
    <tableColumn id="9443" xr3:uid="{00000000-0010-0000-0300-0000E3240000}" name="Column9438" dataDxfId="6965"/>
    <tableColumn id="9444" xr3:uid="{00000000-0010-0000-0300-0000E4240000}" name="Column9439" dataDxfId="6964"/>
    <tableColumn id="9445" xr3:uid="{00000000-0010-0000-0300-0000E5240000}" name="Column9440" dataDxfId="6963"/>
    <tableColumn id="9446" xr3:uid="{00000000-0010-0000-0300-0000E6240000}" name="Column9441" dataDxfId="6962"/>
    <tableColumn id="9447" xr3:uid="{00000000-0010-0000-0300-0000E7240000}" name="Column9442" dataDxfId="6961"/>
    <tableColumn id="9448" xr3:uid="{00000000-0010-0000-0300-0000E8240000}" name="Column9443" dataDxfId="6960"/>
    <tableColumn id="9449" xr3:uid="{00000000-0010-0000-0300-0000E9240000}" name="Column9444" dataDxfId="6959"/>
    <tableColumn id="9450" xr3:uid="{00000000-0010-0000-0300-0000EA240000}" name="Column9445" dataDxfId="6958"/>
    <tableColumn id="9451" xr3:uid="{00000000-0010-0000-0300-0000EB240000}" name="Column9446" dataDxfId="6957"/>
    <tableColumn id="9452" xr3:uid="{00000000-0010-0000-0300-0000EC240000}" name="Column9447" dataDxfId="6956"/>
    <tableColumn id="9453" xr3:uid="{00000000-0010-0000-0300-0000ED240000}" name="Column9448" dataDxfId="6955"/>
    <tableColumn id="9454" xr3:uid="{00000000-0010-0000-0300-0000EE240000}" name="Column9449" dataDxfId="6954"/>
    <tableColumn id="9455" xr3:uid="{00000000-0010-0000-0300-0000EF240000}" name="Column9450" dataDxfId="6953"/>
    <tableColumn id="9456" xr3:uid="{00000000-0010-0000-0300-0000F0240000}" name="Column9451" dataDxfId="6952"/>
    <tableColumn id="9457" xr3:uid="{00000000-0010-0000-0300-0000F1240000}" name="Column9452" dataDxfId="6951"/>
    <tableColumn id="9458" xr3:uid="{00000000-0010-0000-0300-0000F2240000}" name="Column9453" dataDxfId="6950"/>
    <tableColumn id="9459" xr3:uid="{00000000-0010-0000-0300-0000F3240000}" name="Column9454" dataDxfId="6949"/>
    <tableColumn id="9460" xr3:uid="{00000000-0010-0000-0300-0000F4240000}" name="Column9455" dataDxfId="6948"/>
    <tableColumn id="9461" xr3:uid="{00000000-0010-0000-0300-0000F5240000}" name="Column9456" dataDxfId="6947"/>
    <tableColumn id="9462" xr3:uid="{00000000-0010-0000-0300-0000F6240000}" name="Column9457" dataDxfId="6946"/>
    <tableColumn id="9463" xr3:uid="{00000000-0010-0000-0300-0000F7240000}" name="Column9458" dataDxfId="6945"/>
    <tableColumn id="9464" xr3:uid="{00000000-0010-0000-0300-0000F8240000}" name="Column9459" dataDxfId="6944"/>
    <tableColumn id="9465" xr3:uid="{00000000-0010-0000-0300-0000F9240000}" name="Column9460" dataDxfId="6943"/>
    <tableColumn id="9466" xr3:uid="{00000000-0010-0000-0300-0000FA240000}" name="Column9461" dataDxfId="6942"/>
    <tableColumn id="9467" xr3:uid="{00000000-0010-0000-0300-0000FB240000}" name="Column9462" dataDxfId="6941"/>
    <tableColumn id="9468" xr3:uid="{00000000-0010-0000-0300-0000FC240000}" name="Column9463" dataDxfId="6940"/>
    <tableColumn id="9469" xr3:uid="{00000000-0010-0000-0300-0000FD240000}" name="Column9464" dataDxfId="6939"/>
    <tableColumn id="9470" xr3:uid="{00000000-0010-0000-0300-0000FE240000}" name="Column9465" dataDxfId="6938"/>
    <tableColumn id="9471" xr3:uid="{00000000-0010-0000-0300-0000FF240000}" name="Column9466" dataDxfId="6937"/>
    <tableColumn id="9472" xr3:uid="{00000000-0010-0000-0300-000000250000}" name="Column9467" dataDxfId="6936"/>
    <tableColumn id="9473" xr3:uid="{00000000-0010-0000-0300-000001250000}" name="Column9468" dataDxfId="6935"/>
    <tableColumn id="9474" xr3:uid="{00000000-0010-0000-0300-000002250000}" name="Column9469" dataDxfId="6934"/>
    <tableColumn id="9475" xr3:uid="{00000000-0010-0000-0300-000003250000}" name="Column9470" dataDxfId="6933"/>
    <tableColumn id="9476" xr3:uid="{00000000-0010-0000-0300-000004250000}" name="Column9471" dataDxfId="6932"/>
    <tableColumn id="9477" xr3:uid="{00000000-0010-0000-0300-000005250000}" name="Column9472" dataDxfId="6931"/>
    <tableColumn id="9478" xr3:uid="{00000000-0010-0000-0300-000006250000}" name="Column9473" dataDxfId="6930"/>
    <tableColumn id="9479" xr3:uid="{00000000-0010-0000-0300-000007250000}" name="Column9474" dataDxfId="6929"/>
    <tableColumn id="9480" xr3:uid="{00000000-0010-0000-0300-000008250000}" name="Column9475" dataDxfId="6928"/>
    <tableColumn id="9481" xr3:uid="{00000000-0010-0000-0300-000009250000}" name="Column9476" dataDxfId="6927"/>
    <tableColumn id="9482" xr3:uid="{00000000-0010-0000-0300-00000A250000}" name="Column9477" dataDxfId="6926"/>
    <tableColumn id="9483" xr3:uid="{00000000-0010-0000-0300-00000B250000}" name="Column9478" dataDxfId="6925"/>
    <tableColumn id="9484" xr3:uid="{00000000-0010-0000-0300-00000C250000}" name="Column9479" dataDxfId="6924"/>
    <tableColumn id="9485" xr3:uid="{00000000-0010-0000-0300-00000D250000}" name="Column9480" dataDxfId="6923"/>
    <tableColumn id="9486" xr3:uid="{00000000-0010-0000-0300-00000E250000}" name="Column9481" dataDxfId="6922"/>
    <tableColumn id="9487" xr3:uid="{00000000-0010-0000-0300-00000F250000}" name="Column9482" dataDxfId="6921"/>
    <tableColumn id="9488" xr3:uid="{00000000-0010-0000-0300-000010250000}" name="Column9483" dataDxfId="6920"/>
    <tableColumn id="9489" xr3:uid="{00000000-0010-0000-0300-000011250000}" name="Column9484" dataDxfId="6919"/>
    <tableColumn id="9490" xr3:uid="{00000000-0010-0000-0300-000012250000}" name="Column9485" dataDxfId="6918"/>
    <tableColumn id="9491" xr3:uid="{00000000-0010-0000-0300-000013250000}" name="Column9486" dataDxfId="6917"/>
    <tableColumn id="9492" xr3:uid="{00000000-0010-0000-0300-000014250000}" name="Column9487" dataDxfId="6916"/>
    <tableColumn id="9493" xr3:uid="{00000000-0010-0000-0300-000015250000}" name="Column9488" dataDxfId="6915"/>
    <tableColumn id="9494" xr3:uid="{00000000-0010-0000-0300-000016250000}" name="Column9489" dataDxfId="6914"/>
    <tableColumn id="9495" xr3:uid="{00000000-0010-0000-0300-000017250000}" name="Column9490" dataDxfId="6913"/>
    <tableColumn id="9496" xr3:uid="{00000000-0010-0000-0300-000018250000}" name="Column9491" dataDxfId="6912"/>
    <tableColumn id="9497" xr3:uid="{00000000-0010-0000-0300-000019250000}" name="Column9492" dataDxfId="6911"/>
    <tableColumn id="9498" xr3:uid="{00000000-0010-0000-0300-00001A250000}" name="Column9493" dataDxfId="6910"/>
    <tableColumn id="9499" xr3:uid="{00000000-0010-0000-0300-00001B250000}" name="Column9494" dataDxfId="6909"/>
    <tableColumn id="9500" xr3:uid="{00000000-0010-0000-0300-00001C250000}" name="Column9495" dataDxfId="6908"/>
    <tableColumn id="9501" xr3:uid="{00000000-0010-0000-0300-00001D250000}" name="Column9496" dataDxfId="6907"/>
    <tableColumn id="9502" xr3:uid="{00000000-0010-0000-0300-00001E250000}" name="Column9497" dataDxfId="6906"/>
    <tableColumn id="9503" xr3:uid="{00000000-0010-0000-0300-00001F250000}" name="Column9498" dataDxfId="6905"/>
    <tableColumn id="9504" xr3:uid="{00000000-0010-0000-0300-000020250000}" name="Column9499" dataDxfId="6904"/>
    <tableColumn id="9505" xr3:uid="{00000000-0010-0000-0300-000021250000}" name="Column9500" dataDxfId="6903"/>
    <tableColumn id="9506" xr3:uid="{00000000-0010-0000-0300-000022250000}" name="Column9501" dataDxfId="6902"/>
    <tableColumn id="9507" xr3:uid="{00000000-0010-0000-0300-000023250000}" name="Column9502" dataDxfId="6901"/>
    <tableColumn id="9508" xr3:uid="{00000000-0010-0000-0300-000024250000}" name="Column9503" dataDxfId="6900"/>
    <tableColumn id="9509" xr3:uid="{00000000-0010-0000-0300-000025250000}" name="Column9504" dataDxfId="6899"/>
    <tableColumn id="9510" xr3:uid="{00000000-0010-0000-0300-000026250000}" name="Column9505" dataDxfId="6898"/>
    <tableColumn id="9511" xr3:uid="{00000000-0010-0000-0300-000027250000}" name="Column9506" dataDxfId="6897"/>
    <tableColumn id="9512" xr3:uid="{00000000-0010-0000-0300-000028250000}" name="Column9507" dataDxfId="6896"/>
    <tableColumn id="9513" xr3:uid="{00000000-0010-0000-0300-000029250000}" name="Column9508" dataDxfId="6895"/>
    <tableColumn id="9514" xr3:uid="{00000000-0010-0000-0300-00002A250000}" name="Column9509" dataDxfId="6894"/>
    <tableColumn id="9515" xr3:uid="{00000000-0010-0000-0300-00002B250000}" name="Column9510" dataDxfId="6893"/>
    <tableColumn id="9516" xr3:uid="{00000000-0010-0000-0300-00002C250000}" name="Column9511" dataDxfId="6892"/>
    <tableColumn id="9517" xr3:uid="{00000000-0010-0000-0300-00002D250000}" name="Column9512" dataDxfId="6891"/>
    <tableColumn id="9518" xr3:uid="{00000000-0010-0000-0300-00002E250000}" name="Column9513" dataDxfId="6890"/>
    <tableColumn id="9519" xr3:uid="{00000000-0010-0000-0300-00002F250000}" name="Column9514" dataDxfId="6889"/>
    <tableColumn id="9520" xr3:uid="{00000000-0010-0000-0300-000030250000}" name="Column9515" dataDxfId="6888"/>
    <tableColumn id="9521" xr3:uid="{00000000-0010-0000-0300-000031250000}" name="Column9516" dataDxfId="6887"/>
    <tableColumn id="9522" xr3:uid="{00000000-0010-0000-0300-000032250000}" name="Column9517" dataDxfId="6886"/>
    <tableColumn id="9523" xr3:uid="{00000000-0010-0000-0300-000033250000}" name="Column9518" dataDxfId="6885"/>
    <tableColumn id="9524" xr3:uid="{00000000-0010-0000-0300-000034250000}" name="Column9519" dataDxfId="6884"/>
    <tableColumn id="9525" xr3:uid="{00000000-0010-0000-0300-000035250000}" name="Column9520" dataDxfId="6883"/>
    <tableColumn id="9526" xr3:uid="{00000000-0010-0000-0300-000036250000}" name="Column9521" dataDxfId="6882"/>
    <tableColumn id="9527" xr3:uid="{00000000-0010-0000-0300-000037250000}" name="Column9522" dataDxfId="6881"/>
    <tableColumn id="9528" xr3:uid="{00000000-0010-0000-0300-000038250000}" name="Column9523" dataDxfId="6880"/>
    <tableColumn id="9529" xr3:uid="{00000000-0010-0000-0300-000039250000}" name="Column9524" dataDxfId="6879"/>
    <tableColumn id="9530" xr3:uid="{00000000-0010-0000-0300-00003A250000}" name="Column9525" dataDxfId="6878"/>
    <tableColumn id="9531" xr3:uid="{00000000-0010-0000-0300-00003B250000}" name="Column9526" dataDxfId="6877"/>
    <tableColumn id="9532" xr3:uid="{00000000-0010-0000-0300-00003C250000}" name="Column9527" dataDxfId="6876"/>
    <tableColumn id="9533" xr3:uid="{00000000-0010-0000-0300-00003D250000}" name="Column9528" dataDxfId="6875"/>
    <tableColumn id="9534" xr3:uid="{00000000-0010-0000-0300-00003E250000}" name="Column9529" dataDxfId="6874"/>
    <tableColumn id="9535" xr3:uid="{00000000-0010-0000-0300-00003F250000}" name="Column9530" dataDxfId="6873"/>
    <tableColumn id="9536" xr3:uid="{00000000-0010-0000-0300-000040250000}" name="Column9531" dataDxfId="6872"/>
    <tableColumn id="9537" xr3:uid="{00000000-0010-0000-0300-000041250000}" name="Column9532" dataDxfId="6871"/>
    <tableColumn id="9538" xr3:uid="{00000000-0010-0000-0300-000042250000}" name="Column9533" dataDxfId="6870"/>
    <tableColumn id="9539" xr3:uid="{00000000-0010-0000-0300-000043250000}" name="Column9534" dataDxfId="6869"/>
    <tableColumn id="9540" xr3:uid="{00000000-0010-0000-0300-000044250000}" name="Column9535" dataDxfId="6868"/>
    <tableColumn id="9541" xr3:uid="{00000000-0010-0000-0300-000045250000}" name="Column9536" dataDxfId="6867"/>
    <tableColumn id="9542" xr3:uid="{00000000-0010-0000-0300-000046250000}" name="Column9537" dataDxfId="6866"/>
    <tableColumn id="9543" xr3:uid="{00000000-0010-0000-0300-000047250000}" name="Column9538" dataDxfId="6865"/>
    <tableColumn id="9544" xr3:uid="{00000000-0010-0000-0300-000048250000}" name="Column9539" dataDxfId="6864"/>
    <tableColumn id="9545" xr3:uid="{00000000-0010-0000-0300-000049250000}" name="Column9540" dataDxfId="6863"/>
    <tableColumn id="9546" xr3:uid="{00000000-0010-0000-0300-00004A250000}" name="Column9541" dataDxfId="6862"/>
    <tableColumn id="9547" xr3:uid="{00000000-0010-0000-0300-00004B250000}" name="Column9542" dataDxfId="6861"/>
    <tableColumn id="9548" xr3:uid="{00000000-0010-0000-0300-00004C250000}" name="Column9543" dataDxfId="6860"/>
    <tableColumn id="9549" xr3:uid="{00000000-0010-0000-0300-00004D250000}" name="Column9544" dataDxfId="6859"/>
    <tableColumn id="9550" xr3:uid="{00000000-0010-0000-0300-00004E250000}" name="Column9545" dataDxfId="6858"/>
    <tableColumn id="9551" xr3:uid="{00000000-0010-0000-0300-00004F250000}" name="Column9546" dataDxfId="6857"/>
    <tableColumn id="9552" xr3:uid="{00000000-0010-0000-0300-000050250000}" name="Column9547" dataDxfId="6856"/>
    <tableColumn id="9553" xr3:uid="{00000000-0010-0000-0300-000051250000}" name="Column9548" dataDxfId="6855"/>
    <tableColumn id="9554" xr3:uid="{00000000-0010-0000-0300-000052250000}" name="Column9549" dataDxfId="6854"/>
    <tableColumn id="9555" xr3:uid="{00000000-0010-0000-0300-000053250000}" name="Column9550" dataDxfId="6853"/>
    <tableColumn id="9556" xr3:uid="{00000000-0010-0000-0300-000054250000}" name="Column9551" dataDxfId="6852"/>
    <tableColumn id="9557" xr3:uid="{00000000-0010-0000-0300-000055250000}" name="Column9552" dataDxfId="6851"/>
    <tableColumn id="9558" xr3:uid="{00000000-0010-0000-0300-000056250000}" name="Column9553" dataDxfId="6850"/>
    <tableColumn id="9559" xr3:uid="{00000000-0010-0000-0300-000057250000}" name="Column9554" dataDxfId="6849"/>
    <tableColumn id="9560" xr3:uid="{00000000-0010-0000-0300-000058250000}" name="Column9555" dataDxfId="6848"/>
    <tableColumn id="9561" xr3:uid="{00000000-0010-0000-0300-000059250000}" name="Column9556" dataDxfId="6847"/>
    <tableColumn id="9562" xr3:uid="{00000000-0010-0000-0300-00005A250000}" name="Column9557" dataDxfId="6846"/>
    <tableColumn id="9563" xr3:uid="{00000000-0010-0000-0300-00005B250000}" name="Column9558" dataDxfId="6845"/>
    <tableColumn id="9564" xr3:uid="{00000000-0010-0000-0300-00005C250000}" name="Column9559" dataDxfId="6844"/>
    <tableColumn id="9565" xr3:uid="{00000000-0010-0000-0300-00005D250000}" name="Column9560" dataDxfId="6843"/>
    <tableColumn id="9566" xr3:uid="{00000000-0010-0000-0300-00005E250000}" name="Column9561" dataDxfId="6842"/>
    <tableColumn id="9567" xr3:uid="{00000000-0010-0000-0300-00005F250000}" name="Column9562" dataDxfId="6841"/>
    <tableColumn id="9568" xr3:uid="{00000000-0010-0000-0300-000060250000}" name="Column9563" dataDxfId="6840"/>
    <tableColumn id="9569" xr3:uid="{00000000-0010-0000-0300-000061250000}" name="Column9564" dataDxfId="6839"/>
    <tableColumn id="9570" xr3:uid="{00000000-0010-0000-0300-000062250000}" name="Column9565" dataDxfId="6838"/>
    <tableColumn id="9571" xr3:uid="{00000000-0010-0000-0300-000063250000}" name="Column9566" dataDxfId="6837"/>
    <tableColumn id="9572" xr3:uid="{00000000-0010-0000-0300-000064250000}" name="Column9567" dataDxfId="6836"/>
    <tableColumn id="9573" xr3:uid="{00000000-0010-0000-0300-000065250000}" name="Column9568" dataDxfId="6835"/>
    <tableColumn id="9574" xr3:uid="{00000000-0010-0000-0300-000066250000}" name="Column9569" dataDxfId="6834"/>
    <tableColumn id="9575" xr3:uid="{00000000-0010-0000-0300-000067250000}" name="Column9570" dataDxfId="6833"/>
    <tableColumn id="9576" xr3:uid="{00000000-0010-0000-0300-000068250000}" name="Column9571" dataDxfId="6832"/>
    <tableColumn id="9577" xr3:uid="{00000000-0010-0000-0300-000069250000}" name="Column9572" dataDxfId="6831"/>
    <tableColumn id="9578" xr3:uid="{00000000-0010-0000-0300-00006A250000}" name="Column9573" dataDxfId="6830"/>
    <tableColumn id="9579" xr3:uid="{00000000-0010-0000-0300-00006B250000}" name="Column9574" dataDxfId="6829"/>
    <tableColumn id="9580" xr3:uid="{00000000-0010-0000-0300-00006C250000}" name="Column9575" dataDxfId="6828"/>
    <tableColumn id="9581" xr3:uid="{00000000-0010-0000-0300-00006D250000}" name="Column9576" dataDxfId="6827"/>
    <tableColumn id="9582" xr3:uid="{00000000-0010-0000-0300-00006E250000}" name="Column9577" dataDxfId="6826"/>
    <tableColumn id="9583" xr3:uid="{00000000-0010-0000-0300-00006F250000}" name="Column9578" dataDxfId="6825"/>
    <tableColumn id="9584" xr3:uid="{00000000-0010-0000-0300-000070250000}" name="Column9579" dataDxfId="6824"/>
    <tableColumn id="9585" xr3:uid="{00000000-0010-0000-0300-000071250000}" name="Column9580" dataDxfId="6823"/>
    <tableColumn id="9586" xr3:uid="{00000000-0010-0000-0300-000072250000}" name="Column9581" dataDxfId="6822"/>
    <tableColumn id="9587" xr3:uid="{00000000-0010-0000-0300-000073250000}" name="Column9582" dataDxfId="6821"/>
    <tableColumn id="9588" xr3:uid="{00000000-0010-0000-0300-000074250000}" name="Column9583" dataDxfId="6820"/>
    <tableColumn id="9589" xr3:uid="{00000000-0010-0000-0300-000075250000}" name="Column9584" dataDxfId="6819"/>
    <tableColumn id="9590" xr3:uid="{00000000-0010-0000-0300-000076250000}" name="Column9585" dataDxfId="6818"/>
    <tableColumn id="9591" xr3:uid="{00000000-0010-0000-0300-000077250000}" name="Column9586" dataDxfId="6817"/>
    <tableColumn id="9592" xr3:uid="{00000000-0010-0000-0300-000078250000}" name="Column9587" dataDxfId="6816"/>
    <tableColumn id="9593" xr3:uid="{00000000-0010-0000-0300-000079250000}" name="Column9588" dataDxfId="6815"/>
    <tableColumn id="9594" xr3:uid="{00000000-0010-0000-0300-00007A250000}" name="Column9589" dataDxfId="6814"/>
    <tableColumn id="9595" xr3:uid="{00000000-0010-0000-0300-00007B250000}" name="Column9590" dataDxfId="6813"/>
    <tableColumn id="9596" xr3:uid="{00000000-0010-0000-0300-00007C250000}" name="Column9591" dataDxfId="6812"/>
    <tableColumn id="9597" xr3:uid="{00000000-0010-0000-0300-00007D250000}" name="Column9592" dataDxfId="6811"/>
    <tableColumn id="9598" xr3:uid="{00000000-0010-0000-0300-00007E250000}" name="Column9593" dataDxfId="6810"/>
    <tableColumn id="9599" xr3:uid="{00000000-0010-0000-0300-00007F250000}" name="Column9594" dataDxfId="6809"/>
    <tableColumn id="9600" xr3:uid="{00000000-0010-0000-0300-000080250000}" name="Column9595" dataDxfId="6808"/>
    <tableColumn id="9601" xr3:uid="{00000000-0010-0000-0300-000081250000}" name="Column9596" dataDxfId="6807"/>
    <tableColumn id="9602" xr3:uid="{00000000-0010-0000-0300-000082250000}" name="Column9597" dataDxfId="6806"/>
    <tableColumn id="9603" xr3:uid="{00000000-0010-0000-0300-000083250000}" name="Column9598" dataDxfId="6805"/>
    <tableColumn id="9604" xr3:uid="{00000000-0010-0000-0300-000084250000}" name="Column9599" dataDxfId="6804"/>
    <tableColumn id="9605" xr3:uid="{00000000-0010-0000-0300-000085250000}" name="Column9600" dataDxfId="6803"/>
    <tableColumn id="9606" xr3:uid="{00000000-0010-0000-0300-000086250000}" name="Column9601" dataDxfId="6802"/>
    <tableColumn id="9607" xr3:uid="{00000000-0010-0000-0300-000087250000}" name="Column9602" dataDxfId="6801"/>
    <tableColumn id="9608" xr3:uid="{00000000-0010-0000-0300-000088250000}" name="Column9603" dataDxfId="6800"/>
    <tableColumn id="9609" xr3:uid="{00000000-0010-0000-0300-000089250000}" name="Column9604" dataDxfId="6799"/>
    <tableColumn id="9610" xr3:uid="{00000000-0010-0000-0300-00008A250000}" name="Column9605" dataDxfId="6798"/>
    <tableColumn id="9611" xr3:uid="{00000000-0010-0000-0300-00008B250000}" name="Column9606" dataDxfId="6797"/>
    <tableColumn id="9612" xr3:uid="{00000000-0010-0000-0300-00008C250000}" name="Column9607" dataDxfId="6796"/>
    <tableColumn id="9613" xr3:uid="{00000000-0010-0000-0300-00008D250000}" name="Column9608" dataDxfId="6795"/>
    <tableColumn id="9614" xr3:uid="{00000000-0010-0000-0300-00008E250000}" name="Column9609" dataDxfId="6794"/>
    <tableColumn id="9615" xr3:uid="{00000000-0010-0000-0300-00008F250000}" name="Column9610" dataDxfId="6793"/>
    <tableColumn id="9616" xr3:uid="{00000000-0010-0000-0300-000090250000}" name="Column9611" dataDxfId="6792"/>
    <tableColumn id="9617" xr3:uid="{00000000-0010-0000-0300-000091250000}" name="Column9612" dataDxfId="6791"/>
    <tableColumn id="9618" xr3:uid="{00000000-0010-0000-0300-000092250000}" name="Column9613" dataDxfId="6790"/>
    <tableColumn id="9619" xr3:uid="{00000000-0010-0000-0300-000093250000}" name="Column9614" dataDxfId="6789"/>
    <tableColumn id="9620" xr3:uid="{00000000-0010-0000-0300-000094250000}" name="Column9615" dataDxfId="6788"/>
    <tableColumn id="9621" xr3:uid="{00000000-0010-0000-0300-000095250000}" name="Column9616" dataDxfId="6787"/>
    <tableColumn id="9622" xr3:uid="{00000000-0010-0000-0300-000096250000}" name="Column9617" dataDxfId="6786"/>
    <tableColumn id="9623" xr3:uid="{00000000-0010-0000-0300-000097250000}" name="Column9618" dataDxfId="6785"/>
    <tableColumn id="9624" xr3:uid="{00000000-0010-0000-0300-000098250000}" name="Column9619" dataDxfId="6784"/>
    <tableColumn id="9625" xr3:uid="{00000000-0010-0000-0300-000099250000}" name="Column9620" dataDxfId="6783"/>
    <tableColumn id="9626" xr3:uid="{00000000-0010-0000-0300-00009A250000}" name="Column9621" dataDxfId="6782"/>
    <tableColumn id="9627" xr3:uid="{00000000-0010-0000-0300-00009B250000}" name="Column9622" dataDxfId="6781"/>
    <tableColumn id="9628" xr3:uid="{00000000-0010-0000-0300-00009C250000}" name="Column9623" dataDxfId="6780"/>
    <tableColumn id="9629" xr3:uid="{00000000-0010-0000-0300-00009D250000}" name="Column9624" dataDxfId="6779"/>
    <tableColumn id="9630" xr3:uid="{00000000-0010-0000-0300-00009E250000}" name="Column9625" dataDxfId="6778"/>
    <tableColumn id="9631" xr3:uid="{00000000-0010-0000-0300-00009F250000}" name="Column9626" dataDxfId="6777"/>
    <tableColumn id="9632" xr3:uid="{00000000-0010-0000-0300-0000A0250000}" name="Column9627" dataDxfId="6776"/>
    <tableColumn id="9633" xr3:uid="{00000000-0010-0000-0300-0000A1250000}" name="Column9628" dataDxfId="6775"/>
    <tableColumn id="9634" xr3:uid="{00000000-0010-0000-0300-0000A2250000}" name="Column9629" dataDxfId="6774"/>
    <tableColumn id="9635" xr3:uid="{00000000-0010-0000-0300-0000A3250000}" name="Column9630" dataDxfId="6773"/>
    <tableColumn id="9636" xr3:uid="{00000000-0010-0000-0300-0000A4250000}" name="Column9631" dataDxfId="6772"/>
    <tableColumn id="9637" xr3:uid="{00000000-0010-0000-0300-0000A5250000}" name="Column9632" dataDxfId="6771"/>
    <tableColumn id="9638" xr3:uid="{00000000-0010-0000-0300-0000A6250000}" name="Column9633" dataDxfId="6770"/>
    <tableColumn id="9639" xr3:uid="{00000000-0010-0000-0300-0000A7250000}" name="Column9634" dataDxfId="6769"/>
    <tableColumn id="9640" xr3:uid="{00000000-0010-0000-0300-0000A8250000}" name="Column9635" dataDxfId="6768"/>
    <tableColumn id="9641" xr3:uid="{00000000-0010-0000-0300-0000A9250000}" name="Column9636" dataDxfId="6767"/>
    <tableColumn id="9642" xr3:uid="{00000000-0010-0000-0300-0000AA250000}" name="Column9637" dataDxfId="6766"/>
    <tableColumn id="9643" xr3:uid="{00000000-0010-0000-0300-0000AB250000}" name="Column9638" dataDxfId="6765"/>
    <tableColumn id="9644" xr3:uid="{00000000-0010-0000-0300-0000AC250000}" name="Column9639" dataDxfId="6764"/>
    <tableColumn id="9645" xr3:uid="{00000000-0010-0000-0300-0000AD250000}" name="Column9640" dataDxfId="6763"/>
    <tableColumn id="9646" xr3:uid="{00000000-0010-0000-0300-0000AE250000}" name="Column9641" dataDxfId="6762"/>
    <tableColumn id="9647" xr3:uid="{00000000-0010-0000-0300-0000AF250000}" name="Column9642" dataDxfId="6761"/>
    <tableColumn id="9648" xr3:uid="{00000000-0010-0000-0300-0000B0250000}" name="Column9643" dataDxfId="6760"/>
    <tableColumn id="9649" xr3:uid="{00000000-0010-0000-0300-0000B1250000}" name="Column9644" dataDxfId="6759"/>
    <tableColumn id="9650" xr3:uid="{00000000-0010-0000-0300-0000B2250000}" name="Column9645" dataDxfId="6758"/>
    <tableColumn id="9651" xr3:uid="{00000000-0010-0000-0300-0000B3250000}" name="Column9646" dataDxfId="6757"/>
    <tableColumn id="9652" xr3:uid="{00000000-0010-0000-0300-0000B4250000}" name="Column9647" dataDxfId="6756"/>
    <tableColumn id="9653" xr3:uid="{00000000-0010-0000-0300-0000B5250000}" name="Column9648" dataDxfId="6755"/>
    <tableColumn id="9654" xr3:uid="{00000000-0010-0000-0300-0000B6250000}" name="Column9649" dataDxfId="6754"/>
    <tableColumn id="9655" xr3:uid="{00000000-0010-0000-0300-0000B7250000}" name="Column9650" dataDxfId="6753"/>
    <tableColumn id="9656" xr3:uid="{00000000-0010-0000-0300-0000B8250000}" name="Column9651" dataDxfId="6752"/>
    <tableColumn id="9657" xr3:uid="{00000000-0010-0000-0300-0000B9250000}" name="Column9652" dataDxfId="6751"/>
    <tableColumn id="9658" xr3:uid="{00000000-0010-0000-0300-0000BA250000}" name="Column9653" dataDxfId="6750"/>
    <tableColumn id="9659" xr3:uid="{00000000-0010-0000-0300-0000BB250000}" name="Column9654" dataDxfId="6749"/>
    <tableColumn id="9660" xr3:uid="{00000000-0010-0000-0300-0000BC250000}" name="Column9655" dataDxfId="6748"/>
    <tableColumn id="9661" xr3:uid="{00000000-0010-0000-0300-0000BD250000}" name="Column9656" dataDxfId="6747"/>
    <tableColumn id="9662" xr3:uid="{00000000-0010-0000-0300-0000BE250000}" name="Column9657" dataDxfId="6746"/>
    <tableColumn id="9663" xr3:uid="{00000000-0010-0000-0300-0000BF250000}" name="Column9658" dataDxfId="6745"/>
    <tableColumn id="9664" xr3:uid="{00000000-0010-0000-0300-0000C0250000}" name="Column9659" dataDxfId="6744"/>
    <tableColumn id="9665" xr3:uid="{00000000-0010-0000-0300-0000C1250000}" name="Column9660" dataDxfId="6743"/>
    <tableColumn id="9666" xr3:uid="{00000000-0010-0000-0300-0000C2250000}" name="Column9661" dataDxfId="6742"/>
    <tableColumn id="9667" xr3:uid="{00000000-0010-0000-0300-0000C3250000}" name="Column9662" dataDxfId="6741"/>
    <tableColumn id="9668" xr3:uid="{00000000-0010-0000-0300-0000C4250000}" name="Column9663" dataDxfId="6740"/>
    <tableColumn id="9669" xr3:uid="{00000000-0010-0000-0300-0000C5250000}" name="Column9664" dataDxfId="6739"/>
    <tableColumn id="9670" xr3:uid="{00000000-0010-0000-0300-0000C6250000}" name="Column9665" dataDxfId="6738"/>
    <tableColumn id="9671" xr3:uid="{00000000-0010-0000-0300-0000C7250000}" name="Column9666" dataDxfId="6737"/>
    <tableColumn id="9672" xr3:uid="{00000000-0010-0000-0300-0000C8250000}" name="Column9667" dataDxfId="6736"/>
    <tableColumn id="9673" xr3:uid="{00000000-0010-0000-0300-0000C9250000}" name="Column9668" dataDxfId="6735"/>
    <tableColumn id="9674" xr3:uid="{00000000-0010-0000-0300-0000CA250000}" name="Column9669" dataDxfId="6734"/>
    <tableColumn id="9675" xr3:uid="{00000000-0010-0000-0300-0000CB250000}" name="Column9670" dataDxfId="6733"/>
    <tableColumn id="9676" xr3:uid="{00000000-0010-0000-0300-0000CC250000}" name="Column9671" dataDxfId="6732"/>
    <tableColumn id="9677" xr3:uid="{00000000-0010-0000-0300-0000CD250000}" name="Column9672" dataDxfId="6731"/>
    <tableColumn id="9678" xr3:uid="{00000000-0010-0000-0300-0000CE250000}" name="Column9673" dataDxfId="6730"/>
    <tableColumn id="9679" xr3:uid="{00000000-0010-0000-0300-0000CF250000}" name="Column9674" dataDxfId="6729"/>
    <tableColumn id="9680" xr3:uid="{00000000-0010-0000-0300-0000D0250000}" name="Column9675" dataDxfId="6728"/>
    <tableColumn id="9681" xr3:uid="{00000000-0010-0000-0300-0000D1250000}" name="Column9676" dataDxfId="6727"/>
    <tableColumn id="9682" xr3:uid="{00000000-0010-0000-0300-0000D2250000}" name="Column9677" dataDxfId="6726"/>
    <tableColumn id="9683" xr3:uid="{00000000-0010-0000-0300-0000D3250000}" name="Column9678" dataDxfId="6725"/>
    <tableColumn id="9684" xr3:uid="{00000000-0010-0000-0300-0000D4250000}" name="Column9679" dataDxfId="6724"/>
    <tableColumn id="9685" xr3:uid="{00000000-0010-0000-0300-0000D5250000}" name="Column9680" dataDxfId="6723"/>
    <tableColumn id="9686" xr3:uid="{00000000-0010-0000-0300-0000D6250000}" name="Column9681" dataDxfId="6722"/>
    <tableColumn id="9687" xr3:uid="{00000000-0010-0000-0300-0000D7250000}" name="Column9682" dataDxfId="6721"/>
    <tableColumn id="9688" xr3:uid="{00000000-0010-0000-0300-0000D8250000}" name="Column9683" dataDxfId="6720"/>
    <tableColumn id="9689" xr3:uid="{00000000-0010-0000-0300-0000D9250000}" name="Column9684" dataDxfId="6719"/>
    <tableColumn id="9690" xr3:uid="{00000000-0010-0000-0300-0000DA250000}" name="Column9685" dataDxfId="6718"/>
    <tableColumn id="9691" xr3:uid="{00000000-0010-0000-0300-0000DB250000}" name="Column9686" dataDxfId="6717"/>
    <tableColumn id="9692" xr3:uid="{00000000-0010-0000-0300-0000DC250000}" name="Column9687" dataDxfId="6716"/>
    <tableColumn id="9693" xr3:uid="{00000000-0010-0000-0300-0000DD250000}" name="Column9688" dataDxfId="6715"/>
    <tableColumn id="9694" xr3:uid="{00000000-0010-0000-0300-0000DE250000}" name="Column9689" dataDxfId="6714"/>
    <tableColumn id="9695" xr3:uid="{00000000-0010-0000-0300-0000DF250000}" name="Column9690" dataDxfId="6713"/>
    <tableColumn id="9696" xr3:uid="{00000000-0010-0000-0300-0000E0250000}" name="Column9691" dataDxfId="6712"/>
    <tableColumn id="9697" xr3:uid="{00000000-0010-0000-0300-0000E1250000}" name="Column9692" dataDxfId="6711"/>
    <tableColumn id="9698" xr3:uid="{00000000-0010-0000-0300-0000E2250000}" name="Column9693" dataDxfId="6710"/>
    <tableColumn id="9699" xr3:uid="{00000000-0010-0000-0300-0000E3250000}" name="Column9694" dataDxfId="6709"/>
    <tableColumn id="9700" xr3:uid="{00000000-0010-0000-0300-0000E4250000}" name="Column9695" dataDxfId="6708"/>
    <tableColumn id="9701" xr3:uid="{00000000-0010-0000-0300-0000E5250000}" name="Column9696" dataDxfId="6707"/>
    <tableColumn id="9702" xr3:uid="{00000000-0010-0000-0300-0000E6250000}" name="Column9697" dataDxfId="6706"/>
    <tableColumn id="9703" xr3:uid="{00000000-0010-0000-0300-0000E7250000}" name="Column9698" dataDxfId="6705"/>
    <tableColumn id="9704" xr3:uid="{00000000-0010-0000-0300-0000E8250000}" name="Column9699" dataDxfId="6704"/>
    <tableColumn id="9705" xr3:uid="{00000000-0010-0000-0300-0000E9250000}" name="Column9700" dataDxfId="6703"/>
    <tableColumn id="9706" xr3:uid="{00000000-0010-0000-0300-0000EA250000}" name="Column9701" dataDxfId="6702"/>
    <tableColumn id="9707" xr3:uid="{00000000-0010-0000-0300-0000EB250000}" name="Column9702" dataDxfId="6701"/>
    <tableColumn id="9708" xr3:uid="{00000000-0010-0000-0300-0000EC250000}" name="Column9703" dataDxfId="6700"/>
    <tableColumn id="9709" xr3:uid="{00000000-0010-0000-0300-0000ED250000}" name="Column9704" dataDxfId="6699"/>
    <tableColumn id="9710" xr3:uid="{00000000-0010-0000-0300-0000EE250000}" name="Column9705" dataDxfId="6698"/>
    <tableColumn id="9711" xr3:uid="{00000000-0010-0000-0300-0000EF250000}" name="Column9706" dataDxfId="6697"/>
    <tableColumn id="9712" xr3:uid="{00000000-0010-0000-0300-0000F0250000}" name="Column9707" dataDxfId="6696"/>
    <tableColumn id="9713" xr3:uid="{00000000-0010-0000-0300-0000F1250000}" name="Column9708" dataDxfId="6695"/>
    <tableColumn id="9714" xr3:uid="{00000000-0010-0000-0300-0000F2250000}" name="Column9709" dataDxfId="6694"/>
    <tableColumn id="9715" xr3:uid="{00000000-0010-0000-0300-0000F3250000}" name="Column9710" dataDxfId="6693"/>
    <tableColumn id="9716" xr3:uid="{00000000-0010-0000-0300-0000F4250000}" name="Column9711" dataDxfId="6692"/>
    <tableColumn id="9717" xr3:uid="{00000000-0010-0000-0300-0000F5250000}" name="Column9712" dataDxfId="6691"/>
    <tableColumn id="9718" xr3:uid="{00000000-0010-0000-0300-0000F6250000}" name="Column9713" dataDxfId="6690"/>
    <tableColumn id="9719" xr3:uid="{00000000-0010-0000-0300-0000F7250000}" name="Column9714" dataDxfId="6689"/>
    <tableColumn id="9720" xr3:uid="{00000000-0010-0000-0300-0000F8250000}" name="Column9715" dataDxfId="6688"/>
    <tableColumn id="9721" xr3:uid="{00000000-0010-0000-0300-0000F9250000}" name="Column9716" dataDxfId="6687"/>
    <tableColumn id="9722" xr3:uid="{00000000-0010-0000-0300-0000FA250000}" name="Column9717" dataDxfId="6686"/>
    <tableColumn id="9723" xr3:uid="{00000000-0010-0000-0300-0000FB250000}" name="Column9718" dataDxfId="6685"/>
    <tableColumn id="9724" xr3:uid="{00000000-0010-0000-0300-0000FC250000}" name="Column9719" dataDxfId="6684"/>
    <tableColumn id="9725" xr3:uid="{00000000-0010-0000-0300-0000FD250000}" name="Column9720" dataDxfId="6683"/>
    <tableColumn id="9726" xr3:uid="{00000000-0010-0000-0300-0000FE250000}" name="Column9721" dataDxfId="6682"/>
    <tableColumn id="9727" xr3:uid="{00000000-0010-0000-0300-0000FF250000}" name="Column9722" dataDxfId="6681"/>
    <tableColumn id="9728" xr3:uid="{00000000-0010-0000-0300-000000260000}" name="Column9723" dataDxfId="6680"/>
    <tableColumn id="9729" xr3:uid="{00000000-0010-0000-0300-000001260000}" name="Column9724" dataDxfId="6679"/>
    <tableColumn id="9730" xr3:uid="{00000000-0010-0000-0300-000002260000}" name="Column9725" dataDxfId="6678"/>
    <tableColumn id="9731" xr3:uid="{00000000-0010-0000-0300-000003260000}" name="Column9726" dataDxfId="6677"/>
    <tableColumn id="9732" xr3:uid="{00000000-0010-0000-0300-000004260000}" name="Column9727" dataDxfId="6676"/>
    <tableColumn id="9733" xr3:uid="{00000000-0010-0000-0300-000005260000}" name="Column9728" dataDxfId="6675"/>
    <tableColumn id="9734" xr3:uid="{00000000-0010-0000-0300-000006260000}" name="Column9729" dataDxfId="6674"/>
    <tableColumn id="9735" xr3:uid="{00000000-0010-0000-0300-000007260000}" name="Column9730" dataDxfId="6673"/>
    <tableColumn id="9736" xr3:uid="{00000000-0010-0000-0300-000008260000}" name="Column9731" dataDxfId="6672"/>
    <tableColumn id="9737" xr3:uid="{00000000-0010-0000-0300-000009260000}" name="Column9732" dataDxfId="6671"/>
    <tableColumn id="9738" xr3:uid="{00000000-0010-0000-0300-00000A260000}" name="Column9733" dataDxfId="6670"/>
    <tableColumn id="9739" xr3:uid="{00000000-0010-0000-0300-00000B260000}" name="Column9734" dataDxfId="6669"/>
    <tableColumn id="9740" xr3:uid="{00000000-0010-0000-0300-00000C260000}" name="Column9735" dataDxfId="6668"/>
    <tableColumn id="9741" xr3:uid="{00000000-0010-0000-0300-00000D260000}" name="Column9736" dataDxfId="6667"/>
    <tableColumn id="9742" xr3:uid="{00000000-0010-0000-0300-00000E260000}" name="Column9737" dataDxfId="6666"/>
    <tableColumn id="9743" xr3:uid="{00000000-0010-0000-0300-00000F260000}" name="Column9738" dataDxfId="6665"/>
    <tableColumn id="9744" xr3:uid="{00000000-0010-0000-0300-000010260000}" name="Column9739" dataDxfId="6664"/>
    <tableColumn id="9745" xr3:uid="{00000000-0010-0000-0300-000011260000}" name="Column9740" dataDxfId="6663"/>
    <tableColumn id="9746" xr3:uid="{00000000-0010-0000-0300-000012260000}" name="Column9741" dataDxfId="6662"/>
    <tableColumn id="9747" xr3:uid="{00000000-0010-0000-0300-000013260000}" name="Column9742" dataDxfId="6661"/>
    <tableColumn id="9748" xr3:uid="{00000000-0010-0000-0300-000014260000}" name="Column9743" dataDxfId="6660"/>
    <tableColumn id="9749" xr3:uid="{00000000-0010-0000-0300-000015260000}" name="Column9744" dataDxfId="6659"/>
    <tableColumn id="9750" xr3:uid="{00000000-0010-0000-0300-000016260000}" name="Column9745" dataDxfId="6658"/>
    <tableColumn id="9751" xr3:uid="{00000000-0010-0000-0300-000017260000}" name="Column9746" dataDxfId="6657"/>
    <tableColumn id="9752" xr3:uid="{00000000-0010-0000-0300-000018260000}" name="Column9747" dataDxfId="6656"/>
    <tableColumn id="9753" xr3:uid="{00000000-0010-0000-0300-000019260000}" name="Column9748" dataDxfId="6655"/>
    <tableColumn id="9754" xr3:uid="{00000000-0010-0000-0300-00001A260000}" name="Column9749" dataDxfId="6654"/>
    <tableColumn id="9755" xr3:uid="{00000000-0010-0000-0300-00001B260000}" name="Column9750" dataDxfId="6653"/>
    <tableColumn id="9756" xr3:uid="{00000000-0010-0000-0300-00001C260000}" name="Column9751" dataDxfId="6652"/>
    <tableColumn id="9757" xr3:uid="{00000000-0010-0000-0300-00001D260000}" name="Column9752" dataDxfId="6651"/>
    <tableColumn id="9758" xr3:uid="{00000000-0010-0000-0300-00001E260000}" name="Column9753" dataDxfId="6650"/>
    <tableColumn id="9759" xr3:uid="{00000000-0010-0000-0300-00001F260000}" name="Column9754" dataDxfId="6649"/>
    <tableColumn id="9760" xr3:uid="{00000000-0010-0000-0300-000020260000}" name="Column9755" dataDxfId="6648"/>
    <tableColumn id="9761" xr3:uid="{00000000-0010-0000-0300-000021260000}" name="Column9756" dataDxfId="6647"/>
    <tableColumn id="9762" xr3:uid="{00000000-0010-0000-0300-000022260000}" name="Column9757" dataDxfId="6646"/>
    <tableColumn id="9763" xr3:uid="{00000000-0010-0000-0300-000023260000}" name="Column9758" dataDxfId="6645"/>
    <tableColumn id="9764" xr3:uid="{00000000-0010-0000-0300-000024260000}" name="Column9759" dataDxfId="6644"/>
    <tableColumn id="9765" xr3:uid="{00000000-0010-0000-0300-000025260000}" name="Column9760" dataDxfId="6643"/>
    <tableColumn id="9766" xr3:uid="{00000000-0010-0000-0300-000026260000}" name="Column9761" dataDxfId="6642"/>
    <tableColumn id="9767" xr3:uid="{00000000-0010-0000-0300-000027260000}" name="Column9762" dataDxfId="6641"/>
    <tableColumn id="9768" xr3:uid="{00000000-0010-0000-0300-000028260000}" name="Column9763" dataDxfId="6640"/>
    <tableColumn id="9769" xr3:uid="{00000000-0010-0000-0300-000029260000}" name="Column9764" dataDxfId="6639"/>
    <tableColumn id="9770" xr3:uid="{00000000-0010-0000-0300-00002A260000}" name="Column9765" dataDxfId="6638"/>
    <tableColumn id="9771" xr3:uid="{00000000-0010-0000-0300-00002B260000}" name="Column9766" dataDxfId="6637"/>
    <tableColumn id="9772" xr3:uid="{00000000-0010-0000-0300-00002C260000}" name="Column9767" dataDxfId="6636"/>
    <tableColumn id="9773" xr3:uid="{00000000-0010-0000-0300-00002D260000}" name="Column9768" dataDxfId="6635"/>
    <tableColumn id="9774" xr3:uid="{00000000-0010-0000-0300-00002E260000}" name="Column9769" dataDxfId="6634"/>
    <tableColumn id="9775" xr3:uid="{00000000-0010-0000-0300-00002F260000}" name="Column9770" dataDxfId="6633"/>
    <tableColumn id="9776" xr3:uid="{00000000-0010-0000-0300-000030260000}" name="Column9771" dataDxfId="6632"/>
    <tableColumn id="9777" xr3:uid="{00000000-0010-0000-0300-000031260000}" name="Column9772" dataDxfId="6631"/>
    <tableColumn id="9778" xr3:uid="{00000000-0010-0000-0300-000032260000}" name="Column9773" dataDxfId="6630"/>
    <tableColumn id="9779" xr3:uid="{00000000-0010-0000-0300-000033260000}" name="Column9774" dataDxfId="6629"/>
    <tableColumn id="9780" xr3:uid="{00000000-0010-0000-0300-000034260000}" name="Column9775" dataDxfId="6628"/>
    <tableColumn id="9781" xr3:uid="{00000000-0010-0000-0300-000035260000}" name="Column9776" dataDxfId="6627"/>
    <tableColumn id="9782" xr3:uid="{00000000-0010-0000-0300-000036260000}" name="Column9777" dataDxfId="6626"/>
    <tableColumn id="9783" xr3:uid="{00000000-0010-0000-0300-000037260000}" name="Column9778" dataDxfId="6625"/>
    <tableColumn id="9784" xr3:uid="{00000000-0010-0000-0300-000038260000}" name="Column9779" dataDxfId="6624"/>
    <tableColumn id="9785" xr3:uid="{00000000-0010-0000-0300-000039260000}" name="Column9780" dataDxfId="6623"/>
    <tableColumn id="9786" xr3:uid="{00000000-0010-0000-0300-00003A260000}" name="Column9781" dataDxfId="6622"/>
    <tableColumn id="9787" xr3:uid="{00000000-0010-0000-0300-00003B260000}" name="Column9782" dataDxfId="6621"/>
    <tableColumn id="9788" xr3:uid="{00000000-0010-0000-0300-00003C260000}" name="Column9783" dataDxfId="6620"/>
    <tableColumn id="9789" xr3:uid="{00000000-0010-0000-0300-00003D260000}" name="Column9784" dataDxfId="6619"/>
    <tableColumn id="9790" xr3:uid="{00000000-0010-0000-0300-00003E260000}" name="Column9785" dataDxfId="6618"/>
    <tableColumn id="9791" xr3:uid="{00000000-0010-0000-0300-00003F260000}" name="Column9786" dataDxfId="6617"/>
    <tableColumn id="9792" xr3:uid="{00000000-0010-0000-0300-000040260000}" name="Column9787" dataDxfId="6616"/>
    <tableColumn id="9793" xr3:uid="{00000000-0010-0000-0300-000041260000}" name="Column9788" dataDxfId="6615"/>
    <tableColumn id="9794" xr3:uid="{00000000-0010-0000-0300-000042260000}" name="Column9789" dataDxfId="6614"/>
    <tableColumn id="9795" xr3:uid="{00000000-0010-0000-0300-000043260000}" name="Column9790" dataDxfId="6613"/>
    <tableColumn id="9796" xr3:uid="{00000000-0010-0000-0300-000044260000}" name="Column9791" dataDxfId="6612"/>
    <tableColumn id="9797" xr3:uid="{00000000-0010-0000-0300-000045260000}" name="Column9792" dataDxfId="6611"/>
    <tableColumn id="9798" xr3:uid="{00000000-0010-0000-0300-000046260000}" name="Column9793" dataDxfId="6610"/>
    <tableColumn id="9799" xr3:uid="{00000000-0010-0000-0300-000047260000}" name="Column9794" dataDxfId="6609"/>
    <tableColumn id="9800" xr3:uid="{00000000-0010-0000-0300-000048260000}" name="Column9795" dataDxfId="6608"/>
    <tableColumn id="9801" xr3:uid="{00000000-0010-0000-0300-000049260000}" name="Column9796" dataDxfId="6607"/>
    <tableColumn id="9802" xr3:uid="{00000000-0010-0000-0300-00004A260000}" name="Column9797" dataDxfId="6606"/>
    <tableColumn id="9803" xr3:uid="{00000000-0010-0000-0300-00004B260000}" name="Column9798" dataDxfId="6605"/>
    <tableColumn id="9804" xr3:uid="{00000000-0010-0000-0300-00004C260000}" name="Column9799" dataDxfId="6604"/>
    <tableColumn id="9805" xr3:uid="{00000000-0010-0000-0300-00004D260000}" name="Column9800" dataDxfId="6603"/>
    <tableColumn id="9806" xr3:uid="{00000000-0010-0000-0300-00004E260000}" name="Column9801" dataDxfId="6602"/>
    <tableColumn id="9807" xr3:uid="{00000000-0010-0000-0300-00004F260000}" name="Column9802" dataDxfId="6601"/>
    <tableColumn id="9808" xr3:uid="{00000000-0010-0000-0300-000050260000}" name="Column9803" dataDxfId="6600"/>
    <tableColumn id="9809" xr3:uid="{00000000-0010-0000-0300-000051260000}" name="Column9804" dataDxfId="6599"/>
    <tableColumn id="9810" xr3:uid="{00000000-0010-0000-0300-000052260000}" name="Column9805" dataDxfId="6598"/>
    <tableColumn id="9811" xr3:uid="{00000000-0010-0000-0300-000053260000}" name="Column9806" dataDxfId="6597"/>
    <tableColumn id="9812" xr3:uid="{00000000-0010-0000-0300-000054260000}" name="Column9807" dataDxfId="6596"/>
    <tableColumn id="9813" xr3:uid="{00000000-0010-0000-0300-000055260000}" name="Column9808" dataDxfId="6595"/>
    <tableColumn id="9814" xr3:uid="{00000000-0010-0000-0300-000056260000}" name="Column9809" dataDxfId="6594"/>
    <tableColumn id="9815" xr3:uid="{00000000-0010-0000-0300-000057260000}" name="Column9810" dataDxfId="6593"/>
    <tableColumn id="9816" xr3:uid="{00000000-0010-0000-0300-000058260000}" name="Column9811" dataDxfId="6592"/>
    <tableColumn id="9817" xr3:uid="{00000000-0010-0000-0300-000059260000}" name="Column9812" dataDxfId="6591"/>
    <tableColumn id="9818" xr3:uid="{00000000-0010-0000-0300-00005A260000}" name="Column9813" dataDxfId="6590"/>
    <tableColumn id="9819" xr3:uid="{00000000-0010-0000-0300-00005B260000}" name="Column9814" dataDxfId="6589"/>
    <tableColumn id="9820" xr3:uid="{00000000-0010-0000-0300-00005C260000}" name="Column9815" dataDxfId="6588"/>
    <tableColumn id="9821" xr3:uid="{00000000-0010-0000-0300-00005D260000}" name="Column9816" dataDxfId="6587"/>
    <tableColumn id="9822" xr3:uid="{00000000-0010-0000-0300-00005E260000}" name="Column9817" dataDxfId="6586"/>
    <tableColumn id="9823" xr3:uid="{00000000-0010-0000-0300-00005F260000}" name="Column9818" dataDxfId="6585"/>
    <tableColumn id="9824" xr3:uid="{00000000-0010-0000-0300-000060260000}" name="Column9819" dataDxfId="6584"/>
    <tableColumn id="9825" xr3:uid="{00000000-0010-0000-0300-000061260000}" name="Column9820" dataDxfId="6583"/>
    <tableColumn id="9826" xr3:uid="{00000000-0010-0000-0300-000062260000}" name="Column9821" dataDxfId="6582"/>
    <tableColumn id="9827" xr3:uid="{00000000-0010-0000-0300-000063260000}" name="Column9822" dataDxfId="6581"/>
    <tableColumn id="9828" xr3:uid="{00000000-0010-0000-0300-000064260000}" name="Column9823" dataDxfId="6580"/>
    <tableColumn id="9829" xr3:uid="{00000000-0010-0000-0300-000065260000}" name="Column9824" dataDxfId="6579"/>
    <tableColumn id="9830" xr3:uid="{00000000-0010-0000-0300-000066260000}" name="Column9825" dataDxfId="6578"/>
    <tableColumn id="9831" xr3:uid="{00000000-0010-0000-0300-000067260000}" name="Column9826" dataDxfId="6577"/>
    <tableColumn id="9832" xr3:uid="{00000000-0010-0000-0300-000068260000}" name="Column9827" dataDxfId="6576"/>
    <tableColumn id="9833" xr3:uid="{00000000-0010-0000-0300-000069260000}" name="Column9828" dataDxfId="6575"/>
    <tableColumn id="9834" xr3:uid="{00000000-0010-0000-0300-00006A260000}" name="Column9829" dataDxfId="6574"/>
    <tableColumn id="9835" xr3:uid="{00000000-0010-0000-0300-00006B260000}" name="Column9830" dataDxfId="6573"/>
    <tableColumn id="9836" xr3:uid="{00000000-0010-0000-0300-00006C260000}" name="Column9831" dataDxfId="6572"/>
    <tableColumn id="9837" xr3:uid="{00000000-0010-0000-0300-00006D260000}" name="Column9832" dataDxfId="6571"/>
    <tableColumn id="9838" xr3:uid="{00000000-0010-0000-0300-00006E260000}" name="Column9833" dataDxfId="6570"/>
    <tableColumn id="9839" xr3:uid="{00000000-0010-0000-0300-00006F260000}" name="Column9834" dataDxfId="6569"/>
    <tableColumn id="9840" xr3:uid="{00000000-0010-0000-0300-000070260000}" name="Column9835" dataDxfId="6568"/>
    <tableColumn id="9841" xr3:uid="{00000000-0010-0000-0300-000071260000}" name="Column9836" dataDxfId="6567"/>
    <tableColumn id="9842" xr3:uid="{00000000-0010-0000-0300-000072260000}" name="Column9837" dataDxfId="6566"/>
    <tableColumn id="9843" xr3:uid="{00000000-0010-0000-0300-000073260000}" name="Column9838" dataDxfId="6565"/>
    <tableColumn id="9844" xr3:uid="{00000000-0010-0000-0300-000074260000}" name="Column9839" dataDxfId="6564"/>
    <tableColumn id="9845" xr3:uid="{00000000-0010-0000-0300-000075260000}" name="Column9840" dataDxfId="6563"/>
    <tableColumn id="9846" xr3:uid="{00000000-0010-0000-0300-000076260000}" name="Column9841" dataDxfId="6562"/>
    <tableColumn id="9847" xr3:uid="{00000000-0010-0000-0300-000077260000}" name="Column9842" dataDxfId="6561"/>
    <tableColumn id="9848" xr3:uid="{00000000-0010-0000-0300-000078260000}" name="Column9843" dataDxfId="6560"/>
    <tableColumn id="9849" xr3:uid="{00000000-0010-0000-0300-000079260000}" name="Column9844" dataDxfId="6559"/>
    <tableColumn id="9850" xr3:uid="{00000000-0010-0000-0300-00007A260000}" name="Column9845" dataDxfId="6558"/>
    <tableColumn id="9851" xr3:uid="{00000000-0010-0000-0300-00007B260000}" name="Column9846" dataDxfId="6557"/>
    <tableColumn id="9852" xr3:uid="{00000000-0010-0000-0300-00007C260000}" name="Column9847" dataDxfId="6556"/>
    <tableColumn id="9853" xr3:uid="{00000000-0010-0000-0300-00007D260000}" name="Column9848" dataDxfId="6555"/>
    <tableColumn id="9854" xr3:uid="{00000000-0010-0000-0300-00007E260000}" name="Column9849" dataDxfId="6554"/>
    <tableColumn id="9855" xr3:uid="{00000000-0010-0000-0300-00007F260000}" name="Column9850" dataDxfId="6553"/>
    <tableColumn id="9856" xr3:uid="{00000000-0010-0000-0300-000080260000}" name="Column9851" dataDxfId="6552"/>
    <tableColumn id="9857" xr3:uid="{00000000-0010-0000-0300-000081260000}" name="Column9852" dataDxfId="6551"/>
    <tableColumn id="9858" xr3:uid="{00000000-0010-0000-0300-000082260000}" name="Column9853" dataDxfId="6550"/>
    <tableColumn id="9859" xr3:uid="{00000000-0010-0000-0300-000083260000}" name="Column9854" dataDxfId="6549"/>
    <tableColumn id="9860" xr3:uid="{00000000-0010-0000-0300-000084260000}" name="Column9855" dataDxfId="6548"/>
    <tableColumn id="9861" xr3:uid="{00000000-0010-0000-0300-000085260000}" name="Column9856" dataDxfId="6547"/>
    <tableColumn id="9862" xr3:uid="{00000000-0010-0000-0300-000086260000}" name="Column9857" dataDxfId="6546"/>
    <tableColumn id="9863" xr3:uid="{00000000-0010-0000-0300-000087260000}" name="Column9858" dataDxfId="6545"/>
    <tableColumn id="9864" xr3:uid="{00000000-0010-0000-0300-000088260000}" name="Column9859" dataDxfId="6544"/>
    <tableColumn id="9865" xr3:uid="{00000000-0010-0000-0300-000089260000}" name="Column9860" dataDxfId="6543"/>
    <tableColumn id="9866" xr3:uid="{00000000-0010-0000-0300-00008A260000}" name="Column9861" dataDxfId="6542"/>
    <tableColumn id="9867" xr3:uid="{00000000-0010-0000-0300-00008B260000}" name="Column9862" dataDxfId="6541"/>
    <tableColumn id="9868" xr3:uid="{00000000-0010-0000-0300-00008C260000}" name="Column9863" dataDxfId="6540"/>
    <tableColumn id="9869" xr3:uid="{00000000-0010-0000-0300-00008D260000}" name="Column9864" dataDxfId="6539"/>
    <tableColumn id="9870" xr3:uid="{00000000-0010-0000-0300-00008E260000}" name="Column9865" dataDxfId="6538"/>
    <tableColumn id="9871" xr3:uid="{00000000-0010-0000-0300-00008F260000}" name="Column9866" dataDxfId="6537"/>
    <tableColumn id="9872" xr3:uid="{00000000-0010-0000-0300-000090260000}" name="Column9867" dataDxfId="6536"/>
    <tableColumn id="9873" xr3:uid="{00000000-0010-0000-0300-000091260000}" name="Column9868" dataDxfId="6535"/>
    <tableColumn id="9874" xr3:uid="{00000000-0010-0000-0300-000092260000}" name="Column9869" dataDxfId="6534"/>
    <tableColumn id="9875" xr3:uid="{00000000-0010-0000-0300-000093260000}" name="Column9870" dataDxfId="6533"/>
    <tableColumn id="9876" xr3:uid="{00000000-0010-0000-0300-000094260000}" name="Column9871" dataDxfId="6532"/>
    <tableColumn id="9877" xr3:uid="{00000000-0010-0000-0300-000095260000}" name="Column9872" dataDxfId="6531"/>
    <tableColumn id="9878" xr3:uid="{00000000-0010-0000-0300-000096260000}" name="Column9873" dataDxfId="6530"/>
    <tableColumn id="9879" xr3:uid="{00000000-0010-0000-0300-000097260000}" name="Column9874" dataDxfId="6529"/>
    <tableColumn id="9880" xr3:uid="{00000000-0010-0000-0300-000098260000}" name="Column9875" dataDxfId="6528"/>
    <tableColumn id="9881" xr3:uid="{00000000-0010-0000-0300-000099260000}" name="Column9876" dataDxfId="6527"/>
    <tableColumn id="9882" xr3:uid="{00000000-0010-0000-0300-00009A260000}" name="Column9877" dataDxfId="6526"/>
    <tableColumn id="9883" xr3:uid="{00000000-0010-0000-0300-00009B260000}" name="Column9878" dataDxfId="6525"/>
    <tableColumn id="9884" xr3:uid="{00000000-0010-0000-0300-00009C260000}" name="Column9879" dataDxfId="6524"/>
    <tableColumn id="9885" xr3:uid="{00000000-0010-0000-0300-00009D260000}" name="Column9880" dataDxfId="6523"/>
    <tableColumn id="9886" xr3:uid="{00000000-0010-0000-0300-00009E260000}" name="Column9881" dataDxfId="6522"/>
    <tableColumn id="9887" xr3:uid="{00000000-0010-0000-0300-00009F260000}" name="Column9882" dataDxfId="6521"/>
    <tableColumn id="9888" xr3:uid="{00000000-0010-0000-0300-0000A0260000}" name="Column9883" dataDxfId="6520"/>
    <tableColumn id="9889" xr3:uid="{00000000-0010-0000-0300-0000A1260000}" name="Column9884" dataDxfId="6519"/>
    <tableColumn id="9890" xr3:uid="{00000000-0010-0000-0300-0000A2260000}" name="Column9885" dataDxfId="6518"/>
    <tableColumn id="9891" xr3:uid="{00000000-0010-0000-0300-0000A3260000}" name="Column9886" dataDxfId="6517"/>
    <tableColumn id="9892" xr3:uid="{00000000-0010-0000-0300-0000A4260000}" name="Column9887" dataDxfId="6516"/>
    <tableColumn id="9893" xr3:uid="{00000000-0010-0000-0300-0000A5260000}" name="Column9888" dataDxfId="6515"/>
    <tableColumn id="9894" xr3:uid="{00000000-0010-0000-0300-0000A6260000}" name="Column9889" dataDxfId="6514"/>
    <tableColumn id="9895" xr3:uid="{00000000-0010-0000-0300-0000A7260000}" name="Column9890" dataDxfId="6513"/>
    <tableColumn id="9896" xr3:uid="{00000000-0010-0000-0300-0000A8260000}" name="Column9891" dataDxfId="6512"/>
    <tableColumn id="9897" xr3:uid="{00000000-0010-0000-0300-0000A9260000}" name="Column9892" dataDxfId="6511"/>
    <tableColumn id="9898" xr3:uid="{00000000-0010-0000-0300-0000AA260000}" name="Column9893" dataDxfId="6510"/>
    <tableColumn id="9899" xr3:uid="{00000000-0010-0000-0300-0000AB260000}" name="Column9894" dataDxfId="6509"/>
    <tableColumn id="9900" xr3:uid="{00000000-0010-0000-0300-0000AC260000}" name="Column9895" dataDxfId="6508"/>
    <tableColumn id="9901" xr3:uid="{00000000-0010-0000-0300-0000AD260000}" name="Column9896" dataDxfId="6507"/>
    <tableColumn id="9902" xr3:uid="{00000000-0010-0000-0300-0000AE260000}" name="Column9897" dataDxfId="6506"/>
    <tableColumn id="9903" xr3:uid="{00000000-0010-0000-0300-0000AF260000}" name="Column9898" dataDxfId="6505"/>
    <tableColumn id="9904" xr3:uid="{00000000-0010-0000-0300-0000B0260000}" name="Column9899" dataDxfId="6504"/>
    <tableColumn id="9905" xr3:uid="{00000000-0010-0000-0300-0000B1260000}" name="Column9900" dataDxfId="6503"/>
    <tableColumn id="9906" xr3:uid="{00000000-0010-0000-0300-0000B2260000}" name="Column9901" dataDxfId="6502"/>
    <tableColumn id="9907" xr3:uid="{00000000-0010-0000-0300-0000B3260000}" name="Column9902" dataDxfId="6501"/>
    <tableColumn id="9908" xr3:uid="{00000000-0010-0000-0300-0000B4260000}" name="Column9903" dataDxfId="6500"/>
    <tableColumn id="9909" xr3:uid="{00000000-0010-0000-0300-0000B5260000}" name="Column9904" dataDxfId="6499"/>
    <tableColumn id="9910" xr3:uid="{00000000-0010-0000-0300-0000B6260000}" name="Column9905" dataDxfId="6498"/>
    <tableColumn id="9911" xr3:uid="{00000000-0010-0000-0300-0000B7260000}" name="Column9906" dataDxfId="6497"/>
    <tableColumn id="9912" xr3:uid="{00000000-0010-0000-0300-0000B8260000}" name="Column9907" dataDxfId="6496"/>
    <tableColumn id="9913" xr3:uid="{00000000-0010-0000-0300-0000B9260000}" name="Column9908" dataDxfId="6495"/>
    <tableColumn id="9914" xr3:uid="{00000000-0010-0000-0300-0000BA260000}" name="Column9909" dataDxfId="6494"/>
    <tableColumn id="9915" xr3:uid="{00000000-0010-0000-0300-0000BB260000}" name="Column9910" dataDxfId="6493"/>
    <tableColumn id="9916" xr3:uid="{00000000-0010-0000-0300-0000BC260000}" name="Column9911" dataDxfId="6492"/>
    <tableColumn id="9917" xr3:uid="{00000000-0010-0000-0300-0000BD260000}" name="Column9912" dataDxfId="6491"/>
    <tableColumn id="9918" xr3:uid="{00000000-0010-0000-0300-0000BE260000}" name="Column9913" dataDxfId="6490"/>
    <tableColumn id="9919" xr3:uid="{00000000-0010-0000-0300-0000BF260000}" name="Column9914" dataDxfId="6489"/>
    <tableColumn id="9920" xr3:uid="{00000000-0010-0000-0300-0000C0260000}" name="Column9915" dataDxfId="6488"/>
    <tableColumn id="9921" xr3:uid="{00000000-0010-0000-0300-0000C1260000}" name="Column9916" dataDxfId="6487"/>
    <tableColumn id="9922" xr3:uid="{00000000-0010-0000-0300-0000C2260000}" name="Column9917" dataDxfId="6486"/>
    <tableColumn id="9923" xr3:uid="{00000000-0010-0000-0300-0000C3260000}" name="Column9918" dataDxfId="6485"/>
    <tableColumn id="9924" xr3:uid="{00000000-0010-0000-0300-0000C4260000}" name="Column9919" dataDxfId="6484"/>
    <tableColumn id="9925" xr3:uid="{00000000-0010-0000-0300-0000C5260000}" name="Column9920" dataDxfId="6483"/>
    <tableColumn id="9926" xr3:uid="{00000000-0010-0000-0300-0000C6260000}" name="Column9921" dataDxfId="6482"/>
    <tableColumn id="9927" xr3:uid="{00000000-0010-0000-0300-0000C7260000}" name="Column9922" dataDxfId="6481"/>
    <tableColumn id="9928" xr3:uid="{00000000-0010-0000-0300-0000C8260000}" name="Column9923" dataDxfId="6480"/>
    <tableColumn id="9929" xr3:uid="{00000000-0010-0000-0300-0000C9260000}" name="Column9924" dataDxfId="6479"/>
    <tableColumn id="9930" xr3:uid="{00000000-0010-0000-0300-0000CA260000}" name="Column9925" dataDxfId="6478"/>
    <tableColumn id="9931" xr3:uid="{00000000-0010-0000-0300-0000CB260000}" name="Column9926" dataDxfId="6477"/>
    <tableColumn id="9932" xr3:uid="{00000000-0010-0000-0300-0000CC260000}" name="Column9927" dataDxfId="6476"/>
    <tableColumn id="9933" xr3:uid="{00000000-0010-0000-0300-0000CD260000}" name="Column9928" dataDxfId="6475"/>
    <tableColumn id="9934" xr3:uid="{00000000-0010-0000-0300-0000CE260000}" name="Column9929" dataDxfId="6474"/>
    <tableColumn id="9935" xr3:uid="{00000000-0010-0000-0300-0000CF260000}" name="Column9930" dataDxfId="6473"/>
    <tableColumn id="9936" xr3:uid="{00000000-0010-0000-0300-0000D0260000}" name="Column9931" dataDxfId="6472"/>
    <tableColumn id="9937" xr3:uid="{00000000-0010-0000-0300-0000D1260000}" name="Column9932" dataDxfId="6471"/>
    <tableColumn id="9938" xr3:uid="{00000000-0010-0000-0300-0000D2260000}" name="Column9933" dataDxfId="6470"/>
    <tableColumn id="9939" xr3:uid="{00000000-0010-0000-0300-0000D3260000}" name="Column9934" dataDxfId="6469"/>
    <tableColumn id="9940" xr3:uid="{00000000-0010-0000-0300-0000D4260000}" name="Column9935" dataDxfId="6468"/>
    <tableColumn id="9941" xr3:uid="{00000000-0010-0000-0300-0000D5260000}" name="Column9936" dataDxfId="6467"/>
    <tableColumn id="9942" xr3:uid="{00000000-0010-0000-0300-0000D6260000}" name="Column9937" dataDxfId="6466"/>
    <tableColumn id="9943" xr3:uid="{00000000-0010-0000-0300-0000D7260000}" name="Column9938" dataDxfId="6465"/>
    <tableColumn id="9944" xr3:uid="{00000000-0010-0000-0300-0000D8260000}" name="Column9939" dataDxfId="6464"/>
    <tableColumn id="9945" xr3:uid="{00000000-0010-0000-0300-0000D9260000}" name="Column9940" dataDxfId="6463"/>
    <tableColumn id="9946" xr3:uid="{00000000-0010-0000-0300-0000DA260000}" name="Column9941" dataDxfId="6462"/>
    <tableColumn id="9947" xr3:uid="{00000000-0010-0000-0300-0000DB260000}" name="Column9942" dataDxfId="6461"/>
    <tableColumn id="9948" xr3:uid="{00000000-0010-0000-0300-0000DC260000}" name="Column9943" dataDxfId="6460"/>
    <tableColumn id="9949" xr3:uid="{00000000-0010-0000-0300-0000DD260000}" name="Column9944" dataDxfId="6459"/>
    <tableColumn id="9950" xr3:uid="{00000000-0010-0000-0300-0000DE260000}" name="Column9945" dataDxfId="6458"/>
    <tableColumn id="9951" xr3:uid="{00000000-0010-0000-0300-0000DF260000}" name="Column9946" dataDxfId="6457"/>
    <tableColumn id="9952" xr3:uid="{00000000-0010-0000-0300-0000E0260000}" name="Column9947" dataDxfId="6456"/>
    <tableColumn id="9953" xr3:uid="{00000000-0010-0000-0300-0000E1260000}" name="Column9948" dataDxfId="6455"/>
    <tableColumn id="9954" xr3:uid="{00000000-0010-0000-0300-0000E2260000}" name="Column9949" dataDxfId="6454"/>
    <tableColumn id="9955" xr3:uid="{00000000-0010-0000-0300-0000E3260000}" name="Column9950" dataDxfId="6453"/>
    <tableColumn id="9956" xr3:uid="{00000000-0010-0000-0300-0000E4260000}" name="Column9951" dataDxfId="6452"/>
    <tableColumn id="9957" xr3:uid="{00000000-0010-0000-0300-0000E5260000}" name="Column9952" dataDxfId="6451"/>
    <tableColumn id="9958" xr3:uid="{00000000-0010-0000-0300-0000E6260000}" name="Column9953" dataDxfId="6450"/>
    <tableColumn id="9959" xr3:uid="{00000000-0010-0000-0300-0000E7260000}" name="Column9954" dataDxfId="6449"/>
    <tableColumn id="9960" xr3:uid="{00000000-0010-0000-0300-0000E8260000}" name="Column9955" dataDxfId="6448"/>
    <tableColumn id="9961" xr3:uid="{00000000-0010-0000-0300-0000E9260000}" name="Column9956" dataDxfId="6447"/>
    <tableColumn id="9962" xr3:uid="{00000000-0010-0000-0300-0000EA260000}" name="Column9957" dataDxfId="6446"/>
    <tableColumn id="9963" xr3:uid="{00000000-0010-0000-0300-0000EB260000}" name="Column9958" dataDxfId="6445"/>
    <tableColumn id="9964" xr3:uid="{00000000-0010-0000-0300-0000EC260000}" name="Column9959" dataDxfId="6444"/>
    <tableColumn id="9965" xr3:uid="{00000000-0010-0000-0300-0000ED260000}" name="Column9960" dataDxfId="6443"/>
    <tableColumn id="9966" xr3:uid="{00000000-0010-0000-0300-0000EE260000}" name="Column9961" dataDxfId="6442"/>
    <tableColumn id="9967" xr3:uid="{00000000-0010-0000-0300-0000EF260000}" name="Column9962" dataDxfId="6441"/>
    <tableColumn id="9968" xr3:uid="{00000000-0010-0000-0300-0000F0260000}" name="Column9963" dataDxfId="6440"/>
    <tableColumn id="9969" xr3:uid="{00000000-0010-0000-0300-0000F1260000}" name="Column9964" dataDxfId="6439"/>
    <tableColumn id="9970" xr3:uid="{00000000-0010-0000-0300-0000F2260000}" name="Column9965" dataDxfId="6438"/>
    <tableColumn id="9971" xr3:uid="{00000000-0010-0000-0300-0000F3260000}" name="Column9966" dataDxfId="6437"/>
    <tableColumn id="9972" xr3:uid="{00000000-0010-0000-0300-0000F4260000}" name="Column9967" dataDxfId="6436"/>
    <tableColumn id="9973" xr3:uid="{00000000-0010-0000-0300-0000F5260000}" name="Column9968" dataDxfId="6435"/>
    <tableColumn id="9974" xr3:uid="{00000000-0010-0000-0300-0000F6260000}" name="Column9969" dataDxfId="6434"/>
    <tableColumn id="9975" xr3:uid="{00000000-0010-0000-0300-0000F7260000}" name="Column9970" dataDxfId="6433"/>
    <tableColumn id="9976" xr3:uid="{00000000-0010-0000-0300-0000F8260000}" name="Column9971" dataDxfId="6432"/>
    <tableColumn id="9977" xr3:uid="{00000000-0010-0000-0300-0000F9260000}" name="Column9972" dataDxfId="6431"/>
    <tableColumn id="9978" xr3:uid="{00000000-0010-0000-0300-0000FA260000}" name="Column9973" dataDxfId="6430"/>
    <tableColumn id="9979" xr3:uid="{00000000-0010-0000-0300-0000FB260000}" name="Column9974" dataDxfId="6429"/>
    <tableColumn id="9980" xr3:uid="{00000000-0010-0000-0300-0000FC260000}" name="Column9975" dataDxfId="6428"/>
    <tableColumn id="9981" xr3:uid="{00000000-0010-0000-0300-0000FD260000}" name="Column9976" dataDxfId="6427"/>
    <tableColumn id="9982" xr3:uid="{00000000-0010-0000-0300-0000FE260000}" name="Column9977" dataDxfId="6426"/>
    <tableColumn id="9983" xr3:uid="{00000000-0010-0000-0300-0000FF260000}" name="Column9978" dataDxfId="6425"/>
    <tableColumn id="9984" xr3:uid="{00000000-0010-0000-0300-000000270000}" name="Column9979" dataDxfId="6424"/>
    <tableColumn id="9985" xr3:uid="{00000000-0010-0000-0300-000001270000}" name="Column9980" dataDxfId="6423"/>
    <tableColumn id="9986" xr3:uid="{00000000-0010-0000-0300-000002270000}" name="Column9981" dataDxfId="6422"/>
    <tableColumn id="9987" xr3:uid="{00000000-0010-0000-0300-000003270000}" name="Column9982" dataDxfId="6421"/>
    <tableColumn id="9988" xr3:uid="{00000000-0010-0000-0300-000004270000}" name="Column9983" dataDxfId="6420"/>
    <tableColumn id="9989" xr3:uid="{00000000-0010-0000-0300-000005270000}" name="Column9984" dataDxfId="6419"/>
    <tableColumn id="9990" xr3:uid="{00000000-0010-0000-0300-000006270000}" name="Column9985" dataDxfId="6418"/>
    <tableColumn id="9991" xr3:uid="{00000000-0010-0000-0300-000007270000}" name="Column9986" dataDxfId="6417"/>
    <tableColumn id="9992" xr3:uid="{00000000-0010-0000-0300-000008270000}" name="Column9987" dataDxfId="6416"/>
    <tableColumn id="9993" xr3:uid="{00000000-0010-0000-0300-000009270000}" name="Column9988" dataDxfId="6415"/>
    <tableColumn id="9994" xr3:uid="{00000000-0010-0000-0300-00000A270000}" name="Column9989" dataDxfId="6414"/>
    <tableColumn id="9995" xr3:uid="{00000000-0010-0000-0300-00000B270000}" name="Column9990" dataDxfId="6413"/>
    <tableColumn id="9996" xr3:uid="{00000000-0010-0000-0300-00000C270000}" name="Column9991" dataDxfId="6412"/>
    <tableColumn id="9997" xr3:uid="{00000000-0010-0000-0300-00000D270000}" name="Column9992" dataDxfId="6411"/>
    <tableColumn id="9998" xr3:uid="{00000000-0010-0000-0300-00000E270000}" name="Column9993" dataDxfId="6410"/>
    <tableColumn id="9999" xr3:uid="{00000000-0010-0000-0300-00000F270000}" name="Column9994" dataDxfId="6409"/>
    <tableColumn id="10000" xr3:uid="{00000000-0010-0000-0300-000010270000}" name="Column9995" dataDxfId="6408"/>
    <tableColumn id="10001" xr3:uid="{00000000-0010-0000-0300-000011270000}" name="Column9996" dataDxfId="6407"/>
    <tableColumn id="10002" xr3:uid="{00000000-0010-0000-0300-000012270000}" name="Column9997" dataDxfId="6406"/>
    <tableColumn id="10003" xr3:uid="{00000000-0010-0000-0300-000013270000}" name="Column9998" dataDxfId="6405"/>
    <tableColumn id="10004" xr3:uid="{00000000-0010-0000-0300-000014270000}" name="Column9999" dataDxfId="6404"/>
    <tableColumn id="10005" xr3:uid="{00000000-0010-0000-0300-000015270000}" name="Column10000" dataDxfId="6403"/>
    <tableColumn id="10006" xr3:uid="{00000000-0010-0000-0300-000016270000}" name="Column10001" dataDxfId="6402"/>
    <tableColumn id="10007" xr3:uid="{00000000-0010-0000-0300-000017270000}" name="Column10002" dataDxfId="6401"/>
    <tableColumn id="10008" xr3:uid="{00000000-0010-0000-0300-000018270000}" name="Column10003" dataDxfId="6400"/>
    <tableColumn id="10009" xr3:uid="{00000000-0010-0000-0300-000019270000}" name="Column10004" dataDxfId="6399"/>
    <tableColumn id="10010" xr3:uid="{00000000-0010-0000-0300-00001A270000}" name="Column10005" dataDxfId="6398"/>
    <tableColumn id="10011" xr3:uid="{00000000-0010-0000-0300-00001B270000}" name="Column10006" dataDxfId="6397"/>
    <tableColumn id="10012" xr3:uid="{00000000-0010-0000-0300-00001C270000}" name="Column10007" dataDxfId="6396"/>
    <tableColumn id="10013" xr3:uid="{00000000-0010-0000-0300-00001D270000}" name="Column10008" dataDxfId="6395"/>
    <tableColumn id="10014" xr3:uid="{00000000-0010-0000-0300-00001E270000}" name="Column10009" dataDxfId="6394"/>
    <tableColumn id="10015" xr3:uid="{00000000-0010-0000-0300-00001F270000}" name="Column10010" dataDxfId="6393"/>
    <tableColumn id="10016" xr3:uid="{00000000-0010-0000-0300-000020270000}" name="Column10011" dataDxfId="6392"/>
    <tableColumn id="10017" xr3:uid="{00000000-0010-0000-0300-000021270000}" name="Column10012" dataDxfId="6391"/>
    <tableColumn id="10018" xr3:uid="{00000000-0010-0000-0300-000022270000}" name="Column10013" dataDxfId="6390"/>
    <tableColumn id="10019" xr3:uid="{00000000-0010-0000-0300-000023270000}" name="Column10014" dataDxfId="6389"/>
    <tableColumn id="10020" xr3:uid="{00000000-0010-0000-0300-000024270000}" name="Column10015" dataDxfId="6388"/>
    <tableColumn id="10021" xr3:uid="{00000000-0010-0000-0300-000025270000}" name="Column10016" dataDxfId="6387"/>
    <tableColumn id="10022" xr3:uid="{00000000-0010-0000-0300-000026270000}" name="Column10017" dataDxfId="6386"/>
    <tableColumn id="10023" xr3:uid="{00000000-0010-0000-0300-000027270000}" name="Column10018" dataDxfId="6385"/>
    <tableColumn id="10024" xr3:uid="{00000000-0010-0000-0300-000028270000}" name="Column10019" dataDxfId="6384"/>
    <tableColumn id="10025" xr3:uid="{00000000-0010-0000-0300-000029270000}" name="Column10020" dataDxfId="6383"/>
    <tableColumn id="10026" xr3:uid="{00000000-0010-0000-0300-00002A270000}" name="Column10021" dataDxfId="6382"/>
    <tableColumn id="10027" xr3:uid="{00000000-0010-0000-0300-00002B270000}" name="Column10022" dataDxfId="6381"/>
    <tableColumn id="10028" xr3:uid="{00000000-0010-0000-0300-00002C270000}" name="Column10023" dataDxfId="6380"/>
    <tableColumn id="10029" xr3:uid="{00000000-0010-0000-0300-00002D270000}" name="Column10024" dataDxfId="6379"/>
    <tableColumn id="10030" xr3:uid="{00000000-0010-0000-0300-00002E270000}" name="Column10025" dataDxfId="6378"/>
    <tableColumn id="10031" xr3:uid="{00000000-0010-0000-0300-00002F270000}" name="Column10026" dataDxfId="6377"/>
    <tableColumn id="10032" xr3:uid="{00000000-0010-0000-0300-000030270000}" name="Column10027" dataDxfId="6376"/>
    <tableColumn id="10033" xr3:uid="{00000000-0010-0000-0300-000031270000}" name="Column10028" dataDxfId="6375"/>
    <tableColumn id="10034" xr3:uid="{00000000-0010-0000-0300-000032270000}" name="Column10029" dataDxfId="6374"/>
    <tableColumn id="10035" xr3:uid="{00000000-0010-0000-0300-000033270000}" name="Column10030" dataDxfId="6373"/>
    <tableColumn id="10036" xr3:uid="{00000000-0010-0000-0300-000034270000}" name="Column10031" dataDxfId="6372"/>
    <tableColumn id="10037" xr3:uid="{00000000-0010-0000-0300-000035270000}" name="Column10032" dataDxfId="6371"/>
    <tableColumn id="10038" xr3:uid="{00000000-0010-0000-0300-000036270000}" name="Column10033" dataDxfId="6370"/>
    <tableColumn id="10039" xr3:uid="{00000000-0010-0000-0300-000037270000}" name="Column10034" dataDxfId="6369"/>
    <tableColumn id="10040" xr3:uid="{00000000-0010-0000-0300-000038270000}" name="Column10035" dataDxfId="6368"/>
    <tableColumn id="10041" xr3:uid="{00000000-0010-0000-0300-000039270000}" name="Column10036" dataDxfId="6367"/>
    <tableColumn id="10042" xr3:uid="{00000000-0010-0000-0300-00003A270000}" name="Column10037" dataDxfId="6366"/>
    <tableColumn id="10043" xr3:uid="{00000000-0010-0000-0300-00003B270000}" name="Column10038" dataDxfId="6365"/>
    <tableColumn id="10044" xr3:uid="{00000000-0010-0000-0300-00003C270000}" name="Column10039" dataDxfId="6364"/>
    <tableColumn id="10045" xr3:uid="{00000000-0010-0000-0300-00003D270000}" name="Column10040" dataDxfId="6363"/>
    <tableColumn id="10046" xr3:uid="{00000000-0010-0000-0300-00003E270000}" name="Column10041" dataDxfId="6362"/>
    <tableColumn id="10047" xr3:uid="{00000000-0010-0000-0300-00003F270000}" name="Column10042" dataDxfId="6361"/>
    <tableColumn id="10048" xr3:uid="{00000000-0010-0000-0300-000040270000}" name="Column10043" dataDxfId="6360"/>
    <tableColumn id="10049" xr3:uid="{00000000-0010-0000-0300-000041270000}" name="Column10044" dataDxfId="6359"/>
    <tableColumn id="10050" xr3:uid="{00000000-0010-0000-0300-000042270000}" name="Column10045" dataDxfId="6358"/>
    <tableColumn id="10051" xr3:uid="{00000000-0010-0000-0300-000043270000}" name="Column10046" dataDxfId="6357"/>
    <tableColumn id="10052" xr3:uid="{00000000-0010-0000-0300-000044270000}" name="Column10047" dataDxfId="6356"/>
    <tableColumn id="10053" xr3:uid="{00000000-0010-0000-0300-000045270000}" name="Column10048" dataDxfId="6355"/>
    <tableColumn id="10054" xr3:uid="{00000000-0010-0000-0300-000046270000}" name="Column10049" dataDxfId="6354"/>
    <tableColumn id="10055" xr3:uid="{00000000-0010-0000-0300-000047270000}" name="Column10050" dataDxfId="6353"/>
    <tableColumn id="10056" xr3:uid="{00000000-0010-0000-0300-000048270000}" name="Column10051" dataDxfId="6352"/>
    <tableColumn id="10057" xr3:uid="{00000000-0010-0000-0300-000049270000}" name="Column10052" dataDxfId="6351"/>
    <tableColumn id="10058" xr3:uid="{00000000-0010-0000-0300-00004A270000}" name="Column10053" dataDxfId="6350"/>
    <tableColumn id="10059" xr3:uid="{00000000-0010-0000-0300-00004B270000}" name="Column10054" dataDxfId="6349"/>
    <tableColumn id="10060" xr3:uid="{00000000-0010-0000-0300-00004C270000}" name="Column10055" dataDxfId="6348"/>
    <tableColumn id="10061" xr3:uid="{00000000-0010-0000-0300-00004D270000}" name="Column10056" dataDxfId="6347"/>
    <tableColumn id="10062" xr3:uid="{00000000-0010-0000-0300-00004E270000}" name="Column10057" dataDxfId="6346"/>
    <tableColumn id="10063" xr3:uid="{00000000-0010-0000-0300-00004F270000}" name="Column10058" dataDxfId="6345"/>
    <tableColumn id="10064" xr3:uid="{00000000-0010-0000-0300-000050270000}" name="Column10059" dataDxfId="6344"/>
    <tableColumn id="10065" xr3:uid="{00000000-0010-0000-0300-000051270000}" name="Column10060" dataDxfId="6343"/>
    <tableColumn id="10066" xr3:uid="{00000000-0010-0000-0300-000052270000}" name="Column10061" dataDxfId="6342"/>
    <tableColumn id="10067" xr3:uid="{00000000-0010-0000-0300-000053270000}" name="Column10062" dataDxfId="6341"/>
    <tableColumn id="10068" xr3:uid="{00000000-0010-0000-0300-000054270000}" name="Column10063" dataDxfId="6340"/>
    <tableColumn id="10069" xr3:uid="{00000000-0010-0000-0300-000055270000}" name="Column10064" dataDxfId="6339"/>
    <tableColumn id="10070" xr3:uid="{00000000-0010-0000-0300-000056270000}" name="Column10065" dataDxfId="6338"/>
    <tableColumn id="10071" xr3:uid="{00000000-0010-0000-0300-000057270000}" name="Column10066" dataDxfId="6337"/>
    <tableColumn id="10072" xr3:uid="{00000000-0010-0000-0300-000058270000}" name="Column10067" dataDxfId="6336"/>
    <tableColumn id="10073" xr3:uid="{00000000-0010-0000-0300-000059270000}" name="Column10068" dataDxfId="6335"/>
    <tableColumn id="10074" xr3:uid="{00000000-0010-0000-0300-00005A270000}" name="Column10069" dataDxfId="6334"/>
    <tableColumn id="10075" xr3:uid="{00000000-0010-0000-0300-00005B270000}" name="Column10070" dataDxfId="6333"/>
    <tableColumn id="10076" xr3:uid="{00000000-0010-0000-0300-00005C270000}" name="Column10071" dataDxfId="6332"/>
    <tableColumn id="10077" xr3:uid="{00000000-0010-0000-0300-00005D270000}" name="Column10072" dataDxfId="6331"/>
    <tableColumn id="10078" xr3:uid="{00000000-0010-0000-0300-00005E270000}" name="Column10073" dataDxfId="6330"/>
    <tableColumn id="10079" xr3:uid="{00000000-0010-0000-0300-00005F270000}" name="Column10074" dataDxfId="6329"/>
    <tableColumn id="10080" xr3:uid="{00000000-0010-0000-0300-000060270000}" name="Column10075" dataDxfId="6328"/>
    <tableColumn id="10081" xr3:uid="{00000000-0010-0000-0300-000061270000}" name="Column10076" dataDxfId="6327"/>
    <tableColumn id="10082" xr3:uid="{00000000-0010-0000-0300-000062270000}" name="Column10077" dataDxfId="6326"/>
    <tableColumn id="10083" xr3:uid="{00000000-0010-0000-0300-000063270000}" name="Column10078" dataDxfId="6325"/>
    <tableColumn id="10084" xr3:uid="{00000000-0010-0000-0300-000064270000}" name="Column10079" dataDxfId="6324"/>
    <tableColumn id="10085" xr3:uid="{00000000-0010-0000-0300-000065270000}" name="Column10080" dataDxfId="6323"/>
    <tableColumn id="10086" xr3:uid="{00000000-0010-0000-0300-000066270000}" name="Column10081" dataDxfId="6322"/>
    <tableColumn id="10087" xr3:uid="{00000000-0010-0000-0300-000067270000}" name="Column10082" dataDxfId="6321"/>
    <tableColumn id="10088" xr3:uid="{00000000-0010-0000-0300-000068270000}" name="Column10083" dataDxfId="6320"/>
    <tableColumn id="10089" xr3:uid="{00000000-0010-0000-0300-000069270000}" name="Column10084" dataDxfId="6319"/>
    <tableColumn id="10090" xr3:uid="{00000000-0010-0000-0300-00006A270000}" name="Column10085" dataDxfId="6318"/>
    <tableColumn id="10091" xr3:uid="{00000000-0010-0000-0300-00006B270000}" name="Column10086" dataDxfId="6317"/>
    <tableColumn id="10092" xr3:uid="{00000000-0010-0000-0300-00006C270000}" name="Column10087" dataDxfId="6316"/>
    <tableColumn id="10093" xr3:uid="{00000000-0010-0000-0300-00006D270000}" name="Column10088" dataDxfId="6315"/>
    <tableColumn id="10094" xr3:uid="{00000000-0010-0000-0300-00006E270000}" name="Column10089" dataDxfId="6314"/>
    <tableColumn id="10095" xr3:uid="{00000000-0010-0000-0300-00006F270000}" name="Column10090" dataDxfId="6313"/>
    <tableColumn id="10096" xr3:uid="{00000000-0010-0000-0300-000070270000}" name="Column10091" dataDxfId="6312"/>
    <tableColumn id="10097" xr3:uid="{00000000-0010-0000-0300-000071270000}" name="Column10092" dataDxfId="6311"/>
    <tableColumn id="10098" xr3:uid="{00000000-0010-0000-0300-000072270000}" name="Column10093" dataDxfId="6310"/>
    <tableColumn id="10099" xr3:uid="{00000000-0010-0000-0300-000073270000}" name="Column10094" dataDxfId="6309"/>
    <tableColumn id="10100" xr3:uid="{00000000-0010-0000-0300-000074270000}" name="Column10095" dataDxfId="6308"/>
    <tableColumn id="10101" xr3:uid="{00000000-0010-0000-0300-000075270000}" name="Column10096" dataDxfId="6307"/>
    <tableColumn id="10102" xr3:uid="{00000000-0010-0000-0300-000076270000}" name="Column10097" dataDxfId="6306"/>
    <tableColumn id="10103" xr3:uid="{00000000-0010-0000-0300-000077270000}" name="Column10098" dataDxfId="6305"/>
    <tableColumn id="10104" xr3:uid="{00000000-0010-0000-0300-000078270000}" name="Column10099" dataDxfId="6304"/>
    <tableColumn id="10105" xr3:uid="{00000000-0010-0000-0300-000079270000}" name="Column10100" dataDxfId="6303"/>
    <tableColumn id="10106" xr3:uid="{00000000-0010-0000-0300-00007A270000}" name="Column10101" dataDxfId="6302"/>
    <tableColumn id="10107" xr3:uid="{00000000-0010-0000-0300-00007B270000}" name="Column10102" dataDxfId="6301"/>
    <tableColumn id="10108" xr3:uid="{00000000-0010-0000-0300-00007C270000}" name="Column10103" dataDxfId="6300"/>
    <tableColumn id="10109" xr3:uid="{00000000-0010-0000-0300-00007D270000}" name="Column10104" dataDxfId="6299"/>
    <tableColumn id="10110" xr3:uid="{00000000-0010-0000-0300-00007E270000}" name="Column10105" dataDxfId="6298"/>
    <tableColumn id="10111" xr3:uid="{00000000-0010-0000-0300-00007F270000}" name="Column10106" dataDxfId="6297"/>
    <tableColumn id="10112" xr3:uid="{00000000-0010-0000-0300-000080270000}" name="Column10107" dataDxfId="6296"/>
    <tableColumn id="10113" xr3:uid="{00000000-0010-0000-0300-000081270000}" name="Column10108" dataDxfId="6295"/>
    <tableColumn id="10114" xr3:uid="{00000000-0010-0000-0300-000082270000}" name="Column10109" dataDxfId="6294"/>
    <tableColumn id="10115" xr3:uid="{00000000-0010-0000-0300-000083270000}" name="Column10110" dataDxfId="6293"/>
    <tableColumn id="10116" xr3:uid="{00000000-0010-0000-0300-000084270000}" name="Column10111" dataDxfId="6292"/>
    <tableColumn id="10117" xr3:uid="{00000000-0010-0000-0300-000085270000}" name="Column10112" dataDxfId="6291"/>
    <tableColumn id="10118" xr3:uid="{00000000-0010-0000-0300-000086270000}" name="Column10113" dataDxfId="6290"/>
    <tableColumn id="10119" xr3:uid="{00000000-0010-0000-0300-000087270000}" name="Column10114" dataDxfId="6289"/>
    <tableColumn id="10120" xr3:uid="{00000000-0010-0000-0300-000088270000}" name="Column10115" dataDxfId="6288"/>
    <tableColumn id="10121" xr3:uid="{00000000-0010-0000-0300-000089270000}" name="Column10116" dataDxfId="6287"/>
    <tableColumn id="10122" xr3:uid="{00000000-0010-0000-0300-00008A270000}" name="Column10117" dataDxfId="6286"/>
    <tableColumn id="10123" xr3:uid="{00000000-0010-0000-0300-00008B270000}" name="Column10118" dataDxfId="6285"/>
    <tableColumn id="10124" xr3:uid="{00000000-0010-0000-0300-00008C270000}" name="Column10119" dataDxfId="6284"/>
    <tableColumn id="10125" xr3:uid="{00000000-0010-0000-0300-00008D270000}" name="Column10120" dataDxfId="6283"/>
    <tableColumn id="10126" xr3:uid="{00000000-0010-0000-0300-00008E270000}" name="Column10121" dataDxfId="6282"/>
    <tableColumn id="10127" xr3:uid="{00000000-0010-0000-0300-00008F270000}" name="Column10122" dataDxfId="6281"/>
    <tableColumn id="10128" xr3:uid="{00000000-0010-0000-0300-000090270000}" name="Column10123" dataDxfId="6280"/>
    <tableColumn id="10129" xr3:uid="{00000000-0010-0000-0300-000091270000}" name="Column10124" dataDxfId="6279"/>
    <tableColumn id="10130" xr3:uid="{00000000-0010-0000-0300-000092270000}" name="Column10125" dataDxfId="6278"/>
    <tableColumn id="10131" xr3:uid="{00000000-0010-0000-0300-000093270000}" name="Column10126" dataDxfId="6277"/>
    <tableColumn id="10132" xr3:uid="{00000000-0010-0000-0300-000094270000}" name="Column10127" dataDxfId="6276"/>
    <tableColumn id="10133" xr3:uid="{00000000-0010-0000-0300-000095270000}" name="Column10128" dataDxfId="6275"/>
    <tableColumn id="10134" xr3:uid="{00000000-0010-0000-0300-000096270000}" name="Column10129" dataDxfId="6274"/>
    <tableColumn id="10135" xr3:uid="{00000000-0010-0000-0300-000097270000}" name="Column10130" dataDxfId="6273"/>
    <tableColumn id="10136" xr3:uid="{00000000-0010-0000-0300-000098270000}" name="Column10131" dataDxfId="6272"/>
    <tableColumn id="10137" xr3:uid="{00000000-0010-0000-0300-000099270000}" name="Column10132" dataDxfId="6271"/>
    <tableColumn id="10138" xr3:uid="{00000000-0010-0000-0300-00009A270000}" name="Column10133" dataDxfId="6270"/>
    <tableColumn id="10139" xr3:uid="{00000000-0010-0000-0300-00009B270000}" name="Column10134" dataDxfId="6269"/>
    <tableColumn id="10140" xr3:uid="{00000000-0010-0000-0300-00009C270000}" name="Column10135" dataDxfId="6268"/>
    <tableColumn id="10141" xr3:uid="{00000000-0010-0000-0300-00009D270000}" name="Column10136" dataDxfId="6267"/>
    <tableColumn id="10142" xr3:uid="{00000000-0010-0000-0300-00009E270000}" name="Column10137" dataDxfId="6266"/>
    <tableColumn id="10143" xr3:uid="{00000000-0010-0000-0300-00009F270000}" name="Column10138" dataDxfId="6265"/>
    <tableColumn id="10144" xr3:uid="{00000000-0010-0000-0300-0000A0270000}" name="Column10139" dataDxfId="6264"/>
    <tableColumn id="10145" xr3:uid="{00000000-0010-0000-0300-0000A1270000}" name="Column10140" dataDxfId="6263"/>
    <tableColumn id="10146" xr3:uid="{00000000-0010-0000-0300-0000A2270000}" name="Column10141" dataDxfId="6262"/>
    <tableColumn id="10147" xr3:uid="{00000000-0010-0000-0300-0000A3270000}" name="Column10142" dataDxfId="6261"/>
    <tableColumn id="10148" xr3:uid="{00000000-0010-0000-0300-0000A4270000}" name="Column10143" dataDxfId="6260"/>
    <tableColumn id="10149" xr3:uid="{00000000-0010-0000-0300-0000A5270000}" name="Column10144" dataDxfId="6259"/>
    <tableColumn id="10150" xr3:uid="{00000000-0010-0000-0300-0000A6270000}" name="Column10145" dataDxfId="6258"/>
    <tableColumn id="10151" xr3:uid="{00000000-0010-0000-0300-0000A7270000}" name="Column10146" dataDxfId="6257"/>
    <tableColumn id="10152" xr3:uid="{00000000-0010-0000-0300-0000A8270000}" name="Column10147" dataDxfId="6256"/>
    <tableColumn id="10153" xr3:uid="{00000000-0010-0000-0300-0000A9270000}" name="Column10148" dataDxfId="6255"/>
    <tableColumn id="10154" xr3:uid="{00000000-0010-0000-0300-0000AA270000}" name="Column10149" dataDxfId="6254"/>
    <tableColumn id="10155" xr3:uid="{00000000-0010-0000-0300-0000AB270000}" name="Column10150" dataDxfId="6253"/>
    <tableColumn id="10156" xr3:uid="{00000000-0010-0000-0300-0000AC270000}" name="Column10151" dataDxfId="6252"/>
    <tableColumn id="10157" xr3:uid="{00000000-0010-0000-0300-0000AD270000}" name="Column10152" dataDxfId="6251"/>
    <tableColumn id="10158" xr3:uid="{00000000-0010-0000-0300-0000AE270000}" name="Column10153" dataDxfId="6250"/>
    <tableColumn id="10159" xr3:uid="{00000000-0010-0000-0300-0000AF270000}" name="Column10154" dataDxfId="6249"/>
    <tableColumn id="10160" xr3:uid="{00000000-0010-0000-0300-0000B0270000}" name="Column10155" dataDxfId="6248"/>
    <tableColumn id="10161" xr3:uid="{00000000-0010-0000-0300-0000B1270000}" name="Column10156" dataDxfId="6247"/>
    <tableColumn id="10162" xr3:uid="{00000000-0010-0000-0300-0000B2270000}" name="Column10157" dataDxfId="6246"/>
    <tableColumn id="10163" xr3:uid="{00000000-0010-0000-0300-0000B3270000}" name="Column10158" dataDxfId="6245"/>
    <tableColumn id="10164" xr3:uid="{00000000-0010-0000-0300-0000B4270000}" name="Column10159" dataDxfId="6244"/>
    <tableColumn id="10165" xr3:uid="{00000000-0010-0000-0300-0000B5270000}" name="Column10160" dataDxfId="6243"/>
    <tableColumn id="10166" xr3:uid="{00000000-0010-0000-0300-0000B6270000}" name="Column10161" dataDxfId="6242"/>
    <tableColumn id="10167" xr3:uid="{00000000-0010-0000-0300-0000B7270000}" name="Column10162" dataDxfId="6241"/>
    <tableColumn id="10168" xr3:uid="{00000000-0010-0000-0300-0000B8270000}" name="Column10163" dataDxfId="6240"/>
    <tableColumn id="10169" xr3:uid="{00000000-0010-0000-0300-0000B9270000}" name="Column10164" dataDxfId="6239"/>
    <tableColumn id="10170" xr3:uid="{00000000-0010-0000-0300-0000BA270000}" name="Column10165" dataDxfId="6238"/>
    <tableColumn id="10171" xr3:uid="{00000000-0010-0000-0300-0000BB270000}" name="Column10166" dataDxfId="6237"/>
    <tableColumn id="10172" xr3:uid="{00000000-0010-0000-0300-0000BC270000}" name="Column10167" dataDxfId="6236"/>
    <tableColumn id="10173" xr3:uid="{00000000-0010-0000-0300-0000BD270000}" name="Column10168" dataDxfId="6235"/>
    <tableColumn id="10174" xr3:uid="{00000000-0010-0000-0300-0000BE270000}" name="Column10169" dataDxfId="6234"/>
    <tableColumn id="10175" xr3:uid="{00000000-0010-0000-0300-0000BF270000}" name="Column10170" dataDxfId="6233"/>
    <tableColumn id="10176" xr3:uid="{00000000-0010-0000-0300-0000C0270000}" name="Column10171" dataDxfId="6232"/>
    <tableColumn id="10177" xr3:uid="{00000000-0010-0000-0300-0000C1270000}" name="Column10172" dataDxfId="6231"/>
    <tableColumn id="10178" xr3:uid="{00000000-0010-0000-0300-0000C2270000}" name="Column10173" dataDxfId="6230"/>
    <tableColumn id="10179" xr3:uid="{00000000-0010-0000-0300-0000C3270000}" name="Column10174" dataDxfId="6229"/>
    <tableColumn id="10180" xr3:uid="{00000000-0010-0000-0300-0000C4270000}" name="Column10175" dataDxfId="6228"/>
    <tableColumn id="10181" xr3:uid="{00000000-0010-0000-0300-0000C5270000}" name="Column10176" dataDxfId="6227"/>
    <tableColumn id="10182" xr3:uid="{00000000-0010-0000-0300-0000C6270000}" name="Column10177" dataDxfId="6226"/>
    <tableColumn id="10183" xr3:uid="{00000000-0010-0000-0300-0000C7270000}" name="Column10178" dataDxfId="6225"/>
    <tableColumn id="10184" xr3:uid="{00000000-0010-0000-0300-0000C8270000}" name="Column10179" dataDxfId="6224"/>
    <tableColumn id="10185" xr3:uid="{00000000-0010-0000-0300-0000C9270000}" name="Column10180" dataDxfId="6223"/>
    <tableColumn id="10186" xr3:uid="{00000000-0010-0000-0300-0000CA270000}" name="Column10181" dataDxfId="6222"/>
    <tableColumn id="10187" xr3:uid="{00000000-0010-0000-0300-0000CB270000}" name="Column10182" dataDxfId="6221"/>
    <tableColumn id="10188" xr3:uid="{00000000-0010-0000-0300-0000CC270000}" name="Column10183" dataDxfId="6220"/>
    <tableColumn id="10189" xr3:uid="{00000000-0010-0000-0300-0000CD270000}" name="Column10184" dataDxfId="6219"/>
    <tableColumn id="10190" xr3:uid="{00000000-0010-0000-0300-0000CE270000}" name="Column10185" dataDxfId="6218"/>
    <tableColumn id="10191" xr3:uid="{00000000-0010-0000-0300-0000CF270000}" name="Column10186" dataDxfId="6217"/>
    <tableColumn id="10192" xr3:uid="{00000000-0010-0000-0300-0000D0270000}" name="Column10187" dataDxfId="6216"/>
    <tableColumn id="10193" xr3:uid="{00000000-0010-0000-0300-0000D1270000}" name="Column10188" dataDxfId="6215"/>
    <tableColumn id="10194" xr3:uid="{00000000-0010-0000-0300-0000D2270000}" name="Column10189" dataDxfId="6214"/>
    <tableColumn id="10195" xr3:uid="{00000000-0010-0000-0300-0000D3270000}" name="Column10190" dataDxfId="6213"/>
    <tableColumn id="10196" xr3:uid="{00000000-0010-0000-0300-0000D4270000}" name="Column10191" dataDxfId="6212"/>
    <tableColumn id="10197" xr3:uid="{00000000-0010-0000-0300-0000D5270000}" name="Column10192" dataDxfId="6211"/>
    <tableColumn id="10198" xr3:uid="{00000000-0010-0000-0300-0000D6270000}" name="Column10193" dataDxfId="6210"/>
    <tableColumn id="10199" xr3:uid="{00000000-0010-0000-0300-0000D7270000}" name="Column10194" dataDxfId="6209"/>
    <tableColumn id="10200" xr3:uid="{00000000-0010-0000-0300-0000D8270000}" name="Column10195" dataDxfId="6208"/>
    <tableColumn id="10201" xr3:uid="{00000000-0010-0000-0300-0000D9270000}" name="Column10196" dataDxfId="6207"/>
    <tableColumn id="10202" xr3:uid="{00000000-0010-0000-0300-0000DA270000}" name="Column10197" dataDxfId="6206"/>
    <tableColumn id="10203" xr3:uid="{00000000-0010-0000-0300-0000DB270000}" name="Column10198" dataDxfId="6205"/>
    <tableColumn id="10204" xr3:uid="{00000000-0010-0000-0300-0000DC270000}" name="Column10199" dataDxfId="6204"/>
    <tableColumn id="10205" xr3:uid="{00000000-0010-0000-0300-0000DD270000}" name="Column10200" dataDxfId="6203"/>
    <tableColumn id="10206" xr3:uid="{00000000-0010-0000-0300-0000DE270000}" name="Column10201" dataDxfId="6202"/>
    <tableColumn id="10207" xr3:uid="{00000000-0010-0000-0300-0000DF270000}" name="Column10202" dataDxfId="6201"/>
    <tableColumn id="10208" xr3:uid="{00000000-0010-0000-0300-0000E0270000}" name="Column10203" dataDxfId="6200"/>
    <tableColumn id="10209" xr3:uid="{00000000-0010-0000-0300-0000E1270000}" name="Column10204" dataDxfId="6199"/>
    <tableColumn id="10210" xr3:uid="{00000000-0010-0000-0300-0000E2270000}" name="Column10205" dataDxfId="6198"/>
    <tableColumn id="10211" xr3:uid="{00000000-0010-0000-0300-0000E3270000}" name="Column10206" dataDxfId="6197"/>
    <tableColumn id="10212" xr3:uid="{00000000-0010-0000-0300-0000E4270000}" name="Column10207" dataDxfId="6196"/>
    <tableColumn id="10213" xr3:uid="{00000000-0010-0000-0300-0000E5270000}" name="Column10208" dataDxfId="6195"/>
    <tableColumn id="10214" xr3:uid="{00000000-0010-0000-0300-0000E6270000}" name="Column10209" dataDxfId="6194"/>
    <tableColumn id="10215" xr3:uid="{00000000-0010-0000-0300-0000E7270000}" name="Column10210" dataDxfId="6193"/>
    <tableColumn id="10216" xr3:uid="{00000000-0010-0000-0300-0000E8270000}" name="Column10211" dataDxfId="6192"/>
    <tableColumn id="10217" xr3:uid="{00000000-0010-0000-0300-0000E9270000}" name="Column10212" dataDxfId="6191"/>
    <tableColumn id="10218" xr3:uid="{00000000-0010-0000-0300-0000EA270000}" name="Column10213" dataDxfId="6190"/>
    <tableColumn id="10219" xr3:uid="{00000000-0010-0000-0300-0000EB270000}" name="Column10214" dataDxfId="6189"/>
    <tableColumn id="10220" xr3:uid="{00000000-0010-0000-0300-0000EC270000}" name="Column10215" dataDxfId="6188"/>
    <tableColumn id="10221" xr3:uid="{00000000-0010-0000-0300-0000ED270000}" name="Column10216" dataDxfId="6187"/>
    <tableColumn id="10222" xr3:uid="{00000000-0010-0000-0300-0000EE270000}" name="Column10217" dataDxfId="6186"/>
    <tableColumn id="10223" xr3:uid="{00000000-0010-0000-0300-0000EF270000}" name="Column10218" dataDxfId="6185"/>
    <tableColumn id="10224" xr3:uid="{00000000-0010-0000-0300-0000F0270000}" name="Column10219" dataDxfId="6184"/>
    <tableColumn id="10225" xr3:uid="{00000000-0010-0000-0300-0000F1270000}" name="Column10220" dataDxfId="6183"/>
    <tableColumn id="10226" xr3:uid="{00000000-0010-0000-0300-0000F2270000}" name="Column10221" dataDxfId="6182"/>
    <tableColumn id="10227" xr3:uid="{00000000-0010-0000-0300-0000F3270000}" name="Column10222" dataDxfId="6181"/>
    <tableColumn id="10228" xr3:uid="{00000000-0010-0000-0300-0000F4270000}" name="Column10223" dataDxfId="6180"/>
    <tableColumn id="10229" xr3:uid="{00000000-0010-0000-0300-0000F5270000}" name="Column10224" dataDxfId="6179"/>
    <tableColumn id="10230" xr3:uid="{00000000-0010-0000-0300-0000F6270000}" name="Column10225" dataDxfId="6178"/>
    <tableColumn id="10231" xr3:uid="{00000000-0010-0000-0300-0000F7270000}" name="Column10226" dataDxfId="6177"/>
    <tableColumn id="10232" xr3:uid="{00000000-0010-0000-0300-0000F8270000}" name="Column10227" dataDxfId="6176"/>
    <tableColumn id="10233" xr3:uid="{00000000-0010-0000-0300-0000F9270000}" name="Column10228" dataDxfId="6175"/>
    <tableColumn id="10234" xr3:uid="{00000000-0010-0000-0300-0000FA270000}" name="Column10229" dataDxfId="6174"/>
    <tableColumn id="10235" xr3:uid="{00000000-0010-0000-0300-0000FB270000}" name="Column10230" dataDxfId="6173"/>
    <tableColumn id="10236" xr3:uid="{00000000-0010-0000-0300-0000FC270000}" name="Column10231" dataDxfId="6172"/>
    <tableColumn id="10237" xr3:uid="{00000000-0010-0000-0300-0000FD270000}" name="Column10232" dataDxfId="6171"/>
    <tableColumn id="10238" xr3:uid="{00000000-0010-0000-0300-0000FE270000}" name="Column10233" dataDxfId="6170"/>
    <tableColumn id="10239" xr3:uid="{00000000-0010-0000-0300-0000FF270000}" name="Column10234" dataDxfId="6169"/>
    <tableColumn id="10240" xr3:uid="{00000000-0010-0000-0300-000000280000}" name="Column10235" dataDxfId="6168"/>
    <tableColumn id="10241" xr3:uid="{00000000-0010-0000-0300-000001280000}" name="Column10236" dataDxfId="6167"/>
    <tableColumn id="10242" xr3:uid="{00000000-0010-0000-0300-000002280000}" name="Column10237" dataDxfId="6166"/>
    <tableColumn id="10243" xr3:uid="{00000000-0010-0000-0300-000003280000}" name="Column10238" dataDxfId="6165"/>
    <tableColumn id="10244" xr3:uid="{00000000-0010-0000-0300-000004280000}" name="Column10239" dataDxfId="6164"/>
    <tableColumn id="10245" xr3:uid="{00000000-0010-0000-0300-000005280000}" name="Column10240" dataDxfId="6163"/>
    <tableColumn id="10246" xr3:uid="{00000000-0010-0000-0300-000006280000}" name="Column10241" dataDxfId="6162"/>
    <tableColumn id="10247" xr3:uid="{00000000-0010-0000-0300-000007280000}" name="Column10242" dataDxfId="6161"/>
    <tableColumn id="10248" xr3:uid="{00000000-0010-0000-0300-000008280000}" name="Column10243" dataDxfId="6160"/>
    <tableColumn id="10249" xr3:uid="{00000000-0010-0000-0300-000009280000}" name="Column10244" dataDxfId="6159"/>
    <tableColumn id="10250" xr3:uid="{00000000-0010-0000-0300-00000A280000}" name="Column10245" dataDxfId="6158"/>
    <tableColumn id="10251" xr3:uid="{00000000-0010-0000-0300-00000B280000}" name="Column10246" dataDxfId="6157"/>
    <tableColumn id="10252" xr3:uid="{00000000-0010-0000-0300-00000C280000}" name="Column10247" dataDxfId="6156"/>
    <tableColumn id="10253" xr3:uid="{00000000-0010-0000-0300-00000D280000}" name="Column10248" dataDxfId="6155"/>
    <tableColumn id="10254" xr3:uid="{00000000-0010-0000-0300-00000E280000}" name="Column10249" dataDxfId="6154"/>
    <tableColumn id="10255" xr3:uid="{00000000-0010-0000-0300-00000F280000}" name="Column10250" dataDxfId="6153"/>
    <tableColumn id="10256" xr3:uid="{00000000-0010-0000-0300-000010280000}" name="Column10251" dataDxfId="6152"/>
    <tableColumn id="10257" xr3:uid="{00000000-0010-0000-0300-000011280000}" name="Column10252" dataDxfId="6151"/>
    <tableColumn id="10258" xr3:uid="{00000000-0010-0000-0300-000012280000}" name="Column10253" dataDxfId="6150"/>
    <tableColumn id="10259" xr3:uid="{00000000-0010-0000-0300-000013280000}" name="Column10254" dataDxfId="6149"/>
    <tableColumn id="10260" xr3:uid="{00000000-0010-0000-0300-000014280000}" name="Column10255" dataDxfId="6148"/>
    <tableColumn id="10261" xr3:uid="{00000000-0010-0000-0300-000015280000}" name="Column10256" dataDxfId="6147"/>
    <tableColumn id="10262" xr3:uid="{00000000-0010-0000-0300-000016280000}" name="Column10257" dataDxfId="6146"/>
    <tableColumn id="10263" xr3:uid="{00000000-0010-0000-0300-000017280000}" name="Column10258" dataDxfId="6145"/>
    <tableColumn id="10264" xr3:uid="{00000000-0010-0000-0300-000018280000}" name="Column10259" dataDxfId="6144"/>
    <tableColumn id="10265" xr3:uid="{00000000-0010-0000-0300-000019280000}" name="Column10260" dataDxfId="6143"/>
    <tableColumn id="10266" xr3:uid="{00000000-0010-0000-0300-00001A280000}" name="Column10261" dataDxfId="6142"/>
    <tableColumn id="10267" xr3:uid="{00000000-0010-0000-0300-00001B280000}" name="Column10262" dataDxfId="6141"/>
    <tableColumn id="10268" xr3:uid="{00000000-0010-0000-0300-00001C280000}" name="Column10263" dataDxfId="6140"/>
    <tableColumn id="10269" xr3:uid="{00000000-0010-0000-0300-00001D280000}" name="Column10264" dataDxfId="6139"/>
    <tableColumn id="10270" xr3:uid="{00000000-0010-0000-0300-00001E280000}" name="Column10265" dataDxfId="6138"/>
    <tableColumn id="10271" xr3:uid="{00000000-0010-0000-0300-00001F280000}" name="Column10266" dataDxfId="6137"/>
    <tableColumn id="10272" xr3:uid="{00000000-0010-0000-0300-000020280000}" name="Column10267" dataDxfId="6136"/>
    <tableColumn id="10273" xr3:uid="{00000000-0010-0000-0300-000021280000}" name="Column10268" dataDxfId="6135"/>
    <tableColumn id="10274" xr3:uid="{00000000-0010-0000-0300-000022280000}" name="Column10269" dataDxfId="6134"/>
    <tableColumn id="10275" xr3:uid="{00000000-0010-0000-0300-000023280000}" name="Column10270" dataDxfId="6133"/>
    <tableColumn id="10276" xr3:uid="{00000000-0010-0000-0300-000024280000}" name="Column10271" dataDxfId="6132"/>
    <tableColumn id="10277" xr3:uid="{00000000-0010-0000-0300-000025280000}" name="Column10272" dataDxfId="6131"/>
    <tableColumn id="10278" xr3:uid="{00000000-0010-0000-0300-000026280000}" name="Column10273" dataDxfId="6130"/>
    <tableColumn id="10279" xr3:uid="{00000000-0010-0000-0300-000027280000}" name="Column10274" dataDxfId="6129"/>
    <tableColumn id="10280" xr3:uid="{00000000-0010-0000-0300-000028280000}" name="Column10275" dataDxfId="6128"/>
    <tableColumn id="10281" xr3:uid="{00000000-0010-0000-0300-000029280000}" name="Column10276" dataDxfId="6127"/>
    <tableColumn id="10282" xr3:uid="{00000000-0010-0000-0300-00002A280000}" name="Column10277" dataDxfId="6126"/>
    <tableColumn id="10283" xr3:uid="{00000000-0010-0000-0300-00002B280000}" name="Column10278" dataDxfId="6125"/>
    <tableColumn id="10284" xr3:uid="{00000000-0010-0000-0300-00002C280000}" name="Column10279" dataDxfId="6124"/>
    <tableColumn id="10285" xr3:uid="{00000000-0010-0000-0300-00002D280000}" name="Column10280" dataDxfId="6123"/>
    <tableColumn id="10286" xr3:uid="{00000000-0010-0000-0300-00002E280000}" name="Column10281" dataDxfId="6122"/>
    <tableColumn id="10287" xr3:uid="{00000000-0010-0000-0300-00002F280000}" name="Column10282" dataDxfId="6121"/>
    <tableColumn id="10288" xr3:uid="{00000000-0010-0000-0300-000030280000}" name="Column10283" dataDxfId="6120"/>
    <tableColumn id="10289" xr3:uid="{00000000-0010-0000-0300-000031280000}" name="Column10284" dataDxfId="6119"/>
    <tableColumn id="10290" xr3:uid="{00000000-0010-0000-0300-000032280000}" name="Column10285" dataDxfId="6118"/>
    <tableColumn id="10291" xr3:uid="{00000000-0010-0000-0300-000033280000}" name="Column10286" dataDxfId="6117"/>
    <tableColumn id="10292" xr3:uid="{00000000-0010-0000-0300-000034280000}" name="Column10287" dataDxfId="6116"/>
    <tableColumn id="10293" xr3:uid="{00000000-0010-0000-0300-000035280000}" name="Column10288" dataDxfId="6115"/>
    <tableColumn id="10294" xr3:uid="{00000000-0010-0000-0300-000036280000}" name="Column10289" dataDxfId="6114"/>
    <tableColumn id="10295" xr3:uid="{00000000-0010-0000-0300-000037280000}" name="Column10290" dataDxfId="6113"/>
    <tableColumn id="10296" xr3:uid="{00000000-0010-0000-0300-000038280000}" name="Column10291" dataDxfId="6112"/>
    <tableColumn id="10297" xr3:uid="{00000000-0010-0000-0300-000039280000}" name="Column10292" dataDxfId="6111"/>
    <tableColumn id="10298" xr3:uid="{00000000-0010-0000-0300-00003A280000}" name="Column10293" dataDxfId="6110"/>
    <tableColumn id="10299" xr3:uid="{00000000-0010-0000-0300-00003B280000}" name="Column10294" dataDxfId="6109"/>
    <tableColumn id="10300" xr3:uid="{00000000-0010-0000-0300-00003C280000}" name="Column10295" dataDxfId="6108"/>
    <tableColumn id="10301" xr3:uid="{00000000-0010-0000-0300-00003D280000}" name="Column10296" dataDxfId="6107"/>
    <tableColumn id="10302" xr3:uid="{00000000-0010-0000-0300-00003E280000}" name="Column10297" dataDxfId="6106"/>
    <tableColumn id="10303" xr3:uid="{00000000-0010-0000-0300-00003F280000}" name="Column10298" dataDxfId="6105"/>
    <tableColumn id="10304" xr3:uid="{00000000-0010-0000-0300-000040280000}" name="Column10299" dataDxfId="6104"/>
    <tableColumn id="10305" xr3:uid="{00000000-0010-0000-0300-000041280000}" name="Column10300" dataDxfId="6103"/>
    <tableColumn id="10306" xr3:uid="{00000000-0010-0000-0300-000042280000}" name="Column10301" dataDxfId="6102"/>
    <tableColumn id="10307" xr3:uid="{00000000-0010-0000-0300-000043280000}" name="Column10302" dataDxfId="6101"/>
    <tableColumn id="10308" xr3:uid="{00000000-0010-0000-0300-000044280000}" name="Column10303" dataDxfId="6100"/>
    <tableColumn id="10309" xr3:uid="{00000000-0010-0000-0300-000045280000}" name="Column10304" dataDxfId="6099"/>
    <tableColumn id="10310" xr3:uid="{00000000-0010-0000-0300-000046280000}" name="Column10305" dataDxfId="6098"/>
    <tableColumn id="10311" xr3:uid="{00000000-0010-0000-0300-000047280000}" name="Column10306" dataDxfId="6097"/>
    <tableColumn id="10312" xr3:uid="{00000000-0010-0000-0300-000048280000}" name="Column10307" dataDxfId="6096"/>
    <tableColumn id="10313" xr3:uid="{00000000-0010-0000-0300-000049280000}" name="Column10308" dataDxfId="6095"/>
    <tableColumn id="10314" xr3:uid="{00000000-0010-0000-0300-00004A280000}" name="Column10309" dataDxfId="6094"/>
    <tableColumn id="10315" xr3:uid="{00000000-0010-0000-0300-00004B280000}" name="Column10310" dataDxfId="6093"/>
    <tableColumn id="10316" xr3:uid="{00000000-0010-0000-0300-00004C280000}" name="Column10311" dataDxfId="6092"/>
    <tableColumn id="10317" xr3:uid="{00000000-0010-0000-0300-00004D280000}" name="Column10312" dataDxfId="6091"/>
    <tableColumn id="10318" xr3:uid="{00000000-0010-0000-0300-00004E280000}" name="Column10313" dataDxfId="6090"/>
    <tableColumn id="10319" xr3:uid="{00000000-0010-0000-0300-00004F280000}" name="Column10314" dataDxfId="6089"/>
    <tableColumn id="10320" xr3:uid="{00000000-0010-0000-0300-000050280000}" name="Column10315" dataDxfId="6088"/>
    <tableColumn id="10321" xr3:uid="{00000000-0010-0000-0300-000051280000}" name="Column10316" dataDxfId="6087"/>
    <tableColumn id="10322" xr3:uid="{00000000-0010-0000-0300-000052280000}" name="Column10317" dataDxfId="6086"/>
    <tableColumn id="10323" xr3:uid="{00000000-0010-0000-0300-000053280000}" name="Column10318" dataDxfId="6085"/>
    <tableColumn id="10324" xr3:uid="{00000000-0010-0000-0300-000054280000}" name="Column10319" dataDxfId="6084"/>
    <tableColumn id="10325" xr3:uid="{00000000-0010-0000-0300-000055280000}" name="Column10320" dataDxfId="6083"/>
    <tableColumn id="10326" xr3:uid="{00000000-0010-0000-0300-000056280000}" name="Column10321" dataDxfId="6082"/>
    <tableColumn id="10327" xr3:uid="{00000000-0010-0000-0300-000057280000}" name="Column10322" dataDxfId="6081"/>
    <tableColumn id="10328" xr3:uid="{00000000-0010-0000-0300-000058280000}" name="Column10323" dataDxfId="6080"/>
    <tableColumn id="10329" xr3:uid="{00000000-0010-0000-0300-000059280000}" name="Column10324" dataDxfId="6079"/>
    <tableColumn id="10330" xr3:uid="{00000000-0010-0000-0300-00005A280000}" name="Column10325" dataDxfId="6078"/>
    <tableColumn id="10331" xr3:uid="{00000000-0010-0000-0300-00005B280000}" name="Column10326" dataDxfId="6077"/>
    <tableColumn id="10332" xr3:uid="{00000000-0010-0000-0300-00005C280000}" name="Column10327" dataDxfId="6076"/>
    <tableColumn id="10333" xr3:uid="{00000000-0010-0000-0300-00005D280000}" name="Column10328" dataDxfId="6075"/>
    <tableColumn id="10334" xr3:uid="{00000000-0010-0000-0300-00005E280000}" name="Column10329" dataDxfId="6074"/>
    <tableColumn id="10335" xr3:uid="{00000000-0010-0000-0300-00005F280000}" name="Column10330" dataDxfId="6073"/>
    <tableColumn id="10336" xr3:uid="{00000000-0010-0000-0300-000060280000}" name="Column10331" dataDxfId="6072"/>
    <tableColumn id="10337" xr3:uid="{00000000-0010-0000-0300-000061280000}" name="Column10332" dataDxfId="6071"/>
    <tableColumn id="10338" xr3:uid="{00000000-0010-0000-0300-000062280000}" name="Column10333" dataDxfId="6070"/>
    <tableColumn id="10339" xr3:uid="{00000000-0010-0000-0300-000063280000}" name="Column10334" dataDxfId="6069"/>
    <tableColumn id="10340" xr3:uid="{00000000-0010-0000-0300-000064280000}" name="Column10335" dataDxfId="6068"/>
    <tableColumn id="10341" xr3:uid="{00000000-0010-0000-0300-000065280000}" name="Column10336" dataDxfId="6067"/>
    <tableColumn id="10342" xr3:uid="{00000000-0010-0000-0300-000066280000}" name="Column10337" dataDxfId="6066"/>
    <tableColumn id="10343" xr3:uid="{00000000-0010-0000-0300-000067280000}" name="Column10338" dataDxfId="6065"/>
    <tableColumn id="10344" xr3:uid="{00000000-0010-0000-0300-000068280000}" name="Column10339" dataDxfId="6064"/>
    <tableColumn id="10345" xr3:uid="{00000000-0010-0000-0300-000069280000}" name="Column10340" dataDxfId="6063"/>
    <tableColumn id="10346" xr3:uid="{00000000-0010-0000-0300-00006A280000}" name="Column10341" dataDxfId="6062"/>
    <tableColumn id="10347" xr3:uid="{00000000-0010-0000-0300-00006B280000}" name="Column10342" dataDxfId="6061"/>
    <tableColumn id="10348" xr3:uid="{00000000-0010-0000-0300-00006C280000}" name="Column10343" dataDxfId="6060"/>
    <tableColumn id="10349" xr3:uid="{00000000-0010-0000-0300-00006D280000}" name="Column10344" dataDxfId="6059"/>
    <tableColumn id="10350" xr3:uid="{00000000-0010-0000-0300-00006E280000}" name="Column10345" dataDxfId="6058"/>
    <tableColumn id="10351" xr3:uid="{00000000-0010-0000-0300-00006F280000}" name="Column10346" dataDxfId="6057"/>
    <tableColumn id="10352" xr3:uid="{00000000-0010-0000-0300-000070280000}" name="Column10347" dataDxfId="6056"/>
    <tableColumn id="10353" xr3:uid="{00000000-0010-0000-0300-000071280000}" name="Column10348" dataDxfId="6055"/>
    <tableColumn id="10354" xr3:uid="{00000000-0010-0000-0300-000072280000}" name="Column10349" dataDxfId="6054"/>
    <tableColumn id="10355" xr3:uid="{00000000-0010-0000-0300-000073280000}" name="Column10350" dataDxfId="6053"/>
    <tableColumn id="10356" xr3:uid="{00000000-0010-0000-0300-000074280000}" name="Column10351" dataDxfId="6052"/>
    <tableColumn id="10357" xr3:uid="{00000000-0010-0000-0300-000075280000}" name="Column10352" dataDxfId="6051"/>
    <tableColumn id="10358" xr3:uid="{00000000-0010-0000-0300-000076280000}" name="Column10353" dataDxfId="6050"/>
    <tableColumn id="10359" xr3:uid="{00000000-0010-0000-0300-000077280000}" name="Column10354" dataDxfId="6049"/>
    <tableColumn id="10360" xr3:uid="{00000000-0010-0000-0300-000078280000}" name="Column10355" dataDxfId="6048"/>
    <tableColumn id="10361" xr3:uid="{00000000-0010-0000-0300-000079280000}" name="Column10356" dataDxfId="6047"/>
    <tableColumn id="10362" xr3:uid="{00000000-0010-0000-0300-00007A280000}" name="Column10357" dataDxfId="6046"/>
    <tableColumn id="10363" xr3:uid="{00000000-0010-0000-0300-00007B280000}" name="Column10358" dataDxfId="6045"/>
    <tableColumn id="10364" xr3:uid="{00000000-0010-0000-0300-00007C280000}" name="Column10359" dataDxfId="6044"/>
    <tableColumn id="10365" xr3:uid="{00000000-0010-0000-0300-00007D280000}" name="Column10360" dataDxfId="6043"/>
    <tableColumn id="10366" xr3:uid="{00000000-0010-0000-0300-00007E280000}" name="Column10361" dataDxfId="6042"/>
    <tableColumn id="10367" xr3:uid="{00000000-0010-0000-0300-00007F280000}" name="Column10362" dataDxfId="6041"/>
    <tableColumn id="10368" xr3:uid="{00000000-0010-0000-0300-000080280000}" name="Column10363" dataDxfId="6040"/>
    <tableColumn id="10369" xr3:uid="{00000000-0010-0000-0300-000081280000}" name="Column10364" dataDxfId="6039"/>
    <tableColumn id="10370" xr3:uid="{00000000-0010-0000-0300-000082280000}" name="Column10365" dataDxfId="6038"/>
    <tableColumn id="10371" xr3:uid="{00000000-0010-0000-0300-000083280000}" name="Column10366" dataDxfId="6037"/>
    <tableColumn id="10372" xr3:uid="{00000000-0010-0000-0300-000084280000}" name="Column10367" dataDxfId="6036"/>
    <tableColumn id="10373" xr3:uid="{00000000-0010-0000-0300-000085280000}" name="Column10368" dataDxfId="6035"/>
    <tableColumn id="10374" xr3:uid="{00000000-0010-0000-0300-000086280000}" name="Column10369" dataDxfId="6034"/>
    <tableColumn id="10375" xr3:uid="{00000000-0010-0000-0300-000087280000}" name="Column10370" dataDxfId="6033"/>
    <tableColumn id="10376" xr3:uid="{00000000-0010-0000-0300-000088280000}" name="Column10371" dataDxfId="6032"/>
    <tableColumn id="10377" xr3:uid="{00000000-0010-0000-0300-000089280000}" name="Column10372" dataDxfId="6031"/>
    <tableColumn id="10378" xr3:uid="{00000000-0010-0000-0300-00008A280000}" name="Column10373" dataDxfId="6030"/>
    <tableColumn id="10379" xr3:uid="{00000000-0010-0000-0300-00008B280000}" name="Column10374" dataDxfId="6029"/>
    <tableColumn id="10380" xr3:uid="{00000000-0010-0000-0300-00008C280000}" name="Column10375" dataDxfId="6028"/>
    <tableColumn id="10381" xr3:uid="{00000000-0010-0000-0300-00008D280000}" name="Column10376" dataDxfId="6027"/>
    <tableColumn id="10382" xr3:uid="{00000000-0010-0000-0300-00008E280000}" name="Column10377" dataDxfId="6026"/>
    <tableColumn id="10383" xr3:uid="{00000000-0010-0000-0300-00008F280000}" name="Column10378" dataDxfId="6025"/>
    <tableColumn id="10384" xr3:uid="{00000000-0010-0000-0300-000090280000}" name="Column10379" dataDxfId="6024"/>
    <tableColumn id="10385" xr3:uid="{00000000-0010-0000-0300-000091280000}" name="Column10380" dataDxfId="6023"/>
    <tableColumn id="10386" xr3:uid="{00000000-0010-0000-0300-000092280000}" name="Column10381" dataDxfId="6022"/>
    <tableColumn id="10387" xr3:uid="{00000000-0010-0000-0300-000093280000}" name="Column10382" dataDxfId="6021"/>
    <tableColumn id="10388" xr3:uid="{00000000-0010-0000-0300-000094280000}" name="Column10383" dataDxfId="6020"/>
    <tableColumn id="10389" xr3:uid="{00000000-0010-0000-0300-000095280000}" name="Column10384" dataDxfId="6019"/>
    <tableColumn id="10390" xr3:uid="{00000000-0010-0000-0300-000096280000}" name="Column10385" dataDxfId="6018"/>
    <tableColumn id="10391" xr3:uid="{00000000-0010-0000-0300-000097280000}" name="Column10386" dataDxfId="6017"/>
    <tableColumn id="10392" xr3:uid="{00000000-0010-0000-0300-000098280000}" name="Column10387" dataDxfId="6016"/>
    <tableColumn id="10393" xr3:uid="{00000000-0010-0000-0300-000099280000}" name="Column10388" dataDxfId="6015"/>
    <tableColumn id="10394" xr3:uid="{00000000-0010-0000-0300-00009A280000}" name="Column10389" dataDxfId="6014"/>
    <tableColumn id="10395" xr3:uid="{00000000-0010-0000-0300-00009B280000}" name="Column10390" dataDxfId="6013"/>
    <tableColumn id="10396" xr3:uid="{00000000-0010-0000-0300-00009C280000}" name="Column10391" dataDxfId="6012"/>
    <tableColumn id="10397" xr3:uid="{00000000-0010-0000-0300-00009D280000}" name="Column10392" dataDxfId="6011"/>
    <tableColumn id="10398" xr3:uid="{00000000-0010-0000-0300-00009E280000}" name="Column10393" dataDxfId="6010"/>
    <tableColumn id="10399" xr3:uid="{00000000-0010-0000-0300-00009F280000}" name="Column10394" dataDxfId="6009"/>
    <tableColumn id="10400" xr3:uid="{00000000-0010-0000-0300-0000A0280000}" name="Column10395" dataDxfId="6008"/>
    <tableColumn id="10401" xr3:uid="{00000000-0010-0000-0300-0000A1280000}" name="Column10396" dataDxfId="6007"/>
    <tableColumn id="10402" xr3:uid="{00000000-0010-0000-0300-0000A2280000}" name="Column10397" dataDxfId="6006"/>
    <tableColumn id="10403" xr3:uid="{00000000-0010-0000-0300-0000A3280000}" name="Column10398" dataDxfId="6005"/>
    <tableColumn id="10404" xr3:uid="{00000000-0010-0000-0300-0000A4280000}" name="Column10399" dataDxfId="6004"/>
    <tableColumn id="10405" xr3:uid="{00000000-0010-0000-0300-0000A5280000}" name="Column10400" dataDxfId="6003"/>
    <tableColumn id="10406" xr3:uid="{00000000-0010-0000-0300-0000A6280000}" name="Column10401" dataDxfId="6002"/>
    <tableColumn id="10407" xr3:uid="{00000000-0010-0000-0300-0000A7280000}" name="Column10402" dataDxfId="6001"/>
    <tableColumn id="10408" xr3:uid="{00000000-0010-0000-0300-0000A8280000}" name="Column10403" dataDxfId="6000"/>
    <tableColumn id="10409" xr3:uid="{00000000-0010-0000-0300-0000A9280000}" name="Column10404" dataDxfId="5999"/>
    <tableColumn id="10410" xr3:uid="{00000000-0010-0000-0300-0000AA280000}" name="Column10405" dataDxfId="5998"/>
    <tableColumn id="10411" xr3:uid="{00000000-0010-0000-0300-0000AB280000}" name="Column10406" dataDxfId="5997"/>
    <tableColumn id="10412" xr3:uid="{00000000-0010-0000-0300-0000AC280000}" name="Column10407" dataDxfId="5996"/>
    <tableColumn id="10413" xr3:uid="{00000000-0010-0000-0300-0000AD280000}" name="Column10408" dataDxfId="5995"/>
    <tableColumn id="10414" xr3:uid="{00000000-0010-0000-0300-0000AE280000}" name="Column10409" dataDxfId="5994"/>
    <tableColumn id="10415" xr3:uid="{00000000-0010-0000-0300-0000AF280000}" name="Column10410" dataDxfId="5993"/>
    <tableColumn id="10416" xr3:uid="{00000000-0010-0000-0300-0000B0280000}" name="Column10411" dataDxfId="5992"/>
    <tableColumn id="10417" xr3:uid="{00000000-0010-0000-0300-0000B1280000}" name="Column10412" dataDxfId="5991"/>
    <tableColumn id="10418" xr3:uid="{00000000-0010-0000-0300-0000B2280000}" name="Column10413" dataDxfId="5990"/>
    <tableColumn id="10419" xr3:uid="{00000000-0010-0000-0300-0000B3280000}" name="Column10414" dataDxfId="5989"/>
    <tableColumn id="10420" xr3:uid="{00000000-0010-0000-0300-0000B4280000}" name="Column10415" dataDxfId="5988"/>
    <tableColumn id="10421" xr3:uid="{00000000-0010-0000-0300-0000B5280000}" name="Column10416" dataDxfId="5987"/>
    <tableColumn id="10422" xr3:uid="{00000000-0010-0000-0300-0000B6280000}" name="Column10417" dataDxfId="5986"/>
    <tableColumn id="10423" xr3:uid="{00000000-0010-0000-0300-0000B7280000}" name="Column10418" dataDxfId="5985"/>
    <tableColumn id="10424" xr3:uid="{00000000-0010-0000-0300-0000B8280000}" name="Column10419" dataDxfId="5984"/>
    <tableColumn id="10425" xr3:uid="{00000000-0010-0000-0300-0000B9280000}" name="Column10420" dataDxfId="5983"/>
    <tableColumn id="10426" xr3:uid="{00000000-0010-0000-0300-0000BA280000}" name="Column10421" dataDxfId="5982"/>
    <tableColumn id="10427" xr3:uid="{00000000-0010-0000-0300-0000BB280000}" name="Column10422" dataDxfId="5981"/>
    <tableColumn id="10428" xr3:uid="{00000000-0010-0000-0300-0000BC280000}" name="Column10423" dataDxfId="5980"/>
    <tableColumn id="10429" xr3:uid="{00000000-0010-0000-0300-0000BD280000}" name="Column10424" dataDxfId="5979"/>
    <tableColumn id="10430" xr3:uid="{00000000-0010-0000-0300-0000BE280000}" name="Column10425" dataDxfId="5978"/>
    <tableColumn id="10431" xr3:uid="{00000000-0010-0000-0300-0000BF280000}" name="Column10426" dataDxfId="5977"/>
    <tableColumn id="10432" xr3:uid="{00000000-0010-0000-0300-0000C0280000}" name="Column10427" dataDxfId="5976"/>
    <tableColumn id="10433" xr3:uid="{00000000-0010-0000-0300-0000C1280000}" name="Column10428" dataDxfId="5975"/>
    <tableColumn id="10434" xr3:uid="{00000000-0010-0000-0300-0000C2280000}" name="Column10429" dataDxfId="5974"/>
    <tableColumn id="10435" xr3:uid="{00000000-0010-0000-0300-0000C3280000}" name="Column10430" dataDxfId="5973"/>
    <tableColumn id="10436" xr3:uid="{00000000-0010-0000-0300-0000C4280000}" name="Column10431" dataDxfId="5972"/>
    <tableColumn id="10437" xr3:uid="{00000000-0010-0000-0300-0000C5280000}" name="Column10432" dataDxfId="5971"/>
    <tableColumn id="10438" xr3:uid="{00000000-0010-0000-0300-0000C6280000}" name="Column10433" dataDxfId="5970"/>
    <tableColumn id="10439" xr3:uid="{00000000-0010-0000-0300-0000C7280000}" name="Column10434" dataDxfId="5969"/>
    <tableColumn id="10440" xr3:uid="{00000000-0010-0000-0300-0000C8280000}" name="Column10435" dataDxfId="5968"/>
    <tableColumn id="10441" xr3:uid="{00000000-0010-0000-0300-0000C9280000}" name="Column10436" dataDxfId="5967"/>
    <tableColumn id="10442" xr3:uid="{00000000-0010-0000-0300-0000CA280000}" name="Column10437" dataDxfId="5966"/>
    <tableColumn id="10443" xr3:uid="{00000000-0010-0000-0300-0000CB280000}" name="Column10438" dataDxfId="5965"/>
    <tableColumn id="10444" xr3:uid="{00000000-0010-0000-0300-0000CC280000}" name="Column10439" dataDxfId="5964"/>
    <tableColumn id="10445" xr3:uid="{00000000-0010-0000-0300-0000CD280000}" name="Column10440" dataDxfId="5963"/>
    <tableColumn id="10446" xr3:uid="{00000000-0010-0000-0300-0000CE280000}" name="Column10441" dataDxfId="5962"/>
    <tableColumn id="10447" xr3:uid="{00000000-0010-0000-0300-0000CF280000}" name="Column10442" dataDxfId="5961"/>
    <tableColumn id="10448" xr3:uid="{00000000-0010-0000-0300-0000D0280000}" name="Column10443" dataDxfId="5960"/>
    <tableColumn id="10449" xr3:uid="{00000000-0010-0000-0300-0000D1280000}" name="Column10444" dataDxfId="5959"/>
    <tableColumn id="10450" xr3:uid="{00000000-0010-0000-0300-0000D2280000}" name="Column10445" dataDxfId="5958"/>
    <tableColumn id="10451" xr3:uid="{00000000-0010-0000-0300-0000D3280000}" name="Column10446" dataDxfId="5957"/>
    <tableColumn id="10452" xr3:uid="{00000000-0010-0000-0300-0000D4280000}" name="Column10447" dataDxfId="5956"/>
    <tableColumn id="10453" xr3:uid="{00000000-0010-0000-0300-0000D5280000}" name="Column10448" dataDxfId="5955"/>
    <tableColumn id="10454" xr3:uid="{00000000-0010-0000-0300-0000D6280000}" name="Column10449" dataDxfId="5954"/>
    <tableColumn id="10455" xr3:uid="{00000000-0010-0000-0300-0000D7280000}" name="Column10450" dataDxfId="5953"/>
    <tableColumn id="10456" xr3:uid="{00000000-0010-0000-0300-0000D8280000}" name="Column10451" dataDxfId="5952"/>
    <tableColumn id="10457" xr3:uid="{00000000-0010-0000-0300-0000D9280000}" name="Column10452" dataDxfId="5951"/>
    <tableColumn id="10458" xr3:uid="{00000000-0010-0000-0300-0000DA280000}" name="Column10453" dataDxfId="5950"/>
    <tableColumn id="10459" xr3:uid="{00000000-0010-0000-0300-0000DB280000}" name="Column10454" dataDxfId="5949"/>
    <tableColumn id="10460" xr3:uid="{00000000-0010-0000-0300-0000DC280000}" name="Column10455" dataDxfId="5948"/>
    <tableColumn id="10461" xr3:uid="{00000000-0010-0000-0300-0000DD280000}" name="Column10456" dataDxfId="5947"/>
    <tableColumn id="10462" xr3:uid="{00000000-0010-0000-0300-0000DE280000}" name="Column10457" dataDxfId="5946"/>
    <tableColumn id="10463" xr3:uid="{00000000-0010-0000-0300-0000DF280000}" name="Column10458" dataDxfId="5945"/>
    <tableColumn id="10464" xr3:uid="{00000000-0010-0000-0300-0000E0280000}" name="Column10459" dataDxfId="5944"/>
    <tableColumn id="10465" xr3:uid="{00000000-0010-0000-0300-0000E1280000}" name="Column10460" dataDxfId="5943"/>
    <tableColumn id="10466" xr3:uid="{00000000-0010-0000-0300-0000E2280000}" name="Column10461" dataDxfId="5942"/>
    <tableColumn id="10467" xr3:uid="{00000000-0010-0000-0300-0000E3280000}" name="Column10462" dataDxfId="5941"/>
    <tableColumn id="10468" xr3:uid="{00000000-0010-0000-0300-0000E4280000}" name="Column10463" dataDxfId="5940"/>
    <tableColumn id="10469" xr3:uid="{00000000-0010-0000-0300-0000E5280000}" name="Column10464" dataDxfId="5939"/>
    <tableColumn id="10470" xr3:uid="{00000000-0010-0000-0300-0000E6280000}" name="Column10465" dataDxfId="5938"/>
    <tableColumn id="10471" xr3:uid="{00000000-0010-0000-0300-0000E7280000}" name="Column10466" dataDxfId="5937"/>
    <tableColumn id="10472" xr3:uid="{00000000-0010-0000-0300-0000E8280000}" name="Column10467" dataDxfId="5936"/>
    <tableColumn id="10473" xr3:uid="{00000000-0010-0000-0300-0000E9280000}" name="Column10468" dataDxfId="5935"/>
    <tableColumn id="10474" xr3:uid="{00000000-0010-0000-0300-0000EA280000}" name="Column10469" dataDxfId="5934"/>
    <tableColumn id="10475" xr3:uid="{00000000-0010-0000-0300-0000EB280000}" name="Column10470" dataDxfId="5933"/>
    <tableColumn id="10476" xr3:uid="{00000000-0010-0000-0300-0000EC280000}" name="Column10471" dataDxfId="5932"/>
    <tableColumn id="10477" xr3:uid="{00000000-0010-0000-0300-0000ED280000}" name="Column10472" dataDxfId="5931"/>
    <tableColumn id="10478" xr3:uid="{00000000-0010-0000-0300-0000EE280000}" name="Column10473" dataDxfId="5930"/>
    <tableColumn id="10479" xr3:uid="{00000000-0010-0000-0300-0000EF280000}" name="Column10474" dataDxfId="5929"/>
    <tableColumn id="10480" xr3:uid="{00000000-0010-0000-0300-0000F0280000}" name="Column10475" dataDxfId="5928"/>
    <tableColumn id="10481" xr3:uid="{00000000-0010-0000-0300-0000F1280000}" name="Column10476" dataDxfId="5927"/>
    <tableColumn id="10482" xr3:uid="{00000000-0010-0000-0300-0000F2280000}" name="Column10477" dataDxfId="5926"/>
    <tableColumn id="10483" xr3:uid="{00000000-0010-0000-0300-0000F3280000}" name="Column10478" dataDxfId="5925"/>
    <tableColumn id="10484" xr3:uid="{00000000-0010-0000-0300-0000F4280000}" name="Column10479" dataDxfId="5924"/>
    <tableColumn id="10485" xr3:uid="{00000000-0010-0000-0300-0000F5280000}" name="Column10480" dataDxfId="5923"/>
    <tableColumn id="10486" xr3:uid="{00000000-0010-0000-0300-0000F6280000}" name="Column10481" dataDxfId="5922"/>
    <tableColumn id="10487" xr3:uid="{00000000-0010-0000-0300-0000F7280000}" name="Column10482" dataDxfId="5921"/>
    <tableColumn id="10488" xr3:uid="{00000000-0010-0000-0300-0000F8280000}" name="Column10483" dataDxfId="5920"/>
    <tableColumn id="10489" xr3:uid="{00000000-0010-0000-0300-0000F9280000}" name="Column10484" dataDxfId="5919"/>
    <tableColumn id="10490" xr3:uid="{00000000-0010-0000-0300-0000FA280000}" name="Column10485" dataDxfId="5918"/>
    <tableColumn id="10491" xr3:uid="{00000000-0010-0000-0300-0000FB280000}" name="Column10486" dataDxfId="5917"/>
    <tableColumn id="10492" xr3:uid="{00000000-0010-0000-0300-0000FC280000}" name="Column10487" dataDxfId="5916"/>
    <tableColumn id="10493" xr3:uid="{00000000-0010-0000-0300-0000FD280000}" name="Column10488" dataDxfId="5915"/>
    <tableColumn id="10494" xr3:uid="{00000000-0010-0000-0300-0000FE280000}" name="Column10489" dataDxfId="5914"/>
    <tableColumn id="10495" xr3:uid="{00000000-0010-0000-0300-0000FF280000}" name="Column10490" dataDxfId="5913"/>
    <tableColumn id="10496" xr3:uid="{00000000-0010-0000-0300-000000290000}" name="Column10491" dataDxfId="5912"/>
    <tableColumn id="10497" xr3:uid="{00000000-0010-0000-0300-000001290000}" name="Column10492" dataDxfId="5911"/>
    <tableColumn id="10498" xr3:uid="{00000000-0010-0000-0300-000002290000}" name="Column10493" dataDxfId="5910"/>
    <tableColumn id="10499" xr3:uid="{00000000-0010-0000-0300-000003290000}" name="Column10494" dataDxfId="5909"/>
    <tableColumn id="10500" xr3:uid="{00000000-0010-0000-0300-000004290000}" name="Column10495" dataDxfId="5908"/>
    <tableColumn id="10501" xr3:uid="{00000000-0010-0000-0300-000005290000}" name="Column10496" dataDxfId="5907"/>
    <tableColumn id="10502" xr3:uid="{00000000-0010-0000-0300-000006290000}" name="Column10497" dataDxfId="5906"/>
    <tableColumn id="10503" xr3:uid="{00000000-0010-0000-0300-000007290000}" name="Column10498" dataDxfId="5905"/>
    <tableColumn id="10504" xr3:uid="{00000000-0010-0000-0300-000008290000}" name="Column10499" dataDxfId="5904"/>
    <tableColumn id="10505" xr3:uid="{00000000-0010-0000-0300-000009290000}" name="Column10500" dataDxfId="5903"/>
    <tableColumn id="10506" xr3:uid="{00000000-0010-0000-0300-00000A290000}" name="Column10501" dataDxfId="5902"/>
    <tableColumn id="10507" xr3:uid="{00000000-0010-0000-0300-00000B290000}" name="Column10502" dataDxfId="5901"/>
    <tableColumn id="10508" xr3:uid="{00000000-0010-0000-0300-00000C290000}" name="Column10503" dataDxfId="5900"/>
    <tableColumn id="10509" xr3:uid="{00000000-0010-0000-0300-00000D290000}" name="Column10504" dataDxfId="5899"/>
    <tableColumn id="10510" xr3:uid="{00000000-0010-0000-0300-00000E290000}" name="Column10505" dataDxfId="5898"/>
    <tableColumn id="10511" xr3:uid="{00000000-0010-0000-0300-00000F290000}" name="Column10506" dataDxfId="5897"/>
    <tableColumn id="10512" xr3:uid="{00000000-0010-0000-0300-000010290000}" name="Column10507" dataDxfId="5896"/>
    <tableColumn id="10513" xr3:uid="{00000000-0010-0000-0300-000011290000}" name="Column10508" dataDxfId="5895"/>
    <tableColumn id="10514" xr3:uid="{00000000-0010-0000-0300-000012290000}" name="Column10509" dataDxfId="5894"/>
    <tableColumn id="10515" xr3:uid="{00000000-0010-0000-0300-000013290000}" name="Column10510" dataDxfId="5893"/>
    <tableColumn id="10516" xr3:uid="{00000000-0010-0000-0300-000014290000}" name="Column10511" dataDxfId="5892"/>
    <tableColumn id="10517" xr3:uid="{00000000-0010-0000-0300-000015290000}" name="Column10512" dataDxfId="5891"/>
    <tableColumn id="10518" xr3:uid="{00000000-0010-0000-0300-000016290000}" name="Column10513" dataDxfId="5890"/>
    <tableColumn id="10519" xr3:uid="{00000000-0010-0000-0300-000017290000}" name="Column10514" dataDxfId="5889"/>
    <tableColumn id="10520" xr3:uid="{00000000-0010-0000-0300-000018290000}" name="Column10515" dataDxfId="5888"/>
    <tableColumn id="10521" xr3:uid="{00000000-0010-0000-0300-000019290000}" name="Column10516" dataDxfId="5887"/>
    <tableColumn id="10522" xr3:uid="{00000000-0010-0000-0300-00001A290000}" name="Column10517" dataDxfId="5886"/>
    <tableColumn id="10523" xr3:uid="{00000000-0010-0000-0300-00001B290000}" name="Column10518" dataDxfId="5885"/>
    <tableColumn id="10524" xr3:uid="{00000000-0010-0000-0300-00001C290000}" name="Column10519" dataDxfId="5884"/>
    <tableColumn id="10525" xr3:uid="{00000000-0010-0000-0300-00001D290000}" name="Column10520" dataDxfId="5883"/>
    <tableColumn id="10526" xr3:uid="{00000000-0010-0000-0300-00001E290000}" name="Column10521" dataDxfId="5882"/>
    <tableColumn id="10527" xr3:uid="{00000000-0010-0000-0300-00001F290000}" name="Column10522" dataDxfId="5881"/>
    <tableColumn id="10528" xr3:uid="{00000000-0010-0000-0300-000020290000}" name="Column10523" dataDxfId="5880"/>
    <tableColumn id="10529" xr3:uid="{00000000-0010-0000-0300-000021290000}" name="Column10524" dataDxfId="5879"/>
    <tableColumn id="10530" xr3:uid="{00000000-0010-0000-0300-000022290000}" name="Column10525" dataDxfId="5878"/>
    <tableColumn id="10531" xr3:uid="{00000000-0010-0000-0300-000023290000}" name="Column10526" dataDxfId="5877"/>
    <tableColumn id="10532" xr3:uid="{00000000-0010-0000-0300-000024290000}" name="Column10527" dataDxfId="5876"/>
    <tableColumn id="10533" xr3:uid="{00000000-0010-0000-0300-000025290000}" name="Column10528" dataDxfId="5875"/>
    <tableColumn id="10534" xr3:uid="{00000000-0010-0000-0300-000026290000}" name="Column10529" dataDxfId="5874"/>
    <tableColumn id="10535" xr3:uid="{00000000-0010-0000-0300-000027290000}" name="Column10530" dataDxfId="5873"/>
    <tableColumn id="10536" xr3:uid="{00000000-0010-0000-0300-000028290000}" name="Column10531" dataDxfId="5872"/>
    <tableColumn id="10537" xr3:uid="{00000000-0010-0000-0300-000029290000}" name="Column10532" dataDxfId="5871"/>
    <tableColumn id="10538" xr3:uid="{00000000-0010-0000-0300-00002A290000}" name="Column10533" dataDxfId="5870"/>
    <tableColumn id="10539" xr3:uid="{00000000-0010-0000-0300-00002B290000}" name="Column10534" dataDxfId="5869"/>
    <tableColumn id="10540" xr3:uid="{00000000-0010-0000-0300-00002C290000}" name="Column10535" dataDxfId="5868"/>
    <tableColumn id="10541" xr3:uid="{00000000-0010-0000-0300-00002D290000}" name="Column10536" dataDxfId="5867"/>
    <tableColumn id="10542" xr3:uid="{00000000-0010-0000-0300-00002E290000}" name="Column10537" dataDxfId="5866"/>
    <tableColumn id="10543" xr3:uid="{00000000-0010-0000-0300-00002F290000}" name="Column10538" dataDxfId="5865"/>
    <tableColumn id="10544" xr3:uid="{00000000-0010-0000-0300-000030290000}" name="Column10539" dataDxfId="5864"/>
    <tableColumn id="10545" xr3:uid="{00000000-0010-0000-0300-000031290000}" name="Column10540" dataDxfId="5863"/>
    <tableColumn id="10546" xr3:uid="{00000000-0010-0000-0300-000032290000}" name="Column10541" dataDxfId="5862"/>
    <tableColumn id="10547" xr3:uid="{00000000-0010-0000-0300-000033290000}" name="Column10542" dataDxfId="5861"/>
    <tableColumn id="10548" xr3:uid="{00000000-0010-0000-0300-000034290000}" name="Column10543" dataDxfId="5860"/>
    <tableColumn id="10549" xr3:uid="{00000000-0010-0000-0300-000035290000}" name="Column10544" dataDxfId="5859"/>
    <tableColumn id="10550" xr3:uid="{00000000-0010-0000-0300-000036290000}" name="Column10545" dataDxfId="5858"/>
    <tableColumn id="10551" xr3:uid="{00000000-0010-0000-0300-000037290000}" name="Column10546" dataDxfId="5857"/>
    <tableColumn id="10552" xr3:uid="{00000000-0010-0000-0300-000038290000}" name="Column10547" dataDxfId="5856"/>
    <tableColumn id="10553" xr3:uid="{00000000-0010-0000-0300-000039290000}" name="Column10548" dataDxfId="5855"/>
    <tableColumn id="10554" xr3:uid="{00000000-0010-0000-0300-00003A290000}" name="Column10549" dataDxfId="5854"/>
    <tableColumn id="10555" xr3:uid="{00000000-0010-0000-0300-00003B290000}" name="Column10550" dataDxfId="5853"/>
    <tableColumn id="10556" xr3:uid="{00000000-0010-0000-0300-00003C290000}" name="Column10551" dataDxfId="5852"/>
    <tableColumn id="10557" xr3:uid="{00000000-0010-0000-0300-00003D290000}" name="Column10552" dataDxfId="5851"/>
    <tableColumn id="10558" xr3:uid="{00000000-0010-0000-0300-00003E290000}" name="Column10553" dataDxfId="5850"/>
    <tableColumn id="10559" xr3:uid="{00000000-0010-0000-0300-00003F290000}" name="Column10554" dataDxfId="5849"/>
    <tableColumn id="10560" xr3:uid="{00000000-0010-0000-0300-000040290000}" name="Column10555" dataDxfId="5848"/>
    <tableColumn id="10561" xr3:uid="{00000000-0010-0000-0300-000041290000}" name="Column10556" dataDxfId="5847"/>
    <tableColumn id="10562" xr3:uid="{00000000-0010-0000-0300-000042290000}" name="Column10557" dataDxfId="5846"/>
    <tableColumn id="10563" xr3:uid="{00000000-0010-0000-0300-000043290000}" name="Column10558" dataDxfId="5845"/>
    <tableColumn id="10564" xr3:uid="{00000000-0010-0000-0300-000044290000}" name="Column10559" dataDxfId="5844"/>
    <tableColumn id="10565" xr3:uid="{00000000-0010-0000-0300-000045290000}" name="Column10560" dataDxfId="5843"/>
    <tableColumn id="10566" xr3:uid="{00000000-0010-0000-0300-000046290000}" name="Column10561" dataDxfId="5842"/>
    <tableColumn id="10567" xr3:uid="{00000000-0010-0000-0300-000047290000}" name="Column10562" dataDxfId="5841"/>
    <tableColumn id="10568" xr3:uid="{00000000-0010-0000-0300-000048290000}" name="Column10563" dataDxfId="5840"/>
    <tableColumn id="10569" xr3:uid="{00000000-0010-0000-0300-000049290000}" name="Column10564" dataDxfId="5839"/>
    <tableColumn id="10570" xr3:uid="{00000000-0010-0000-0300-00004A290000}" name="Column10565" dataDxfId="5838"/>
    <tableColumn id="10571" xr3:uid="{00000000-0010-0000-0300-00004B290000}" name="Column10566" dataDxfId="5837"/>
    <tableColumn id="10572" xr3:uid="{00000000-0010-0000-0300-00004C290000}" name="Column10567" dataDxfId="5836"/>
    <tableColumn id="10573" xr3:uid="{00000000-0010-0000-0300-00004D290000}" name="Column10568" dataDxfId="5835"/>
    <tableColumn id="10574" xr3:uid="{00000000-0010-0000-0300-00004E290000}" name="Column10569" dataDxfId="5834"/>
    <tableColumn id="10575" xr3:uid="{00000000-0010-0000-0300-00004F290000}" name="Column10570" dataDxfId="5833"/>
    <tableColumn id="10576" xr3:uid="{00000000-0010-0000-0300-000050290000}" name="Column10571" dataDxfId="5832"/>
    <tableColumn id="10577" xr3:uid="{00000000-0010-0000-0300-000051290000}" name="Column10572" dataDxfId="5831"/>
    <tableColumn id="10578" xr3:uid="{00000000-0010-0000-0300-000052290000}" name="Column10573" dataDxfId="5830"/>
    <tableColumn id="10579" xr3:uid="{00000000-0010-0000-0300-000053290000}" name="Column10574" dataDxfId="5829"/>
    <tableColumn id="10580" xr3:uid="{00000000-0010-0000-0300-000054290000}" name="Column10575" dataDxfId="5828"/>
    <tableColumn id="10581" xr3:uid="{00000000-0010-0000-0300-000055290000}" name="Column10576" dataDxfId="5827"/>
    <tableColumn id="10582" xr3:uid="{00000000-0010-0000-0300-000056290000}" name="Column10577" dataDxfId="5826"/>
    <tableColumn id="10583" xr3:uid="{00000000-0010-0000-0300-000057290000}" name="Column10578" dataDxfId="5825"/>
    <tableColumn id="10584" xr3:uid="{00000000-0010-0000-0300-000058290000}" name="Column10579" dataDxfId="5824"/>
    <tableColumn id="10585" xr3:uid="{00000000-0010-0000-0300-000059290000}" name="Column10580" dataDxfId="5823"/>
    <tableColumn id="10586" xr3:uid="{00000000-0010-0000-0300-00005A290000}" name="Column10581" dataDxfId="5822"/>
    <tableColumn id="10587" xr3:uid="{00000000-0010-0000-0300-00005B290000}" name="Column10582" dataDxfId="5821"/>
    <tableColumn id="10588" xr3:uid="{00000000-0010-0000-0300-00005C290000}" name="Column10583" dataDxfId="5820"/>
    <tableColumn id="10589" xr3:uid="{00000000-0010-0000-0300-00005D290000}" name="Column10584" dataDxfId="5819"/>
    <tableColumn id="10590" xr3:uid="{00000000-0010-0000-0300-00005E290000}" name="Column10585" dataDxfId="5818"/>
    <tableColumn id="10591" xr3:uid="{00000000-0010-0000-0300-00005F290000}" name="Column10586" dataDxfId="5817"/>
    <tableColumn id="10592" xr3:uid="{00000000-0010-0000-0300-000060290000}" name="Column10587" dataDxfId="5816"/>
    <tableColumn id="10593" xr3:uid="{00000000-0010-0000-0300-000061290000}" name="Column10588" dataDxfId="5815"/>
    <tableColumn id="10594" xr3:uid="{00000000-0010-0000-0300-000062290000}" name="Column10589" dataDxfId="5814"/>
    <tableColumn id="10595" xr3:uid="{00000000-0010-0000-0300-000063290000}" name="Column10590" dataDxfId="5813"/>
    <tableColumn id="10596" xr3:uid="{00000000-0010-0000-0300-000064290000}" name="Column10591" dataDxfId="5812"/>
    <tableColumn id="10597" xr3:uid="{00000000-0010-0000-0300-000065290000}" name="Column10592" dataDxfId="5811"/>
    <tableColumn id="10598" xr3:uid="{00000000-0010-0000-0300-000066290000}" name="Column10593" dataDxfId="5810"/>
    <tableColumn id="10599" xr3:uid="{00000000-0010-0000-0300-000067290000}" name="Column10594" dataDxfId="5809"/>
    <tableColumn id="10600" xr3:uid="{00000000-0010-0000-0300-000068290000}" name="Column10595" dataDxfId="5808"/>
    <tableColumn id="10601" xr3:uid="{00000000-0010-0000-0300-000069290000}" name="Column10596" dataDxfId="5807"/>
    <tableColumn id="10602" xr3:uid="{00000000-0010-0000-0300-00006A290000}" name="Column10597" dataDxfId="5806"/>
    <tableColumn id="10603" xr3:uid="{00000000-0010-0000-0300-00006B290000}" name="Column10598" dataDxfId="5805"/>
    <tableColumn id="10604" xr3:uid="{00000000-0010-0000-0300-00006C290000}" name="Column10599" dataDxfId="5804"/>
    <tableColumn id="10605" xr3:uid="{00000000-0010-0000-0300-00006D290000}" name="Column10600" dataDxfId="5803"/>
    <tableColumn id="10606" xr3:uid="{00000000-0010-0000-0300-00006E290000}" name="Column10601" dataDxfId="5802"/>
    <tableColumn id="10607" xr3:uid="{00000000-0010-0000-0300-00006F290000}" name="Column10602" dataDxfId="5801"/>
    <tableColumn id="10608" xr3:uid="{00000000-0010-0000-0300-000070290000}" name="Column10603" dataDxfId="5800"/>
    <tableColumn id="10609" xr3:uid="{00000000-0010-0000-0300-000071290000}" name="Column10604" dataDxfId="5799"/>
    <tableColumn id="10610" xr3:uid="{00000000-0010-0000-0300-000072290000}" name="Column10605" dataDxfId="5798"/>
    <tableColumn id="10611" xr3:uid="{00000000-0010-0000-0300-000073290000}" name="Column10606" dataDxfId="5797"/>
    <tableColumn id="10612" xr3:uid="{00000000-0010-0000-0300-000074290000}" name="Column10607" dataDxfId="5796"/>
    <tableColumn id="10613" xr3:uid="{00000000-0010-0000-0300-000075290000}" name="Column10608" dataDxfId="5795"/>
    <tableColumn id="10614" xr3:uid="{00000000-0010-0000-0300-000076290000}" name="Column10609" dataDxfId="5794"/>
    <tableColumn id="10615" xr3:uid="{00000000-0010-0000-0300-000077290000}" name="Column10610" dataDxfId="5793"/>
    <tableColumn id="10616" xr3:uid="{00000000-0010-0000-0300-000078290000}" name="Column10611" dataDxfId="5792"/>
    <tableColumn id="10617" xr3:uid="{00000000-0010-0000-0300-000079290000}" name="Column10612" dataDxfId="5791"/>
    <tableColumn id="10618" xr3:uid="{00000000-0010-0000-0300-00007A290000}" name="Column10613" dataDxfId="5790"/>
    <tableColumn id="10619" xr3:uid="{00000000-0010-0000-0300-00007B290000}" name="Column10614" dataDxfId="5789"/>
    <tableColumn id="10620" xr3:uid="{00000000-0010-0000-0300-00007C290000}" name="Column10615" dataDxfId="5788"/>
    <tableColumn id="10621" xr3:uid="{00000000-0010-0000-0300-00007D290000}" name="Column10616" dataDxfId="5787"/>
    <tableColumn id="10622" xr3:uid="{00000000-0010-0000-0300-00007E290000}" name="Column10617" dataDxfId="5786"/>
    <tableColumn id="10623" xr3:uid="{00000000-0010-0000-0300-00007F290000}" name="Column10618" dataDxfId="5785"/>
    <tableColumn id="10624" xr3:uid="{00000000-0010-0000-0300-000080290000}" name="Column10619" dataDxfId="5784"/>
    <tableColumn id="10625" xr3:uid="{00000000-0010-0000-0300-000081290000}" name="Column10620" dataDxfId="5783"/>
    <tableColumn id="10626" xr3:uid="{00000000-0010-0000-0300-000082290000}" name="Column10621" dataDxfId="5782"/>
    <tableColumn id="10627" xr3:uid="{00000000-0010-0000-0300-000083290000}" name="Column10622" dataDxfId="5781"/>
    <tableColumn id="10628" xr3:uid="{00000000-0010-0000-0300-000084290000}" name="Column10623" dataDxfId="5780"/>
    <tableColumn id="10629" xr3:uid="{00000000-0010-0000-0300-000085290000}" name="Column10624" dataDxfId="5779"/>
    <tableColumn id="10630" xr3:uid="{00000000-0010-0000-0300-000086290000}" name="Column10625" dataDxfId="5778"/>
    <tableColumn id="10631" xr3:uid="{00000000-0010-0000-0300-000087290000}" name="Column10626" dataDxfId="5777"/>
    <tableColumn id="10632" xr3:uid="{00000000-0010-0000-0300-000088290000}" name="Column10627" dataDxfId="5776"/>
    <tableColumn id="10633" xr3:uid="{00000000-0010-0000-0300-000089290000}" name="Column10628" dataDxfId="5775"/>
    <tableColumn id="10634" xr3:uid="{00000000-0010-0000-0300-00008A290000}" name="Column10629" dataDxfId="5774"/>
    <tableColumn id="10635" xr3:uid="{00000000-0010-0000-0300-00008B290000}" name="Column10630" dataDxfId="5773"/>
    <tableColumn id="10636" xr3:uid="{00000000-0010-0000-0300-00008C290000}" name="Column10631" dataDxfId="5772"/>
    <tableColumn id="10637" xr3:uid="{00000000-0010-0000-0300-00008D290000}" name="Column10632" dataDxfId="5771"/>
    <tableColumn id="10638" xr3:uid="{00000000-0010-0000-0300-00008E290000}" name="Column10633" dataDxfId="5770"/>
    <tableColumn id="10639" xr3:uid="{00000000-0010-0000-0300-00008F290000}" name="Column10634" dataDxfId="5769"/>
    <tableColumn id="10640" xr3:uid="{00000000-0010-0000-0300-000090290000}" name="Column10635" dataDxfId="5768"/>
    <tableColumn id="10641" xr3:uid="{00000000-0010-0000-0300-000091290000}" name="Column10636" dataDxfId="5767"/>
    <tableColumn id="10642" xr3:uid="{00000000-0010-0000-0300-000092290000}" name="Column10637" dataDxfId="5766"/>
    <tableColumn id="10643" xr3:uid="{00000000-0010-0000-0300-000093290000}" name="Column10638" dataDxfId="5765"/>
    <tableColumn id="10644" xr3:uid="{00000000-0010-0000-0300-000094290000}" name="Column10639" dataDxfId="5764"/>
    <tableColumn id="10645" xr3:uid="{00000000-0010-0000-0300-000095290000}" name="Column10640" dataDxfId="5763"/>
    <tableColumn id="10646" xr3:uid="{00000000-0010-0000-0300-000096290000}" name="Column10641" dataDxfId="5762"/>
    <tableColumn id="10647" xr3:uid="{00000000-0010-0000-0300-000097290000}" name="Column10642" dataDxfId="5761"/>
    <tableColumn id="10648" xr3:uid="{00000000-0010-0000-0300-000098290000}" name="Column10643" dataDxfId="5760"/>
    <tableColumn id="10649" xr3:uid="{00000000-0010-0000-0300-000099290000}" name="Column10644" dataDxfId="5759"/>
    <tableColumn id="10650" xr3:uid="{00000000-0010-0000-0300-00009A290000}" name="Column10645" dataDxfId="5758"/>
    <tableColumn id="10651" xr3:uid="{00000000-0010-0000-0300-00009B290000}" name="Column10646" dataDxfId="5757"/>
    <tableColumn id="10652" xr3:uid="{00000000-0010-0000-0300-00009C290000}" name="Column10647" dataDxfId="5756"/>
    <tableColumn id="10653" xr3:uid="{00000000-0010-0000-0300-00009D290000}" name="Column10648" dataDxfId="5755"/>
    <tableColumn id="10654" xr3:uid="{00000000-0010-0000-0300-00009E290000}" name="Column10649" dataDxfId="5754"/>
    <tableColumn id="10655" xr3:uid="{00000000-0010-0000-0300-00009F290000}" name="Column10650" dataDxfId="5753"/>
    <tableColumn id="10656" xr3:uid="{00000000-0010-0000-0300-0000A0290000}" name="Column10651" dataDxfId="5752"/>
    <tableColumn id="10657" xr3:uid="{00000000-0010-0000-0300-0000A1290000}" name="Column10652" dataDxfId="5751"/>
    <tableColumn id="10658" xr3:uid="{00000000-0010-0000-0300-0000A2290000}" name="Column10653" dataDxfId="5750"/>
    <tableColumn id="10659" xr3:uid="{00000000-0010-0000-0300-0000A3290000}" name="Column10654" dataDxfId="5749"/>
    <tableColumn id="10660" xr3:uid="{00000000-0010-0000-0300-0000A4290000}" name="Column10655" dataDxfId="5748"/>
    <tableColumn id="10661" xr3:uid="{00000000-0010-0000-0300-0000A5290000}" name="Column10656" dataDxfId="5747"/>
    <tableColumn id="10662" xr3:uid="{00000000-0010-0000-0300-0000A6290000}" name="Column10657" dataDxfId="5746"/>
    <tableColumn id="10663" xr3:uid="{00000000-0010-0000-0300-0000A7290000}" name="Column10658" dataDxfId="5745"/>
    <tableColumn id="10664" xr3:uid="{00000000-0010-0000-0300-0000A8290000}" name="Column10659" dataDxfId="5744"/>
    <tableColumn id="10665" xr3:uid="{00000000-0010-0000-0300-0000A9290000}" name="Column10660" dataDxfId="5743"/>
    <tableColumn id="10666" xr3:uid="{00000000-0010-0000-0300-0000AA290000}" name="Column10661" dataDxfId="5742"/>
    <tableColumn id="10667" xr3:uid="{00000000-0010-0000-0300-0000AB290000}" name="Column10662" dataDxfId="5741"/>
    <tableColumn id="10668" xr3:uid="{00000000-0010-0000-0300-0000AC290000}" name="Column10663" dataDxfId="5740"/>
    <tableColumn id="10669" xr3:uid="{00000000-0010-0000-0300-0000AD290000}" name="Column10664" dataDxfId="5739"/>
    <tableColumn id="10670" xr3:uid="{00000000-0010-0000-0300-0000AE290000}" name="Column10665" dataDxfId="5738"/>
    <tableColumn id="10671" xr3:uid="{00000000-0010-0000-0300-0000AF290000}" name="Column10666" dataDxfId="5737"/>
    <tableColumn id="10672" xr3:uid="{00000000-0010-0000-0300-0000B0290000}" name="Column10667" dataDxfId="5736"/>
    <tableColumn id="10673" xr3:uid="{00000000-0010-0000-0300-0000B1290000}" name="Column10668" dataDxfId="5735"/>
    <tableColumn id="10674" xr3:uid="{00000000-0010-0000-0300-0000B2290000}" name="Column10669" dataDxfId="5734"/>
    <tableColumn id="10675" xr3:uid="{00000000-0010-0000-0300-0000B3290000}" name="Column10670" dataDxfId="5733"/>
    <tableColumn id="10676" xr3:uid="{00000000-0010-0000-0300-0000B4290000}" name="Column10671" dataDxfId="5732"/>
    <tableColumn id="10677" xr3:uid="{00000000-0010-0000-0300-0000B5290000}" name="Column10672" dataDxfId="5731"/>
    <tableColumn id="10678" xr3:uid="{00000000-0010-0000-0300-0000B6290000}" name="Column10673" dataDxfId="5730"/>
    <tableColumn id="10679" xr3:uid="{00000000-0010-0000-0300-0000B7290000}" name="Column10674" dataDxfId="5729"/>
    <tableColumn id="10680" xr3:uid="{00000000-0010-0000-0300-0000B8290000}" name="Column10675" dataDxfId="5728"/>
    <tableColumn id="10681" xr3:uid="{00000000-0010-0000-0300-0000B9290000}" name="Column10676" dataDxfId="5727"/>
    <tableColumn id="10682" xr3:uid="{00000000-0010-0000-0300-0000BA290000}" name="Column10677" dataDxfId="5726"/>
    <tableColumn id="10683" xr3:uid="{00000000-0010-0000-0300-0000BB290000}" name="Column10678" dataDxfId="5725"/>
    <tableColumn id="10684" xr3:uid="{00000000-0010-0000-0300-0000BC290000}" name="Column10679" dataDxfId="5724"/>
    <tableColumn id="10685" xr3:uid="{00000000-0010-0000-0300-0000BD290000}" name="Column10680" dataDxfId="5723"/>
    <tableColumn id="10686" xr3:uid="{00000000-0010-0000-0300-0000BE290000}" name="Column10681" dataDxfId="5722"/>
    <tableColumn id="10687" xr3:uid="{00000000-0010-0000-0300-0000BF290000}" name="Column10682" dataDxfId="5721"/>
    <tableColumn id="10688" xr3:uid="{00000000-0010-0000-0300-0000C0290000}" name="Column10683" dataDxfId="5720"/>
    <tableColumn id="10689" xr3:uid="{00000000-0010-0000-0300-0000C1290000}" name="Column10684" dataDxfId="5719"/>
    <tableColumn id="10690" xr3:uid="{00000000-0010-0000-0300-0000C2290000}" name="Column10685" dataDxfId="5718"/>
    <tableColumn id="10691" xr3:uid="{00000000-0010-0000-0300-0000C3290000}" name="Column10686" dataDxfId="5717"/>
    <tableColumn id="10692" xr3:uid="{00000000-0010-0000-0300-0000C4290000}" name="Column10687" dataDxfId="5716"/>
    <tableColumn id="10693" xr3:uid="{00000000-0010-0000-0300-0000C5290000}" name="Column10688" dataDxfId="5715"/>
    <tableColumn id="10694" xr3:uid="{00000000-0010-0000-0300-0000C6290000}" name="Column10689" dataDxfId="5714"/>
    <tableColumn id="10695" xr3:uid="{00000000-0010-0000-0300-0000C7290000}" name="Column10690" dataDxfId="5713"/>
    <tableColumn id="10696" xr3:uid="{00000000-0010-0000-0300-0000C8290000}" name="Column10691" dataDxfId="5712"/>
    <tableColumn id="10697" xr3:uid="{00000000-0010-0000-0300-0000C9290000}" name="Column10692" dataDxfId="5711"/>
    <tableColumn id="10698" xr3:uid="{00000000-0010-0000-0300-0000CA290000}" name="Column10693" dataDxfId="5710"/>
    <tableColumn id="10699" xr3:uid="{00000000-0010-0000-0300-0000CB290000}" name="Column10694" dataDxfId="5709"/>
    <tableColumn id="10700" xr3:uid="{00000000-0010-0000-0300-0000CC290000}" name="Column10695" dataDxfId="5708"/>
    <tableColumn id="10701" xr3:uid="{00000000-0010-0000-0300-0000CD290000}" name="Column10696" dataDxfId="5707"/>
    <tableColumn id="10702" xr3:uid="{00000000-0010-0000-0300-0000CE290000}" name="Column10697" dataDxfId="5706"/>
    <tableColumn id="10703" xr3:uid="{00000000-0010-0000-0300-0000CF290000}" name="Column10698" dataDxfId="5705"/>
    <tableColumn id="10704" xr3:uid="{00000000-0010-0000-0300-0000D0290000}" name="Column10699" dataDxfId="5704"/>
    <tableColumn id="10705" xr3:uid="{00000000-0010-0000-0300-0000D1290000}" name="Column10700" dataDxfId="5703"/>
    <tableColumn id="10706" xr3:uid="{00000000-0010-0000-0300-0000D2290000}" name="Column10701" dataDxfId="5702"/>
    <tableColumn id="10707" xr3:uid="{00000000-0010-0000-0300-0000D3290000}" name="Column10702" dataDxfId="5701"/>
    <tableColumn id="10708" xr3:uid="{00000000-0010-0000-0300-0000D4290000}" name="Column10703" dataDxfId="5700"/>
    <tableColumn id="10709" xr3:uid="{00000000-0010-0000-0300-0000D5290000}" name="Column10704" dataDxfId="5699"/>
    <tableColumn id="10710" xr3:uid="{00000000-0010-0000-0300-0000D6290000}" name="Column10705" dataDxfId="5698"/>
    <tableColumn id="10711" xr3:uid="{00000000-0010-0000-0300-0000D7290000}" name="Column10706" dataDxfId="5697"/>
    <tableColumn id="10712" xr3:uid="{00000000-0010-0000-0300-0000D8290000}" name="Column10707" dataDxfId="5696"/>
    <tableColumn id="10713" xr3:uid="{00000000-0010-0000-0300-0000D9290000}" name="Column10708" dataDxfId="5695"/>
    <tableColumn id="10714" xr3:uid="{00000000-0010-0000-0300-0000DA290000}" name="Column10709" dataDxfId="5694"/>
    <tableColumn id="10715" xr3:uid="{00000000-0010-0000-0300-0000DB290000}" name="Column10710" dataDxfId="5693"/>
    <tableColumn id="10716" xr3:uid="{00000000-0010-0000-0300-0000DC290000}" name="Column10711" dataDxfId="5692"/>
    <tableColumn id="10717" xr3:uid="{00000000-0010-0000-0300-0000DD290000}" name="Column10712" dataDxfId="5691"/>
    <tableColumn id="10718" xr3:uid="{00000000-0010-0000-0300-0000DE290000}" name="Column10713" dataDxfId="5690"/>
    <tableColumn id="10719" xr3:uid="{00000000-0010-0000-0300-0000DF290000}" name="Column10714" dataDxfId="5689"/>
    <tableColumn id="10720" xr3:uid="{00000000-0010-0000-0300-0000E0290000}" name="Column10715" dataDxfId="5688"/>
    <tableColumn id="10721" xr3:uid="{00000000-0010-0000-0300-0000E1290000}" name="Column10716" dataDxfId="5687"/>
    <tableColumn id="10722" xr3:uid="{00000000-0010-0000-0300-0000E2290000}" name="Column10717" dataDxfId="5686"/>
    <tableColumn id="10723" xr3:uid="{00000000-0010-0000-0300-0000E3290000}" name="Column10718" dataDxfId="5685"/>
    <tableColumn id="10724" xr3:uid="{00000000-0010-0000-0300-0000E4290000}" name="Column10719" dataDxfId="5684"/>
    <tableColumn id="10725" xr3:uid="{00000000-0010-0000-0300-0000E5290000}" name="Column10720" dataDxfId="5683"/>
    <tableColumn id="10726" xr3:uid="{00000000-0010-0000-0300-0000E6290000}" name="Column10721" dataDxfId="5682"/>
    <tableColumn id="10727" xr3:uid="{00000000-0010-0000-0300-0000E7290000}" name="Column10722" dataDxfId="5681"/>
    <tableColumn id="10728" xr3:uid="{00000000-0010-0000-0300-0000E8290000}" name="Column10723" dataDxfId="5680"/>
    <tableColumn id="10729" xr3:uid="{00000000-0010-0000-0300-0000E9290000}" name="Column10724" dataDxfId="5679"/>
    <tableColumn id="10730" xr3:uid="{00000000-0010-0000-0300-0000EA290000}" name="Column10725" dataDxfId="5678"/>
    <tableColumn id="10731" xr3:uid="{00000000-0010-0000-0300-0000EB290000}" name="Column10726" dataDxfId="5677"/>
    <tableColumn id="10732" xr3:uid="{00000000-0010-0000-0300-0000EC290000}" name="Column10727" dataDxfId="5676"/>
    <tableColumn id="10733" xr3:uid="{00000000-0010-0000-0300-0000ED290000}" name="Column10728" dataDxfId="5675"/>
    <tableColumn id="10734" xr3:uid="{00000000-0010-0000-0300-0000EE290000}" name="Column10729" dataDxfId="5674"/>
    <tableColumn id="10735" xr3:uid="{00000000-0010-0000-0300-0000EF290000}" name="Column10730" dataDxfId="5673"/>
    <tableColumn id="10736" xr3:uid="{00000000-0010-0000-0300-0000F0290000}" name="Column10731" dataDxfId="5672"/>
    <tableColumn id="10737" xr3:uid="{00000000-0010-0000-0300-0000F1290000}" name="Column10732" dataDxfId="5671"/>
    <tableColumn id="10738" xr3:uid="{00000000-0010-0000-0300-0000F2290000}" name="Column10733" dataDxfId="5670"/>
    <tableColumn id="10739" xr3:uid="{00000000-0010-0000-0300-0000F3290000}" name="Column10734" dataDxfId="5669"/>
    <tableColumn id="10740" xr3:uid="{00000000-0010-0000-0300-0000F4290000}" name="Column10735" dataDxfId="5668"/>
    <tableColumn id="10741" xr3:uid="{00000000-0010-0000-0300-0000F5290000}" name="Column10736" dataDxfId="5667"/>
    <tableColumn id="10742" xr3:uid="{00000000-0010-0000-0300-0000F6290000}" name="Column10737" dataDxfId="5666"/>
    <tableColumn id="10743" xr3:uid="{00000000-0010-0000-0300-0000F7290000}" name="Column10738" dataDxfId="5665"/>
    <tableColumn id="10744" xr3:uid="{00000000-0010-0000-0300-0000F8290000}" name="Column10739" dataDxfId="5664"/>
    <tableColumn id="10745" xr3:uid="{00000000-0010-0000-0300-0000F9290000}" name="Column10740" dataDxfId="5663"/>
    <tableColumn id="10746" xr3:uid="{00000000-0010-0000-0300-0000FA290000}" name="Column10741" dataDxfId="5662"/>
    <tableColumn id="10747" xr3:uid="{00000000-0010-0000-0300-0000FB290000}" name="Column10742" dataDxfId="5661"/>
    <tableColumn id="10748" xr3:uid="{00000000-0010-0000-0300-0000FC290000}" name="Column10743" dataDxfId="5660"/>
    <tableColumn id="10749" xr3:uid="{00000000-0010-0000-0300-0000FD290000}" name="Column10744" dataDxfId="5659"/>
    <tableColumn id="10750" xr3:uid="{00000000-0010-0000-0300-0000FE290000}" name="Column10745" dataDxfId="5658"/>
    <tableColumn id="10751" xr3:uid="{00000000-0010-0000-0300-0000FF290000}" name="Column10746" dataDxfId="5657"/>
    <tableColumn id="10752" xr3:uid="{00000000-0010-0000-0300-0000002A0000}" name="Column10747" dataDxfId="5656"/>
    <tableColumn id="10753" xr3:uid="{00000000-0010-0000-0300-0000012A0000}" name="Column10748" dataDxfId="5655"/>
    <tableColumn id="10754" xr3:uid="{00000000-0010-0000-0300-0000022A0000}" name="Column10749" dataDxfId="5654"/>
    <tableColumn id="10755" xr3:uid="{00000000-0010-0000-0300-0000032A0000}" name="Column10750" dataDxfId="5653"/>
    <tableColumn id="10756" xr3:uid="{00000000-0010-0000-0300-0000042A0000}" name="Column10751" dataDxfId="5652"/>
    <tableColumn id="10757" xr3:uid="{00000000-0010-0000-0300-0000052A0000}" name="Column10752" dataDxfId="5651"/>
    <tableColumn id="10758" xr3:uid="{00000000-0010-0000-0300-0000062A0000}" name="Column10753" dataDxfId="5650"/>
    <tableColumn id="10759" xr3:uid="{00000000-0010-0000-0300-0000072A0000}" name="Column10754" dataDxfId="5649"/>
    <tableColumn id="10760" xr3:uid="{00000000-0010-0000-0300-0000082A0000}" name="Column10755" dataDxfId="5648"/>
    <tableColumn id="10761" xr3:uid="{00000000-0010-0000-0300-0000092A0000}" name="Column10756" dataDxfId="5647"/>
    <tableColumn id="10762" xr3:uid="{00000000-0010-0000-0300-00000A2A0000}" name="Column10757" dataDxfId="5646"/>
    <tableColumn id="10763" xr3:uid="{00000000-0010-0000-0300-00000B2A0000}" name="Column10758" dataDxfId="5645"/>
    <tableColumn id="10764" xr3:uid="{00000000-0010-0000-0300-00000C2A0000}" name="Column10759" dataDxfId="5644"/>
    <tableColumn id="10765" xr3:uid="{00000000-0010-0000-0300-00000D2A0000}" name="Column10760" dataDxfId="5643"/>
    <tableColumn id="10766" xr3:uid="{00000000-0010-0000-0300-00000E2A0000}" name="Column10761" dataDxfId="5642"/>
    <tableColumn id="10767" xr3:uid="{00000000-0010-0000-0300-00000F2A0000}" name="Column10762" dataDxfId="5641"/>
    <tableColumn id="10768" xr3:uid="{00000000-0010-0000-0300-0000102A0000}" name="Column10763" dataDxfId="5640"/>
    <tableColumn id="10769" xr3:uid="{00000000-0010-0000-0300-0000112A0000}" name="Column10764" dataDxfId="5639"/>
    <tableColumn id="10770" xr3:uid="{00000000-0010-0000-0300-0000122A0000}" name="Column10765" dataDxfId="5638"/>
    <tableColumn id="10771" xr3:uid="{00000000-0010-0000-0300-0000132A0000}" name="Column10766" dataDxfId="5637"/>
    <tableColumn id="10772" xr3:uid="{00000000-0010-0000-0300-0000142A0000}" name="Column10767" dataDxfId="5636"/>
    <tableColumn id="10773" xr3:uid="{00000000-0010-0000-0300-0000152A0000}" name="Column10768" dataDxfId="5635"/>
    <tableColumn id="10774" xr3:uid="{00000000-0010-0000-0300-0000162A0000}" name="Column10769" dataDxfId="5634"/>
    <tableColumn id="10775" xr3:uid="{00000000-0010-0000-0300-0000172A0000}" name="Column10770" dataDxfId="5633"/>
    <tableColumn id="10776" xr3:uid="{00000000-0010-0000-0300-0000182A0000}" name="Column10771" dataDxfId="5632"/>
    <tableColumn id="10777" xr3:uid="{00000000-0010-0000-0300-0000192A0000}" name="Column10772" dataDxfId="5631"/>
    <tableColumn id="10778" xr3:uid="{00000000-0010-0000-0300-00001A2A0000}" name="Column10773" dataDxfId="5630"/>
    <tableColumn id="10779" xr3:uid="{00000000-0010-0000-0300-00001B2A0000}" name="Column10774" dataDxfId="5629"/>
    <tableColumn id="10780" xr3:uid="{00000000-0010-0000-0300-00001C2A0000}" name="Column10775" dataDxfId="5628"/>
    <tableColumn id="10781" xr3:uid="{00000000-0010-0000-0300-00001D2A0000}" name="Column10776" dataDxfId="5627"/>
    <tableColumn id="10782" xr3:uid="{00000000-0010-0000-0300-00001E2A0000}" name="Column10777" dataDxfId="5626"/>
    <tableColumn id="10783" xr3:uid="{00000000-0010-0000-0300-00001F2A0000}" name="Column10778" dataDxfId="5625"/>
    <tableColumn id="10784" xr3:uid="{00000000-0010-0000-0300-0000202A0000}" name="Column10779" dataDxfId="5624"/>
    <tableColumn id="10785" xr3:uid="{00000000-0010-0000-0300-0000212A0000}" name="Column10780" dataDxfId="5623"/>
    <tableColumn id="10786" xr3:uid="{00000000-0010-0000-0300-0000222A0000}" name="Column10781" dataDxfId="5622"/>
    <tableColumn id="10787" xr3:uid="{00000000-0010-0000-0300-0000232A0000}" name="Column10782" dataDxfId="5621"/>
    <tableColumn id="10788" xr3:uid="{00000000-0010-0000-0300-0000242A0000}" name="Column10783" dataDxfId="5620"/>
    <tableColumn id="10789" xr3:uid="{00000000-0010-0000-0300-0000252A0000}" name="Column10784" dataDxfId="5619"/>
    <tableColumn id="10790" xr3:uid="{00000000-0010-0000-0300-0000262A0000}" name="Column10785" dataDxfId="5618"/>
    <tableColumn id="10791" xr3:uid="{00000000-0010-0000-0300-0000272A0000}" name="Column10786" dataDxfId="5617"/>
    <tableColumn id="10792" xr3:uid="{00000000-0010-0000-0300-0000282A0000}" name="Column10787" dataDxfId="5616"/>
    <tableColumn id="10793" xr3:uid="{00000000-0010-0000-0300-0000292A0000}" name="Column10788" dataDxfId="5615"/>
    <tableColumn id="10794" xr3:uid="{00000000-0010-0000-0300-00002A2A0000}" name="Column10789" dataDxfId="5614"/>
    <tableColumn id="10795" xr3:uid="{00000000-0010-0000-0300-00002B2A0000}" name="Column10790" dataDxfId="5613"/>
    <tableColumn id="10796" xr3:uid="{00000000-0010-0000-0300-00002C2A0000}" name="Column10791" dataDxfId="5612"/>
    <tableColumn id="10797" xr3:uid="{00000000-0010-0000-0300-00002D2A0000}" name="Column10792" dataDxfId="5611"/>
    <tableColumn id="10798" xr3:uid="{00000000-0010-0000-0300-00002E2A0000}" name="Column10793" dataDxfId="5610"/>
    <tableColumn id="10799" xr3:uid="{00000000-0010-0000-0300-00002F2A0000}" name="Column10794" dataDxfId="5609"/>
    <tableColumn id="10800" xr3:uid="{00000000-0010-0000-0300-0000302A0000}" name="Column10795" dataDxfId="5608"/>
    <tableColumn id="10801" xr3:uid="{00000000-0010-0000-0300-0000312A0000}" name="Column10796" dataDxfId="5607"/>
    <tableColumn id="10802" xr3:uid="{00000000-0010-0000-0300-0000322A0000}" name="Column10797" dataDxfId="5606"/>
    <tableColumn id="10803" xr3:uid="{00000000-0010-0000-0300-0000332A0000}" name="Column10798" dataDxfId="5605"/>
    <tableColumn id="10804" xr3:uid="{00000000-0010-0000-0300-0000342A0000}" name="Column10799" dataDxfId="5604"/>
    <tableColumn id="10805" xr3:uid="{00000000-0010-0000-0300-0000352A0000}" name="Column10800" dataDxfId="5603"/>
    <tableColumn id="10806" xr3:uid="{00000000-0010-0000-0300-0000362A0000}" name="Column10801" dataDxfId="5602"/>
    <tableColumn id="10807" xr3:uid="{00000000-0010-0000-0300-0000372A0000}" name="Column10802" dataDxfId="5601"/>
    <tableColumn id="10808" xr3:uid="{00000000-0010-0000-0300-0000382A0000}" name="Column10803" dataDxfId="5600"/>
    <tableColumn id="10809" xr3:uid="{00000000-0010-0000-0300-0000392A0000}" name="Column10804" dataDxfId="5599"/>
    <tableColumn id="10810" xr3:uid="{00000000-0010-0000-0300-00003A2A0000}" name="Column10805" dataDxfId="5598"/>
    <tableColumn id="10811" xr3:uid="{00000000-0010-0000-0300-00003B2A0000}" name="Column10806" dataDxfId="5597"/>
    <tableColumn id="10812" xr3:uid="{00000000-0010-0000-0300-00003C2A0000}" name="Column10807" dataDxfId="5596"/>
    <tableColumn id="10813" xr3:uid="{00000000-0010-0000-0300-00003D2A0000}" name="Column10808" dataDxfId="5595"/>
    <tableColumn id="10814" xr3:uid="{00000000-0010-0000-0300-00003E2A0000}" name="Column10809" dataDxfId="5594"/>
    <tableColumn id="10815" xr3:uid="{00000000-0010-0000-0300-00003F2A0000}" name="Column10810" dataDxfId="5593"/>
    <tableColumn id="10816" xr3:uid="{00000000-0010-0000-0300-0000402A0000}" name="Column10811" dataDxfId="5592"/>
    <tableColumn id="10817" xr3:uid="{00000000-0010-0000-0300-0000412A0000}" name="Column10812" dataDxfId="5591"/>
    <tableColumn id="10818" xr3:uid="{00000000-0010-0000-0300-0000422A0000}" name="Column10813" dataDxfId="5590"/>
    <tableColumn id="10819" xr3:uid="{00000000-0010-0000-0300-0000432A0000}" name="Column10814" dataDxfId="5589"/>
    <tableColumn id="10820" xr3:uid="{00000000-0010-0000-0300-0000442A0000}" name="Column10815" dataDxfId="5588"/>
    <tableColumn id="10821" xr3:uid="{00000000-0010-0000-0300-0000452A0000}" name="Column10816" dataDxfId="5587"/>
    <tableColumn id="10822" xr3:uid="{00000000-0010-0000-0300-0000462A0000}" name="Column10817" dataDxfId="5586"/>
    <tableColumn id="10823" xr3:uid="{00000000-0010-0000-0300-0000472A0000}" name="Column10818" dataDxfId="5585"/>
    <tableColumn id="10824" xr3:uid="{00000000-0010-0000-0300-0000482A0000}" name="Column10819" dataDxfId="5584"/>
    <tableColumn id="10825" xr3:uid="{00000000-0010-0000-0300-0000492A0000}" name="Column10820" dataDxfId="5583"/>
    <tableColumn id="10826" xr3:uid="{00000000-0010-0000-0300-00004A2A0000}" name="Column10821" dataDxfId="5582"/>
    <tableColumn id="10827" xr3:uid="{00000000-0010-0000-0300-00004B2A0000}" name="Column10822" dataDxfId="5581"/>
    <tableColumn id="10828" xr3:uid="{00000000-0010-0000-0300-00004C2A0000}" name="Column10823" dataDxfId="5580"/>
    <tableColumn id="10829" xr3:uid="{00000000-0010-0000-0300-00004D2A0000}" name="Column10824" dataDxfId="5579"/>
    <tableColumn id="10830" xr3:uid="{00000000-0010-0000-0300-00004E2A0000}" name="Column10825" dataDxfId="5578"/>
    <tableColumn id="10831" xr3:uid="{00000000-0010-0000-0300-00004F2A0000}" name="Column10826" dataDxfId="5577"/>
    <tableColumn id="10832" xr3:uid="{00000000-0010-0000-0300-0000502A0000}" name="Column10827" dataDxfId="5576"/>
    <tableColumn id="10833" xr3:uid="{00000000-0010-0000-0300-0000512A0000}" name="Column10828" dataDxfId="5575"/>
    <tableColumn id="10834" xr3:uid="{00000000-0010-0000-0300-0000522A0000}" name="Column10829" dataDxfId="5574"/>
    <tableColumn id="10835" xr3:uid="{00000000-0010-0000-0300-0000532A0000}" name="Column10830" dataDxfId="5573"/>
    <tableColumn id="10836" xr3:uid="{00000000-0010-0000-0300-0000542A0000}" name="Column10831" dataDxfId="5572"/>
    <tableColumn id="10837" xr3:uid="{00000000-0010-0000-0300-0000552A0000}" name="Column10832" dataDxfId="5571"/>
    <tableColumn id="10838" xr3:uid="{00000000-0010-0000-0300-0000562A0000}" name="Column10833" dataDxfId="5570"/>
    <tableColumn id="10839" xr3:uid="{00000000-0010-0000-0300-0000572A0000}" name="Column10834" dataDxfId="5569"/>
    <tableColumn id="10840" xr3:uid="{00000000-0010-0000-0300-0000582A0000}" name="Column10835" dataDxfId="5568"/>
    <tableColumn id="10841" xr3:uid="{00000000-0010-0000-0300-0000592A0000}" name="Column10836" dataDxfId="5567"/>
    <tableColumn id="10842" xr3:uid="{00000000-0010-0000-0300-00005A2A0000}" name="Column10837" dataDxfId="5566"/>
    <tableColumn id="10843" xr3:uid="{00000000-0010-0000-0300-00005B2A0000}" name="Column10838" dataDxfId="5565"/>
    <tableColumn id="10844" xr3:uid="{00000000-0010-0000-0300-00005C2A0000}" name="Column10839" dataDxfId="5564"/>
    <tableColumn id="10845" xr3:uid="{00000000-0010-0000-0300-00005D2A0000}" name="Column10840" dataDxfId="5563"/>
    <tableColumn id="10846" xr3:uid="{00000000-0010-0000-0300-00005E2A0000}" name="Column10841" dataDxfId="5562"/>
    <tableColumn id="10847" xr3:uid="{00000000-0010-0000-0300-00005F2A0000}" name="Column10842" dataDxfId="5561"/>
    <tableColumn id="10848" xr3:uid="{00000000-0010-0000-0300-0000602A0000}" name="Column10843" dataDxfId="5560"/>
    <tableColumn id="10849" xr3:uid="{00000000-0010-0000-0300-0000612A0000}" name="Column10844" dataDxfId="5559"/>
    <tableColumn id="10850" xr3:uid="{00000000-0010-0000-0300-0000622A0000}" name="Column10845" dataDxfId="5558"/>
    <tableColumn id="10851" xr3:uid="{00000000-0010-0000-0300-0000632A0000}" name="Column10846" dataDxfId="5557"/>
    <tableColumn id="10852" xr3:uid="{00000000-0010-0000-0300-0000642A0000}" name="Column10847" dataDxfId="5556"/>
    <tableColumn id="10853" xr3:uid="{00000000-0010-0000-0300-0000652A0000}" name="Column10848" dataDxfId="5555"/>
    <tableColumn id="10854" xr3:uid="{00000000-0010-0000-0300-0000662A0000}" name="Column10849" dataDxfId="5554"/>
    <tableColumn id="10855" xr3:uid="{00000000-0010-0000-0300-0000672A0000}" name="Column10850" dataDxfId="5553"/>
    <tableColumn id="10856" xr3:uid="{00000000-0010-0000-0300-0000682A0000}" name="Column10851" dataDxfId="5552"/>
    <tableColumn id="10857" xr3:uid="{00000000-0010-0000-0300-0000692A0000}" name="Column10852" dataDxfId="5551"/>
    <tableColumn id="10858" xr3:uid="{00000000-0010-0000-0300-00006A2A0000}" name="Column10853" dataDxfId="5550"/>
    <tableColumn id="10859" xr3:uid="{00000000-0010-0000-0300-00006B2A0000}" name="Column10854" dataDxfId="5549"/>
    <tableColumn id="10860" xr3:uid="{00000000-0010-0000-0300-00006C2A0000}" name="Column10855" dataDxfId="5548"/>
    <tableColumn id="10861" xr3:uid="{00000000-0010-0000-0300-00006D2A0000}" name="Column10856" dataDxfId="5547"/>
    <tableColumn id="10862" xr3:uid="{00000000-0010-0000-0300-00006E2A0000}" name="Column10857" dataDxfId="5546"/>
    <tableColumn id="10863" xr3:uid="{00000000-0010-0000-0300-00006F2A0000}" name="Column10858" dataDxfId="5545"/>
    <tableColumn id="10864" xr3:uid="{00000000-0010-0000-0300-0000702A0000}" name="Column10859" dataDxfId="5544"/>
    <tableColumn id="10865" xr3:uid="{00000000-0010-0000-0300-0000712A0000}" name="Column10860" dataDxfId="5543"/>
    <tableColumn id="10866" xr3:uid="{00000000-0010-0000-0300-0000722A0000}" name="Column10861" dataDxfId="5542"/>
    <tableColumn id="10867" xr3:uid="{00000000-0010-0000-0300-0000732A0000}" name="Column10862" dataDxfId="5541"/>
    <tableColumn id="10868" xr3:uid="{00000000-0010-0000-0300-0000742A0000}" name="Column10863" dataDxfId="5540"/>
    <tableColumn id="10869" xr3:uid="{00000000-0010-0000-0300-0000752A0000}" name="Column10864" dataDxfId="5539"/>
    <tableColumn id="10870" xr3:uid="{00000000-0010-0000-0300-0000762A0000}" name="Column10865" dataDxfId="5538"/>
    <tableColumn id="10871" xr3:uid="{00000000-0010-0000-0300-0000772A0000}" name="Column10866" dataDxfId="5537"/>
    <tableColumn id="10872" xr3:uid="{00000000-0010-0000-0300-0000782A0000}" name="Column10867" dataDxfId="5536"/>
    <tableColumn id="10873" xr3:uid="{00000000-0010-0000-0300-0000792A0000}" name="Column10868" dataDxfId="5535"/>
    <tableColumn id="10874" xr3:uid="{00000000-0010-0000-0300-00007A2A0000}" name="Column10869" dataDxfId="5534"/>
    <tableColumn id="10875" xr3:uid="{00000000-0010-0000-0300-00007B2A0000}" name="Column10870" dataDxfId="5533"/>
    <tableColumn id="10876" xr3:uid="{00000000-0010-0000-0300-00007C2A0000}" name="Column10871" dataDxfId="5532"/>
    <tableColumn id="10877" xr3:uid="{00000000-0010-0000-0300-00007D2A0000}" name="Column10872" dataDxfId="5531"/>
    <tableColumn id="10878" xr3:uid="{00000000-0010-0000-0300-00007E2A0000}" name="Column10873" dataDxfId="5530"/>
    <tableColumn id="10879" xr3:uid="{00000000-0010-0000-0300-00007F2A0000}" name="Column10874" dataDxfId="5529"/>
    <tableColumn id="10880" xr3:uid="{00000000-0010-0000-0300-0000802A0000}" name="Column10875" dataDxfId="5528"/>
    <tableColumn id="10881" xr3:uid="{00000000-0010-0000-0300-0000812A0000}" name="Column10876" dataDxfId="5527"/>
    <tableColumn id="10882" xr3:uid="{00000000-0010-0000-0300-0000822A0000}" name="Column10877" dataDxfId="5526"/>
    <tableColumn id="10883" xr3:uid="{00000000-0010-0000-0300-0000832A0000}" name="Column10878" dataDxfId="5525"/>
    <tableColumn id="10884" xr3:uid="{00000000-0010-0000-0300-0000842A0000}" name="Column10879" dataDxfId="5524"/>
    <tableColumn id="10885" xr3:uid="{00000000-0010-0000-0300-0000852A0000}" name="Column10880" dataDxfId="5523"/>
    <tableColumn id="10886" xr3:uid="{00000000-0010-0000-0300-0000862A0000}" name="Column10881" dataDxfId="5522"/>
    <tableColumn id="10887" xr3:uid="{00000000-0010-0000-0300-0000872A0000}" name="Column10882" dataDxfId="5521"/>
    <tableColumn id="10888" xr3:uid="{00000000-0010-0000-0300-0000882A0000}" name="Column10883" dataDxfId="5520"/>
    <tableColumn id="10889" xr3:uid="{00000000-0010-0000-0300-0000892A0000}" name="Column10884" dataDxfId="5519"/>
    <tableColumn id="10890" xr3:uid="{00000000-0010-0000-0300-00008A2A0000}" name="Column10885" dataDxfId="5518"/>
    <tableColumn id="10891" xr3:uid="{00000000-0010-0000-0300-00008B2A0000}" name="Column10886" dataDxfId="5517"/>
    <tableColumn id="10892" xr3:uid="{00000000-0010-0000-0300-00008C2A0000}" name="Column10887" dataDxfId="5516"/>
    <tableColumn id="10893" xr3:uid="{00000000-0010-0000-0300-00008D2A0000}" name="Column10888" dataDxfId="5515"/>
    <tableColumn id="10894" xr3:uid="{00000000-0010-0000-0300-00008E2A0000}" name="Column10889" dataDxfId="5514"/>
    <tableColumn id="10895" xr3:uid="{00000000-0010-0000-0300-00008F2A0000}" name="Column10890" dataDxfId="5513"/>
    <tableColumn id="10896" xr3:uid="{00000000-0010-0000-0300-0000902A0000}" name="Column10891" dataDxfId="5512"/>
    <tableColumn id="10897" xr3:uid="{00000000-0010-0000-0300-0000912A0000}" name="Column10892" dataDxfId="5511"/>
    <tableColumn id="10898" xr3:uid="{00000000-0010-0000-0300-0000922A0000}" name="Column10893" dataDxfId="5510"/>
    <tableColumn id="10899" xr3:uid="{00000000-0010-0000-0300-0000932A0000}" name="Column10894" dataDxfId="5509"/>
    <tableColumn id="10900" xr3:uid="{00000000-0010-0000-0300-0000942A0000}" name="Column10895" dataDxfId="5508"/>
    <tableColumn id="10901" xr3:uid="{00000000-0010-0000-0300-0000952A0000}" name="Column10896" dataDxfId="5507"/>
    <tableColumn id="10902" xr3:uid="{00000000-0010-0000-0300-0000962A0000}" name="Column10897" dataDxfId="5506"/>
    <tableColumn id="10903" xr3:uid="{00000000-0010-0000-0300-0000972A0000}" name="Column10898" dataDxfId="5505"/>
    <tableColumn id="10904" xr3:uid="{00000000-0010-0000-0300-0000982A0000}" name="Column10899" dataDxfId="5504"/>
    <tableColumn id="10905" xr3:uid="{00000000-0010-0000-0300-0000992A0000}" name="Column10900" dataDxfId="5503"/>
    <tableColumn id="10906" xr3:uid="{00000000-0010-0000-0300-00009A2A0000}" name="Column10901" dataDxfId="5502"/>
    <tableColumn id="10907" xr3:uid="{00000000-0010-0000-0300-00009B2A0000}" name="Column10902" dataDxfId="5501"/>
    <tableColumn id="10908" xr3:uid="{00000000-0010-0000-0300-00009C2A0000}" name="Column10903" dataDxfId="5500"/>
    <tableColumn id="10909" xr3:uid="{00000000-0010-0000-0300-00009D2A0000}" name="Column10904" dataDxfId="5499"/>
    <tableColumn id="10910" xr3:uid="{00000000-0010-0000-0300-00009E2A0000}" name="Column10905" dataDxfId="5498"/>
    <tableColumn id="10911" xr3:uid="{00000000-0010-0000-0300-00009F2A0000}" name="Column10906" dataDxfId="5497"/>
    <tableColumn id="10912" xr3:uid="{00000000-0010-0000-0300-0000A02A0000}" name="Column10907" dataDxfId="5496"/>
    <tableColumn id="10913" xr3:uid="{00000000-0010-0000-0300-0000A12A0000}" name="Column10908" dataDxfId="5495"/>
    <tableColumn id="10914" xr3:uid="{00000000-0010-0000-0300-0000A22A0000}" name="Column10909" dataDxfId="5494"/>
    <tableColumn id="10915" xr3:uid="{00000000-0010-0000-0300-0000A32A0000}" name="Column10910" dataDxfId="5493"/>
    <tableColumn id="10916" xr3:uid="{00000000-0010-0000-0300-0000A42A0000}" name="Column10911" dataDxfId="5492"/>
    <tableColumn id="10917" xr3:uid="{00000000-0010-0000-0300-0000A52A0000}" name="Column10912" dataDxfId="5491"/>
    <tableColumn id="10918" xr3:uid="{00000000-0010-0000-0300-0000A62A0000}" name="Column10913" dataDxfId="5490"/>
    <tableColumn id="10919" xr3:uid="{00000000-0010-0000-0300-0000A72A0000}" name="Column10914" dataDxfId="5489"/>
    <tableColumn id="10920" xr3:uid="{00000000-0010-0000-0300-0000A82A0000}" name="Column10915" dataDxfId="5488"/>
    <tableColumn id="10921" xr3:uid="{00000000-0010-0000-0300-0000A92A0000}" name="Column10916" dataDxfId="5487"/>
    <tableColumn id="10922" xr3:uid="{00000000-0010-0000-0300-0000AA2A0000}" name="Column10917" dataDxfId="5486"/>
    <tableColumn id="10923" xr3:uid="{00000000-0010-0000-0300-0000AB2A0000}" name="Column10918" dataDxfId="5485"/>
    <tableColumn id="10924" xr3:uid="{00000000-0010-0000-0300-0000AC2A0000}" name="Column10919" dataDxfId="5484"/>
    <tableColumn id="10925" xr3:uid="{00000000-0010-0000-0300-0000AD2A0000}" name="Column10920" dataDxfId="5483"/>
    <tableColumn id="10926" xr3:uid="{00000000-0010-0000-0300-0000AE2A0000}" name="Column10921" dataDxfId="5482"/>
    <tableColumn id="10927" xr3:uid="{00000000-0010-0000-0300-0000AF2A0000}" name="Column10922" dataDxfId="5481"/>
    <tableColumn id="10928" xr3:uid="{00000000-0010-0000-0300-0000B02A0000}" name="Column10923" dataDxfId="5480"/>
    <tableColumn id="10929" xr3:uid="{00000000-0010-0000-0300-0000B12A0000}" name="Column10924" dataDxfId="5479"/>
    <tableColumn id="10930" xr3:uid="{00000000-0010-0000-0300-0000B22A0000}" name="Column10925" dataDxfId="5478"/>
    <tableColumn id="10931" xr3:uid="{00000000-0010-0000-0300-0000B32A0000}" name="Column10926" dataDxfId="5477"/>
    <tableColumn id="10932" xr3:uid="{00000000-0010-0000-0300-0000B42A0000}" name="Column10927" dataDxfId="5476"/>
    <tableColumn id="10933" xr3:uid="{00000000-0010-0000-0300-0000B52A0000}" name="Column10928" dataDxfId="5475"/>
    <tableColumn id="10934" xr3:uid="{00000000-0010-0000-0300-0000B62A0000}" name="Column10929" dataDxfId="5474"/>
    <tableColumn id="10935" xr3:uid="{00000000-0010-0000-0300-0000B72A0000}" name="Column10930" dataDxfId="5473"/>
    <tableColumn id="10936" xr3:uid="{00000000-0010-0000-0300-0000B82A0000}" name="Column10931" dataDxfId="5472"/>
    <tableColumn id="10937" xr3:uid="{00000000-0010-0000-0300-0000B92A0000}" name="Column10932" dataDxfId="5471"/>
    <tableColumn id="10938" xr3:uid="{00000000-0010-0000-0300-0000BA2A0000}" name="Column10933" dataDxfId="5470"/>
    <tableColumn id="10939" xr3:uid="{00000000-0010-0000-0300-0000BB2A0000}" name="Column10934" dataDxfId="5469"/>
    <tableColumn id="10940" xr3:uid="{00000000-0010-0000-0300-0000BC2A0000}" name="Column10935" dataDxfId="5468"/>
    <tableColumn id="10941" xr3:uid="{00000000-0010-0000-0300-0000BD2A0000}" name="Column10936" dataDxfId="5467"/>
    <tableColumn id="10942" xr3:uid="{00000000-0010-0000-0300-0000BE2A0000}" name="Column10937" dataDxfId="5466"/>
    <tableColumn id="10943" xr3:uid="{00000000-0010-0000-0300-0000BF2A0000}" name="Column10938" dataDxfId="5465"/>
    <tableColumn id="10944" xr3:uid="{00000000-0010-0000-0300-0000C02A0000}" name="Column10939" dataDxfId="5464"/>
    <tableColumn id="10945" xr3:uid="{00000000-0010-0000-0300-0000C12A0000}" name="Column10940" dataDxfId="5463"/>
    <tableColumn id="10946" xr3:uid="{00000000-0010-0000-0300-0000C22A0000}" name="Column10941" dataDxfId="5462"/>
    <tableColumn id="10947" xr3:uid="{00000000-0010-0000-0300-0000C32A0000}" name="Column10942" dataDxfId="5461"/>
    <tableColumn id="10948" xr3:uid="{00000000-0010-0000-0300-0000C42A0000}" name="Column10943" dataDxfId="5460"/>
    <tableColumn id="10949" xr3:uid="{00000000-0010-0000-0300-0000C52A0000}" name="Column10944" dataDxfId="5459"/>
    <tableColumn id="10950" xr3:uid="{00000000-0010-0000-0300-0000C62A0000}" name="Column10945" dataDxfId="5458"/>
    <tableColumn id="10951" xr3:uid="{00000000-0010-0000-0300-0000C72A0000}" name="Column10946" dataDxfId="5457"/>
    <tableColumn id="10952" xr3:uid="{00000000-0010-0000-0300-0000C82A0000}" name="Column10947" dataDxfId="5456"/>
    <tableColumn id="10953" xr3:uid="{00000000-0010-0000-0300-0000C92A0000}" name="Column10948" dataDxfId="5455"/>
    <tableColumn id="10954" xr3:uid="{00000000-0010-0000-0300-0000CA2A0000}" name="Column10949" dataDxfId="5454"/>
    <tableColumn id="10955" xr3:uid="{00000000-0010-0000-0300-0000CB2A0000}" name="Column10950" dataDxfId="5453"/>
    <tableColumn id="10956" xr3:uid="{00000000-0010-0000-0300-0000CC2A0000}" name="Column10951" dataDxfId="5452"/>
    <tableColumn id="10957" xr3:uid="{00000000-0010-0000-0300-0000CD2A0000}" name="Column10952" dataDxfId="5451"/>
    <tableColumn id="10958" xr3:uid="{00000000-0010-0000-0300-0000CE2A0000}" name="Column10953" dataDxfId="5450"/>
    <tableColumn id="10959" xr3:uid="{00000000-0010-0000-0300-0000CF2A0000}" name="Column10954" dataDxfId="5449"/>
    <tableColumn id="10960" xr3:uid="{00000000-0010-0000-0300-0000D02A0000}" name="Column10955" dataDxfId="5448"/>
    <tableColumn id="10961" xr3:uid="{00000000-0010-0000-0300-0000D12A0000}" name="Column10956" dataDxfId="5447"/>
    <tableColumn id="10962" xr3:uid="{00000000-0010-0000-0300-0000D22A0000}" name="Column10957" dataDxfId="5446"/>
    <tableColumn id="10963" xr3:uid="{00000000-0010-0000-0300-0000D32A0000}" name="Column10958" dataDxfId="5445"/>
    <tableColumn id="10964" xr3:uid="{00000000-0010-0000-0300-0000D42A0000}" name="Column10959" dataDxfId="5444"/>
    <tableColumn id="10965" xr3:uid="{00000000-0010-0000-0300-0000D52A0000}" name="Column10960" dataDxfId="5443"/>
    <tableColumn id="10966" xr3:uid="{00000000-0010-0000-0300-0000D62A0000}" name="Column10961" dataDxfId="5442"/>
    <tableColumn id="10967" xr3:uid="{00000000-0010-0000-0300-0000D72A0000}" name="Column10962" dataDxfId="5441"/>
    <tableColumn id="10968" xr3:uid="{00000000-0010-0000-0300-0000D82A0000}" name="Column10963" dataDxfId="5440"/>
    <tableColumn id="10969" xr3:uid="{00000000-0010-0000-0300-0000D92A0000}" name="Column10964" dataDxfId="5439"/>
    <tableColumn id="10970" xr3:uid="{00000000-0010-0000-0300-0000DA2A0000}" name="Column10965" dataDxfId="5438"/>
    <tableColumn id="10971" xr3:uid="{00000000-0010-0000-0300-0000DB2A0000}" name="Column10966" dataDxfId="5437"/>
    <tableColumn id="10972" xr3:uid="{00000000-0010-0000-0300-0000DC2A0000}" name="Column10967" dataDxfId="5436"/>
    <tableColumn id="10973" xr3:uid="{00000000-0010-0000-0300-0000DD2A0000}" name="Column10968" dataDxfId="5435"/>
    <tableColumn id="10974" xr3:uid="{00000000-0010-0000-0300-0000DE2A0000}" name="Column10969" dataDxfId="5434"/>
    <tableColumn id="10975" xr3:uid="{00000000-0010-0000-0300-0000DF2A0000}" name="Column10970" dataDxfId="5433"/>
    <tableColumn id="10976" xr3:uid="{00000000-0010-0000-0300-0000E02A0000}" name="Column10971" dataDxfId="5432"/>
    <tableColumn id="10977" xr3:uid="{00000000-0010-0000-0300-0000E12A0000}" name="Column10972" dataDxfId="5431"/>
    <tableColumn id="10978" xr3:uid="{00000000-0010-0000-0300-0000E22A0000}" name="Column10973" dataDxfId="5430"/>
    <tableColumn id="10979" xr3:uid="{00000000-0010-0000-0300-0000E32A0000}" name="Column10974" dataDxfId="5429"/>
    <tableColumn id="10980" xr3:uid="{00000000-0010-0000-0300-0000E42A0000}" name="Column10975" dataDxfId="5428"/>
    <tableColumn id="10981" xr3:uid="{00000000-0010-0000-0300-0000E52A0000}" name="Column10976" dataDxfId="5427"/>
    <tableColumn id="10982" xr3:uid="{00000000-0010-0000-0300-0000E62A0000}" name="Column10977" dataDxfId="5426"/>
    <tableColumn id="10983" xr3:uid="{00000000-0010-0000-0300-0000E72A0000}" name="Column10978" dataDxfId="5425"/>
    <tableColumn id="10984" xr3:uid="{00000000-0010-0000-0300-0000E82A0000}" name="Column10979" dataDxfId="5424"/>
    <tableColumn id="10985" xr3:uid="{00000000-0010-0000-0300-0000E92A0000}" name="Column10980" dataDxfId="5423"/>
    <tableColumn id="10986" xr3:uid="{00000000-0010-0000-0300-0000EA2A0000}" name="Column10981" dataDxfId="5422"/>
    <tableColumn id="10987" xr3:uid="{00000000-0010-0000-0300-0000EB2A0000}" name="Column10982" dataDxfId="5421"/>
    <tableColumn id="10988" xr3:uid="{00000000-0010-0000-0300-0000EC2A0000}" name="Column10983" dataDxfId="5420"/>
    <tableColumn id="10989" xr3:uid="{00000000-0010-0000-0300-0000ED2A0000}" name="Column10984" dataDxfId="5419"/>
    <tableColumn id="10990" xr3:uid="{00000000-0010-0000-0300-0000EE2A0000}" name="Column10985" dataDxfId="5418"/>
    <tableColumn id="10991" xr3:uid="{00000000-0010-0000-0300-0000EF2A0000}" name="Column10986" dataDxfId="5417"/>
    <tableColumn id="10992" xr3:uid="{00000000-0010-0000-0300-0000F02A0000}" name="Column10987" dataDxfId="5416"/>
    <tableColumn id="10993" xr3:uid="{00000000-0010-0000-0300-0000F12A0000}" name="Column10988" dataDxfId="5415"/>
    <tableColumn id="10994" xr3:uid="{00000000-0010-0000-0300-0000F22A0000}" name="Column10989" dataDxfId="5414"/>
    <tableColumn id="10995" xr3:uid="{00000000-0010-0000-0300-0000F32A0000}" name="Column10990" dataDxfId="5413"/>
    <tableColumn id="10996" xr3:uid="{00000000-0010-0000-0300-0000F42A0000}" name="Column10991" dataDxfId="5412"/>
    <tableColumn id="10997" xr3:uid="{00000000-0010-0000-0300-0000F52A0000}" name="Column10992" dataDxfId="5411"/>
    <tableColumn id="10998" xr3:uid="{00000000-0010-0000-0300-0000F62A0000}" name="Column10993" dataDxfId="5410"/>
    <tableColumn id="10999" xr3:uid="{00000000-0010-0000-0300-0000F72A0000}" name="Column10994" dataDxfId="5409"/>
    <tableColumn id="11000" xr3:uid="{00000000-0010-0000-0300-0000F82A0000}" name="Column10995" dataDxfId="5408"/>
    <tableColumn id="11001" xr3:uid="{00000000-0010-0000-0300-0000F92A0000}" name="Column10996" dataDxfId="5407"/>
    <tableColumn id="11002" xr3:uid="{00000000-0010-0000-0300-0000FA2A0000}" name="Column10997" dataDxfId="5406"/>
    <tableColumn id="11003" xr3:uid="{00000000-0010-0000-0300-0000FB2A0000}" name="Column10998" dataDxfId="5405"/>
    <tableColumn id="11004" xr3:uid="{00000000-0010-0000-0300-0000FC2A0000}" name="Column10999" dataDxfId="5404"/>
    <tableColumn id="11005" xr3:uid="{00000000-0010-0000-0300-0000FD2A0000}" name="Column11000" dataDxfId="5403"/>
    <tableColumn id="11006" xr3:uid="{00000000-0010-0000-0300-0000FE2A0000}" name="Column11001" dataDxfId="5402"/>
    <tableColumn id="11007" xr3:uid="{00000000-0010-0000-0300-0000FF2A0000}" name="Column11002" dataDxfId="5401"/>
    <tableColumn id="11008" xr3:uid="{00000000-0010-0000-0300-0000002B0000}" name="Column11003" dataDxfId="5400"/>
    <tableColumn id="11009" xr3:uid="{00000000-0010-0000-0300-0000012B0000}" name="Column11004" dataDxfId="5399"/>
    <tableColumn id="11010" xr3:uid="{00000000-0010-0000-0300-0000022B0000}" name="Column11005" dataDxfId="5398"/>
    <tableColumn id="11011" xr3:uid="{00000000-0010-0000-0300-0000032B0000}" name="Column11006" dataDxfId="5397"/>
    <tableColumn id="11012" xr3:uid="{00000000-0010-0000-0300-0000042B0000}" name="Column11007" dataDxfId="5396"/>
    <tableColumn id="11013" xr3:uid="{00000000-0010-0000-0300-0000052B0000}" name="Column11008" dataDxfId="5395"/>
    <tableColumn id="11014" xr3:uid="{00000000-0010-0000-0300-0000062B0000}" name="Column11009" dataDxfId="5394"/>
    <tableColumn id="11015" xr3:uid="{00000000-0010-0000-0300-0000072B0000}" name="Column11010" dataDxfId="5393"/>
    <tableColumn id="11016" xr3:uid="{00000000-0010-0000-0300-0000082B0000}" name="Column11011" dataDxfId="5392"/>
    <tableColumn id="11017" xr3:uid="{00000000-0010-0000-0300-0000092B0000}" name="Column11012" dataDxfId="5391"/>
    <tableColumn id="11018" xr3:uid="{00000000-0010-0000-0300-00000A2B0000}" name="Column11013" dataDxfId="5390"/>
    <tableColumn id="11019" xr3:uid="{00000000-0010-0000-0300-00000B2B0000}" name="Column11014" dataDxfId="5389"/>
    <tableColumn id="11020" xr3:uid="{00000000-0010-0000-0300-00000C2B0000}" name="Column11015" dataDxfId="5388"/>
    <tableColumn id="11021" xr3:uid="{00000000-0010-0000-0300-00000D2B0000}" name="Column11016" dataDxfId="5387"/>
    <tableColumn id="11022" xr3:uid="{00000000-0010-0000-0300-00000E2B0000}" name="Column11017" dataDxfId="5386"/>
    <tableColumn id="11023" xr3:uid="{00000000-0010-0000-0300-00000F2B0000}" name="Column11018" dataDxfId="5385"/>
    <tableColumn id="11024" xr3:uid="{00000000-0010-0000-0300-0000102B0000}" name="Column11019" dataDxfId="5384"/>
    <tableColumn id="11025" xr3:uid="{00000000-0010-0000-0300-0000112B0000}" name="Column11020" dataDxfId="5383"/>
    <tableColumn id="11026" xr3:uid="{00000000-0010-0000-0300-0000122B0000}" name="Column11021" dataDxfId="5382"/>
    <tableColumn id="11027" xr3:uid="{00000000-0010-0000-0300-0000132B0000}" name="Column11022" dataDxfId="5381"/>
    <tableColumn id="11028" xr3:uid="{00000000-0010-0000-0300-0000142B0000}" name="Column11023" dataDxfId="5380"/>
    <tableColumn id="11029" xr3:uid="{00000000-0010-0000-0300-0000152B0000}" name="Column11024" dataDxfId="5379"/>
    <tableColumn id="11030" xr3:uid="{00000000-0010-0000-0300-0000162B0000}" name="Column11025" dataDxfId="5378"/>
    <tableColumn id="11031" xr3:uid="{00000000-0010-0000-0300-0000172B0000}" name="Column11026" dataDxfId="5377"/>
    <tableColumn id="11032" xr3:uid="{00000000-0010-0000-0300-0000182B0000}" name="Column11027" dataDxfId="5376"/>
    <tableColumn id="11033" xr3:uid="{00000000-0010-0000-0300-0000192B0000}" name="Column11028" dataDxfId="5375"/>
    <tableColumn id="11034" xr3:uid="{00000000-0010-0000-0300-00001A2B0000}" name="Column11029" dataDxfId="5374"/>
    <tableColumn id="11035" xr3:uid="{00000000-0010-0000-0300-00001B2B0000}" name="Column11030" dataDxfId="5373"/>
    <tableColumn id="11036" xr3:uid="{00000000-0010-0000-0300-00001C2B0000}" name="Column11031" dataDxfId="5372"/>
    <tableColumn id="11037" xr3:uid="{00000000-0010-0000-0300-00001D2B0000}" name="Column11032" dataDxfId="5371"/>
    <tableColumn id="11038" xr3:uid="{00000000-0010-0000-0300-00001E2B0000}" name="Column11033" dataDxfId="5370"/>
    <tableColumn id="11039" xr3:uid="{00000000-0010-0000-0300-00001F2B0000}" name="Column11034" dataDxfId="5369"/>
    <tableColumn id="11040" xr3:uid="{00000000-0010-0000-0300-0000202B0000}" name="Column11035" dataDxfId="5368"/>
    <tableColumn id="11041" xr3:uid="{00000000-0010-0000-0300-0000212B0000}" name="Column11036" dataDxfId="5367"/>
    <tableColumn id="11042" xr3:uid="{00000000-0010-0000-0300-0000222B0000}" name="Column11037" dataDxfId="5366"/>
    <tableColumn id="11043" xr3:uid="{00000000-0010-0000-0300-0000232B0000}" name="Column11038" dataDxfId="5365"/>
    <tableColumn id="11044" xr3:uid="{00000000-0010-0000-0300-0000242B0000}" name="Column11039" dataDxfId="5364"/>
    <tableColumn id="11045" xr3:uid="{00000000-0010-0000-0300-0000252B0000}" name="Column11040" dataDxfId="5363"/>
    <tableColumn id="11046" xr3:uid="{00000000-0010-0000-0300-0000262B0000}" name="Column11041" dataDxfId="5362"/>
    <tableColumn id="11047" xr3:uid="{00000000-0010-0000-0300-0000272B0000}" name="Column11042" dataDxfId="5361"/>
    <tableColumn id="11048" xr3:uid="{00000000-0010-0000-0300-0000282B0000}" name="Column11043" dataDxfId="5360"/>
    <tableColumn id="11049" xr3:uid="{00000000-0010-0000-0300-0000292B0000}" name="Column11044" dataDxfId="5359"/>
    <tableColumn id="11050" xr3:uid="{00000000-0010-0000-0300-00002A2B0000}" name="Column11045" dataDxfId="5358"/>
    <tableColumn id="11051" xr3:uid="{00000000-0010-0000-0300-00002B2B0000}" name="Column11046" dataDxfId="5357"/>
    <tableColumn id="11052" xr3:uid="{00000000-0010-0000-0300-00002C2B0000}" name="Column11047" dataDxfId="5356"/>
    <tableColumn id="11053" xr3:uid="{00000000-0010-0000-0300-00002D2B0000}" name="Column11048" dataDxfId="5355"/>
    <tableColumn id="11054" xr3:uid="{00000000-0010-0000-0300-00002E2B0000}" name="Column11049" dataDxfId="5354"/>
    <tableColumn id="11055" xr3:uid="{00000000-0010-0000-0300-00002F2B0000}" name="Column11050" dataDxfId="5353"/>
    <tableColumn id="11056" xr3:uid="{00000000-0010-0000-0300-0000302B0000}" name="Column11051" dataDxfId="5352"/>
    <tableColumn id="11057" xr3:uid="{00000000-0010-0000-0300-0000312B0000}" name="Column11052" dataDxfId="5351"/>
    <tableColumn id="11058" xr3:uid="{00000000-0010-0000-0300-0000322B0000}" name="Column11053" dataDxfId="5350"/>
    <tableColumn id="11059" xr3:uid="{00000000-0010-0000-0300-0000332B0000}" name="Column11054" dataDxfId="5349"/>
    <tableColumn id="11060" xr3:uid="{00000000-0010-0000-0300-0000342B0000}" name="Column11055" dataDxfId="5348"/>
    <tableColumn id="11061" xr3:uid="{00000000-0010-0000-0300-0000352B0000}" name="Column11056" dataDxfId="5347"/>
    <tableColumn id="11062" xr3:uid="{00000000-0010-0000-0300-0000362B0000}" name="Column11057" dataDxfId="5346"/>
    <tableColumn id="11063" xr3:uid="{00000000-0010-0000-0300-0000372B0000}" name="Column11058" dataDxfId="5345"/>
    <tableColumn id="11064" xr3:uid="{00000000-0010-0000-0300-0000382B0000}" name="Column11059" dataDxfId="5344"/>
    <tableColumn id="11065" xr3:uid="{00000000-0010-0000-0300-0000392B0000}" name="Column11060" dataDxfId="5343"/>
    <tableColumn id="11066" xr3:uid="{00000000-0010-0000-0300-00003A2B0000}" name="Column11061" dataDxfId="5342"/>
    <tableColumn id="11067" xr3:uid="{00000000-0010-0000-0300-00003B2B0000}" name="Column11062" dataDxfId="5341"/>
    <tableColumn id="11068" xr3:uid="{00000000-0010-0000-0300-00003C2B0000}" name="Column11063" dataDxfId="5340"/>
    <tableColumn id="11069" xr3:uid="{00000000-0010-0000-0300-00003D2B0000}" name="Column11064" dataDxfId="5339"/>
    <tableColumn id="11070" xr3:uid="{00000000-0010-0000-0300-00003E2B0000}" name="Column11065" dataDxfId="5338"/>
    <tableColumn id="11071" xr3:uid="{00000000-0010-0000-0300-00003F2B0000}" name="Column11066" dataDxfId="5337"/>
    <tableColumn id="11072" xr3:uid="{00000000-0010-0000-0300-0000402B0000}" name="Column11067" dataDxfId="5336"/>
    <tableColumn id="11073" xr3:uid="{00000000-0010-0000-0300-0000412B0000}" name="Column11068" dataDxfId="5335"/>
    <tableColumn id="11074" xr3:uid="{00000000-0010-0000-0300-0000422B0000}" name="Column11069" dataDxfId="5334"/>
    <tableColumn id="11075" xr3:uid="{00000000-0010-0000-0300-0000432B0000}" name="Column11070" dataDxfId="5333"/>
    <tableColumn id="11076" xr3:uid="{00000000-0010-0000-0300-0000442B0000}" name="Column11071" dataDxfId="5332"/>
    <tableColumn id="11077" xr3:uid="{00000000-0010-0000-0300-0000452B0000}" name="Column11072" dataDxfId="5331"/>
    <tableColumn id="11078" xr3:uid="{00000000-0010-0000-0300-0000462B0000}" name="Column11073" dataDxfId="5330"/>
    <tableColumn id="11079" xr3:uid="{00000000-0010-0000-0300-0000472B0000}" name="Column11074" dataDxfId="5329"/>
    <tableColumn id="11080" xr3:uid="{00000000-0010-0000-0300-0000482B0000}" name="Column11075" dataDxfId="5328"/>
    <tableColumn id="11081" xr3:uid="{00000000-0010-0000-0300-0000492B0000}" name="Column11076" dataDxfId="5327"/>
    <tableColumn id="11082" xr3:uid="{00000000-0010-0000-0300-00004A2B0000}" name="Column11077" dataDxfId="5326"/>
    <tableColumn id="11083" xr3:uid="{00000000-0010-0000-0300-00004B2B0000}" name="Column11078" dataDxfId="5325"/>
    <tableColumn id="11084" xr3:uid="{00000000-0010-0000-0300-00004C2B0000}" name="Column11079" dataDxfId="5324"/>
    <tableColumn id="11085" xr3:uid="{00000000-0010-0000-0300-00004D2B0000}" name="Column11080" dataDxfId="5323"/>
    <tableColumn id="11086" xr3:uid="{00000000-0010-0000-0300-00004E2B0000}" name="Column11081" dataDxfId="5322"/>
    <tableColumn id="11087" xr3:uid="{00000000-0010-0000-0300-00004F2B0000}" name="Column11082" dataDxfId="5321"/>
    <tableColumn id="11088" xr3:uid="{00000000-0010-0000-0300-0000502B0000}" name="Column11083" dataDxfId="5320"/>
    <tableColumn id="11089" xr3:uid="{00000000-0010-0000-0300-0000512B0000}" name="Column11084" dataDxfId="5319"/>
    <tableColumn id="11090" xr3:uid="{00000000-0010-0000-0300-0000522B0000}" name="Column11085" dataDxfId="5318"/>
    <tableColumn id="11091" xr3:uid="{00000000-0010-0000-0300-0000532B0000}" name="Column11086" dataDxfId="5317"/>
    <tableColumn id="11092" xr3:uid="{00000000-0010-0000-0300-0000542B0000}" name="Column11087" dataDxfId="5316"/>
    <tableColumn id="11093" xr3:uid="{00000000-0010-0000-0300-0000552B0000}" name="Column11088" dataDxfId="5315"/>
    <tableColumn id="11094" xr3:uid="{00000000-0010-0000-0300-0000562B0000}" name="Column11089" dataDxfId="5314"/>
    <tableColumn id="11095" xr3:uid="{00000000-0010-0000-0300-0000572B0000}" name="Column11090" dataDxfId="5313"/>
    <tableColumn id="11096" xr3:uid="{00000000-0010-0000-0300-0000582B0000}" name="Column11091" dataDxfId="5312"/>
    <tableColumn id="11097" xr3:uid="{00000000-0010-0000-0300-0000592B0000}" name="Column11092" dataDxfId="5311"/>
    <tableColumn id="11098" xr3:uid="{00000000-0010-0000-0300-00005A2B0000}" name="Column11093" dataDxfId="5310"/>
    <tableColumn id="11099" xr3:uid="{00000000-0010-0000-0300-00005B2B0000}" name="Column11094" dataDxfId="5309"/>
    <tableColumn id="11100" xr3:uid="{00000000-0010-0000-0300-00005C2B0000}" name="Column11095" dataDxfId="5308"/>
    <tableColumn id="11101" xr3:uid="{00000000-0010-0000-0300-00005D2B0000}" name="Column11096" dataDxfId="5307"/>
    <tableColumn id="11102" xr3:uid="{00000000-0010-0000-0300-00005E2B0000}" name="Column11097" dataDxfId="5306"/>
    <tableColumn id="11103" xr3:uid="{00000000-0010-0000-0300-00005F2B0000}" name="Column11098" dataDxfId="5305"/>
    <tableColumn id="11104" xr3:uid="{00000000-0010-0000-0300-0000602B0000}" name="Column11099" dataDxfId="5304"/>
    <tableColumn id="11105" xr3:uid="{00000000-0010-0000-0300-0000612B0000}" name="Column11100" dataDxfId="5303"/>
    <tableColumn id="11106" xr3:uid="{00000000-0010-0000-0300-0000622B0000}" name="Column11101" dataDxfId="5302"/>
    <tableColumn id="11107" xr3:uid="{00000000-0010-0000-0300-0000632B0000}" name="Column11102" dataDxfId="5301"/>
    <tableColumn id="11108" xr3:uid="{00000000-0010-0000-0300-0000642B0000}" name="Column11103" dataDxfId="5300"/>
    <tableColumn id="11109" xr3:uid="{00000000-0010-0000-0300-0000652B0000}" name="Column11104" dataDxfId="5299"/>
    <tableColumn id="11110" xr3:uid="{00000000-0010-0000-0300-0000662B0000}" name="Column11105" dataDxfId="5298"/>
    <tableColumn id="11111" xr3:uid="{00000000-0010-0000-0300-0000672B0000}" name="Column11106" dataDxfId="5297"/>
    <tableColumn id="11112" xr3:uid="{00000000-0010-0000-0300-0000682B0000}" name="Column11107" dataDxfId="5296"/>
    <tableColumn id="11113" xr3:uid="{00000000-0010-0000-0300-0000692B0000}" name="Column11108" dataDxfId="5295"/>
    <tableColumn id="11114" xr3:uid="{00000000-0010-0000-0300-00006A2B0000}" name="Column11109" dataDxfId="5294"/>
    <tableColumn id="11115" xr3:uid="{00000000-0010-0000-0300-00006B2B0000}" name="Column11110" dataDxfId="5293"/>
    <tableColumn id="11116" xr3:uid="{00000000-0010-0000-0300-00006C2B0000}" name="Column11111" dataDxfId="5292"/>
    <tableColumn id="11117" xr3:uid="{00000000-0010-0000-0300-00006D2B0000}" name="Column11112" dataDxfId="5291"/>
    <tableColumn id="11118" xr3:uid="{00000000-0010-0000-0300-00006E2B0000}" name="Column11113" dataDxfId="5290"/>
    <tableColumn id="11119" xr3:uid="{00000000-0010-0000-0300-00006F2B0000}" name="Column11114" dataDxfId="5289"/>
    <tableColumn id="11120" xr3:uid="{00000000-0010-0000-0300-0000702B0000}" name="Column11115" dataDxfId="5288"/>
    <tableColumn id="11121" xr3:uid="{00000000-0010-0000-0300-0000712B0000}" name="Column11116" dataDxfId="5287"/>
    <tableColumn id="11122" xr3:uid="{00000000-0010-0000-0300-0000722B0000}" name="Column11117" dataDxfId="5286"/>
    <tableColumn id="11123" xr3:uid="{00000000-0010-0000-0300-0000732B0000}" name="Column11118" dataDxfId="5285"/>
    <tableColumn id="11124" xr3:uid="{00000000-0010-0000-0300-0000742B0000}" name="Column11119" dataDxfId="5284"/>
    <tableColumn id="11125" xr3:uid="{00000000-0010-0000-0300-0000752B0000}" name="Column11120" dataDxfId="5283"/>
    <tableColumn id="11126" xr3:uid="{00000000-0010-0000-0300-0000762B0000}" name="Column11121" dataDxfId="5282"/>
    <tableColumn id="11127" xr3:uid="{00000000-0010-0000-0300-0000772B0000}" name="Column11122" dataDxfId="5281"/>
    <tableColumn id="11128" xr3:uid="{00000000-0010-0000-0300-0000782B0000}" name="Column11123" dataDxfId="5280"/>
    <tableColumn id="11129" xr3:uid="{00000000-0010-0000-0300-0000792B0000}" name="Column11124" dataDxfId="5279"/>
    <tableColumn id="11130" xr3:uid="{00000000-0010-0000-0300-00007A2B0000}" name="Column11125" dataDxfId="5278"/>
    <tableColumn id="11131" xr3:uid="{00000000-0010-0000-0300-00007B2B0000}" name="Column11126" dataDxfId="5277"/>
    <tableColumn id="11132" xr3:uid="{00000000-0010-0000-0300-00007C2B0000}" name="Column11127" dataDxfId="5276"/>
    <tableColumn id="11133" xr3:uid="{00000000-0010-0000-0300-00007D2B0000}" name="Column11128" dataDxfId="5275"/>
    <tableColumn id="11134" xr3:uid="{00000000-0010-0000-0300-00007E2B0000}" name="Column11129" dataDxfId="5274"/>
    <tableColumn id="11135" xr3:uid="{00000000-0010-0000-0300-00007F2B0000}" name="Column11130" dataDxfId="5273"/>
    <tableColumn id="11136" xr3:uid="{00000000-0010-0000-0300-0000802B0000}" name="Column11131" dataDxfId="5272"/>
    <tableColumn id="11137" xr3:uid="{00000000-0010-0000-0300-0000812B0000}" name="Column11132" dataDxfId="5271"/>
    <tableColumn id="11138" xr3:uid="{00000000-0010-0000-0300-0000822B0000}" name="Column11133" dataDxfId="5270"/>
    <tableColumn id="11139" xr3:uid="{00000000-0010-0000-0300-0000832B0000}" name="Column11134" dataDxfId="5269"/>
    <tableColumn id="11140" xr3:uid="{00000000-0010-0000-0300-0000842B0000}" name="Column11135" dataDxfId="5268"/>
    <tableColumn id="11141" xr3:uid="{00000000-0010-0000-0300-0000852B0000}" name="Column11136" dataDxfId="5267"/>
    <tableColumn id="11142" xr3:uid="{00000000-0010-0000-0300-0000862B0000}" name="Column11137" dataDxfId="5266"/>
    <tableColumn id="11143" xr3:uid="{00000000-0010-0000-0300-0000872B0000}" name="Column11138" dataDxfId="5265"/>
    <tableColumn id="11144" xr3:uid="{00000000-0010-0000-0300-0000882B0000}" name="Column11139" dataDxfId="5264"/>
    <tableColumn id="11145" xr3:uid="{00000000-0010-0000-0300-0000892B0000}" name="Column11140" dataDxfId="5263"/>
    <tableColumn id="11146" xr3:uid="{00000000-0010-0000-0300-00008A2B0000}" name="Column11141" dataDxfId="5262"/>
    <tableColumn id="11147" xr3:uid="{00000000-0010-0000-0300-00008B2B0000}" name="Column11142" dataDxfId="5261"/>
    <tableColumn id="11148" xr3:uid="{00000000-0010-0000-0300-00008C2B0000}" name="Column11143" dataDxfId="5260"/>
    <tableColumn id="11149" xr3:uid="{00000000-0010-0000-0300-00008D2B0000}" name="Column11144" dataDxfId="5259"/>
    <tableColumn id="11150" xr3:uid="{00000000-0010-0000-0300-00008E2B0000}" name="Column11145" dataDxfId="5258"/>
    <tableColumn id="11151" xr3:uid="{00000000-0010-0000-0300-00008F2B0000}" name="Column11146" dataDxfId="5257"/>
    <tableColumn id="11152" xr3:uid="{00000000-0010-0000-0300-0000902B0000}" name="Column11147" dataDxfId="5256"/>
    <tableColumn id="11153" xr3:uid="{00000000-0010-0000-0300-0000912B0000}" name="Column11148" dataDxfId="5255"/>
    <tableColumn id="11154" xr3:uid="{00000000-0010-0000-0300-0000922B0000}" name="Column11149" dataDxfId="5254"/>
    <tableColumn id="11155" xr3:uid="{00000000-0010-0000-0300-0000932B0000}" name="Column11150" dataDxfId="5253"/>
    <tableColumn id="11156" xr3:uid="{00000000-0010-0000-0300-0000942B0000}" name="Column11151" dataDxfId="5252"/>
    <tableColumn id="11157" xr3:uid="{00000000-0010-0000-0300-0000952B0000}" name="Column11152" dataDxfId="5251"/>
    <tableColumn id="11158" xr3:uid="{00000000-0010-0000-0300-0000962B0000}" name="Column11153" dataDxfId="5250"/>
    <tableColumn id="11159" xr3:uid="{00000000-0010-0000-0300-0000972B0000}" name="Column11154" dataDxfId="5249"/>
    <tableColumn id="11160" xr3:uid="{00000000-0010-0000-0300-0000982B0000}" name="Column11155" dataDxfId="5248"/>
    <tableColumn id="11161" xr3:uid="{00000000-0010-0000-0300-0000992B0000}" name="Column11156" dataDxfId="5247"/>
    <tableColumn id="11162" xr3:uid="{00000000-0010-0000-0300-00009A2B0000}" name="Column11157" dataDxfId="5246"/>
    <tableColumn id="11163" xr3:uid="{00000000-0010-0000-0300-00009B2B0000}" name="Column11158" dataDxfId="5245"/>
    <tableColumn id="11164" xr3:uid="{00000000-0010-0000-0300-00009C2B0000}" name="Column11159" dataDxfId="5244"/>
    <tableColumn id="11165" xr3:uid="{00000000-0010-0000-0300-00009D2B0000}" name="Column11160" dataDxfId="5243"/>
    <tableColumn id="11166" xr3:uid="{00000000-0010-0000-0300-00009E2B0000}" name="Column11161" dataDxfId="5242"/>
    <tableColumn id="11167" xr3:uid="{00000000-0010-0000-0300-00009F2B0000}" name="Column11162" dataDxfId="5241"/>
    <tableColumn id="11168" xr3:uid="{00000000-0010-0000-0300-0000A02B0000}" name="Column11163" dataDxfId="5240"/>
    <tableColumn id="11169" xr3:uid="{00000000-0010-0000-0300-0000A12B0000}" name="Column11164" dataDxfId="5239"/>
    <tableColumn id="11170" xr3:uid="{00000000-0010-0000-0300-0000A22B0000}" name="Column11165" dataDxfId="5238"/>
    <tableColumn id="11171" xr3:uid="{00000000-0010-0000-0300-0000A32B0000}" name="Column11166" dataDxfId="5237"/>
    <tableColumn id="11172" xr3:uid="{00000000-0010-0000-0300-0000A42B0000}" name="Column11167" dataDxfId="5236"/>
    <tableColumn id="11173" xr3:uid="{00000000-0010-0000-0300-0000A52B0000}" name="Column11168" dataDxfId="5235"/>
    <tableColumn id="11174" xr3:uid="{00000000-0010-0000-0300-0000A62B0000}" name="Column11169" dataDxfId="5234"/>
    <tableColumn id="11175" xr3:uid="{00000000-0010-0000-0300-0000A72B0000}" name="Column11170" dataDxfId="5233"/>
    <tableColumn id="11176" xr3:uid="{00000000-0010-0000-0300-0000A82B0000}" name="Column11171" dataDxfId="5232"/>
    <tableColumn id="11177" xr3:uid="{00000000-0010-0000-0300-0000A92B0000}" name="Column11172" dataDxfId="5231"/>
    <tableColumn id="11178" xr3:uid="{00000000-0010-0000-0300-0000AA2B0000}" name="Column11173" dataDxfId="5230"/>
    <tableColumn id="11179" xr3:uid="{00000000-0010-0000-0300-0000AB2B0000}" name="Column11174" dataDxfId="5229"/>
    <tableColumn id="11180" xr3:uid="{00000000-0010-0000-0300-0000AC2B0000}" name="Column11175" dataDxfId="5228"/>
    <tableColumn id="11181" xr3:uid="{00000000-0010-0000-0300-0000AD2B0000}" name="Column11176" dataDxfId="5227"/>
    <tableColumn id="11182" xr3:uid="{00000000-0010-0000-0300-0000AE2B0000}" name="Column11177" dataDxfId="5226"/>
    <tableColumn id="11183" xr3:uid="{00000000-0010-0000-0300-0000AF2B0000}" name="Column11178" dataDxfId="5225"/>
    <tableColumn id="11184" xr3:uid="{00000000-0010-0000-0300-0000B02B0000}" name="Column11179" dataDxfId="5224"/>
    <tableColumn id="11185" xr3:uid="{00000000-0010-0000-0300-0000B12B0000}" name="Column11180" dataDxfId="5223"/>
    <tableColumn id="11186" xr3:uid="{00000000-0010-0000-0300-0000B22B0000}" name="Column11181" dataDxfId="5222"/>
    <tableColumn id="11187" xr3:uid="{00000000-0010-0000-0300-0000B32B0000}" name="Column11182" dataDxfId="5221"/>
    <tableColumn id="11188" xr3:uid="{00000000-0010-0000-0300-0000B42B0000}" name="Column11183" dataDxfId="5220"/>
    <tableColumn id="11189" xr3:uid="{00000000-0010-0000-0300-0000B52B0000}" name="Column11184" dataDxfId="5219"/>
    <tableColumn id="11190" xr3:uid="{00000000-0010-0000-0300-0000B62B0000}" name="Column11185" dataDxfId="5218"/>
    <tableColumn id="11191" xr3:uid="{00000000-0010-0000-0300-0000B72B0000}" name="Column11186" dataDxfId="5217"/>
    <tableColumn id="11192" xr3:uid="{00000000-0010-0000-0300-0000B82B0000}" name="Column11187" dataDxfId="5216"/>
    <tableColumn id="11193" xr3:uid="{00000000-0010-0000-0300-0000B92B0000}" name="Column11188" dataDxfId="5215"/>
    <tableColumn id="11194" xr3:uid="{00000000-0010-0000-0300-0000BA2B0000}" name="Column11189" dataDxfId="5214"/>
    <tableColumn id="11195" xr3:uid="{00000000-0010-0000-0300-0000BB2B0000}" name="Column11190" dataDxfId="5213"/>
    <tableColumn id="11196" xr3:uid="{00000000-0010-0000-0300-0000BC2B0000}" name="Column11191" dataDxfId="5212"/>
    <tableColumn id="11197" xr3:uid="{00000000-0010-0000-0300-0000BD2B0000}" name="Column11192" dataDxfId="5211"/>
    <tableColumn id="11198" xr3:uid="{00000000-0010-0000-0300-0000BE2B0000}" name="Column11193" dataDxfId="5210"/>
    <tableColumn id="11199" xr3:uid="{00000000-0010-0000-0300-0000BF2B0000}" name="Column11194" dataDxfId="5209"/>
    <tableColumn id="11200" xr3:uid="{00000000-0010-0000-0300-0000C02B0000}" name="Column11195" dataDxfId="5208"/>
    <tableColumn id="11201" xr3:uid="{00000000-0010-0000-0300-0000C12B0000}" name="Column11196" dataDxfId="5207"/>
    <tableColumn id="11202" xr3:uid="{00000000-0010-0000-0300-0000C22B0000}" name="Column11197" dataDxfId="5206"/>
    <tableColumn id="11203" xr3:uid="{00000000-0010-0000-0300-0000C32B0000}" name="Column11198" dataDxfId="5205"/>
    <tableColumn id="11204" xr3:uid="{00000000-0010-0000-0300-0000C42B0000}" name="Column11199" dataDxfId="5204"/>
    <tableColumn id="11205" xr3:uid="{00000000-0010-0000-0300-0000C52B0000}" name="Column11200" dataDxfId="5203"/>
    <tableColumn id="11206" xr3:uid="{00000000-0010-0000-0300-0000C62B0000}" name="Column11201" dataDxfId="5202"/>
    <tableColumn id="11207" xr3:uid="{00000000-0010-0000-0300-0000C72B0000}" name="Column11202" dataDxfId="5201"/>
    <tableColumn id="11208" xr3:uid="{00000000-0010-0000-0300-0000C82B0000}" name="Column11203" dataDxfId="5200"/>
    <tableColumn id="11209" xr3:uid="{00000000-0010-0000-0300-0000C92B0000}" name="Column11204" dataDxfId="5199"/>
    <tableColumn id="11210" xr3:uid="{00000000-0010-0000-0300-0000CA2B0000}" name="Column11205" dataDxfId="5198"/>
    <tableColumn id="11211" xr3:uid="{00000000-0010-0000-0300-0000CB2B0000}" name="Column11206" dataDxfId="5197"/>
    <tableColumn id="11212" xr3:uid="{00000000-0010-0000-0300-0000CC2B0000}" name="Column11207" dataDxfId="5196"/>
    <tableColumn id="11213" xr3:uid="{00000000-0010-0000-0300-0000CD2B0000}" name="Column11208" dataDxfId="5195"/>
    <tableColumn id="11214" xr3:uid="{00000000-0010-0000-0300-0000CE2B0000}" name="Column11209" dataDxfId="5194"/>
    <tableColumn id="11215" xr3:uid="{00000000-0010-0000-0300-0000CF2B0000}" name="Column11210" dataDxfId="5193"/>
    <tableColumn id="11216" xr3:uid="{00000000-0010-0000-0300-0000D02B0000}" name="Column11211" dataDxfId="5192"/>
    <tableColumn id="11217" xr3:uid="{00000000-0010-0000-0300-0000D12B0000}" name="Column11212" dataDxfId="5191"/>
    <tableColumn id="11218" xr3:uid="{00000000-0010-0000-0300-0000D22B0000}" name="Column11213" dataDxfId="5190"/>
    <tableColumn id="11219" xr3:uid="{00000000-0010-0000-0300-0000D32B0000}" name="Column11214" dataDxfId="5189"/>
    <tableColumn id="11220" xr3:uid="{00000000-0010-0000-0300-0000D42B0000}" name="Column11215" dataDxfId="5188"/>
    <tableColumn id="11221" xr3:uid="{00000000-0010-0000-0300-0000D52B0000}" name="Column11216" dataDxfId="5187"/>
    <tableColumn id="11222" xr3:uid="{00000000-0010-0000-0300-0000D62B0000}" name="Column11217" dataDxfId="5186"/>
    <tableColumn id="11223" xr3:uid="{00000000-0010-0000-0300-0000D72B0000}" name="Column11218" dataDxfId="5185"/>
    <tableColumn id="11224" xr3:uid="{00000000-0010-0000-0300-0000D82B0000}" name="Column11219" dataDxfId="5184"/>
    <tableColumn id="11225" xr3:uid="{00000000-0010-0000-0300-0000D92B0000}" name="Column11220" dataDxfId="5183"/>
    <tableColumn id="11226" xr3:uid="{00000000-0010-0000-0300-0000DA2B0000}" name="Column11221" dataDxfId="5182"/>
    <tableColumn id="11227" xr3:uid="{00000000-0010-0000-0300-0000DB2B0000}" name="Column11222" dataDxfId="5181"/>
    <tableColumn id="11228" xr3:uid="{00000000-0010-0000-0300-0000DC2B0000}" name="Column11223" dataDxfId="5180"/>
    <tableColumn id="11229" xr3:uid="{00000000-0010-0000-0300-0000DD2B0000}" name="Column11224" dataDxfId="5179"/>
    <tableColumn id="11230" xr3:uid="{00000000-0010-0000-0300-0000DE2B0000}" name="Column11225" dataDxfId="5178"/>
    <tableColumn id="11231" xr3:uid="{00000000-0010-0000-0300-0000DF2B0000}" name="Column11226" dataDxfId="5177"/>
    <tableColumn id="11232" xr3:uid="{00000000-0010-0000-0300-0000E02B0000}" name="Column11227" dataDxfId="5176"/>
    <tableColumn id="11233" xr3:uid="{00000000-0010-0000-0300-0000E12B0000}" name="Column11228" dataDxfId="5175"/>
    <tableColumn id="11234" xr3:uid="{00000000-0010-0000-0300-0000E22B0000}" name="Column11229" dataDxfId="5174"/>
    <tableColumn id="11235" xr3:uid="{00000000-0010-0000-0300-0000E32B0000}" name="Column11230" dataDxfId="5173"/>
    <tableColumn id="11236" xr3:uid="{00000000-0010-0000-0300-0000E42B0000}" name="Column11231" dataDxfId="5172"/>
    <tableColumn id="11237" xr3:uid="{00000000-0010-0000-0300-0000E52B0000}" name="Column11232" dataDxfId="5171"/>
    <tableColumn id="11238" xr3:uid="{00000000-0010-0000-0300-0000E62B0000}" name="Column11233" dataDxfId="5170"/>
    <tableColumn id="11239" xr3:uid="{00000000-0010-0000-0300-0000E72B0000}" name="Column11234" dataDxfId="5169"/>
    <tableColumn id="11240" xr3:uid="{00000000-0010-0000-0300-0000E82B0000}" name="Column11235" dataDxfId="5168"/>
    <tableColumn id="11241" xr3:uid="{00000000-0010-0000-0300-0000E92B0000}" name="Column11236" dataDxfId="5167"/>
    <tableColumn id="11242" xr3:uid="{00000000-0010-0000-0300-0000EA2B0000}" name="Column11237" dataDxfId="5166"/>
    <tableColumn id="11243" xr3:uid="{00000000-0010-0000-0300-0000EB2B0000}" name="Column11238" dataDxfId="5165"/>
    <tableColumn id="11244" xr3:uid="{00000000-0010-0000-0300-0000EC2B0000}" name="Column11239" dataDxfId="5164"/>
    <tableColumn id="11245" xr3:uid="{00000000-0010-0000-0300-0000ED2B0000}" name="Column11240" dataDxfId="5163"/>
    <tableColumn id="11246" xr3:uid="{00000000-0010-0000-0300-0000EE2B0000}" name="Column11241" dataDxfId="5162"/>
    <tableColumn id="11247" xr3:uid="{00000000-0010-0000-0300-0000EF2B0000}" name="Column11242" dataDxfId="5161"/>
    <tableColumn id="11248" xr3:uid="{00000000-0010-0000-0300-0000F02B0000}" name="Column11243" dataDxfId="5160"/>
    <tableColumn id="11249" xr3:uid="{00000000-0010-0000-0300-0000F12B0000}" name="Column11244" dataDxfId="5159"/>
    <tableColumn id="11250" xr3:uid="{00000000-0010-0000-0300-0000F22B0000}" name="Column11245" dataDxfId="5158"/>
    <tableColumn id="11251" xr3:uid="{00000000-0010-0000-0300-0000F32B0000}" name="Column11246" dataDxfId="5157"/>
    <tableColumn id="11252" xr3:uid="{00000000-0010-0000-0300-0000F42B0000}" name="Column11247" dataDxfId="5156"/>
    <tableColumn id="11253" xr3:uid="{00000000-0010-0000-0300-0000F52B0000}" name="Column11248" dataDxfId="5155"/>
    <tableColumn id="11254" xr3:uid="{00000000-0010-0000-0300-0000F62B0000}" name="Column11249" dataDxfId="5154"/>
    <tableColumn id="11255" xr3:uid="{00000000-0010-0000-0300-0000F72B0000}" name="Column11250" dataDxfId="5153"/>
    <tableColumn id="11256" xr3:uid="{00000000-0010-0000-0300-0000F82B0000}" name="Column11251" dataDxfId="5152"/>
    <tableColumn id="11257" xr3:uid="{00000000-0010-0000-0300-0000F92B0000}" name="Column11252" dataDxfId="5151"/>
    <tableColumn id="11258" xr3:uid="{00000000-0010-0000-0300-0000FA2B0000}" name="Column11253" dataDxfId="5150"/>
    <tableColumn id="11259" xr3:uid="{00000000-0010-0000-0300-0000FB2B0000}" name="Column11254" dataDxfId="5149"/>
    <tableColumn id="11260" xr3:uid="{00000000-0010-0000-0300-0000FC2B0000}" name="Column11255" dataDxfId="5148"/>
    <tableColumn id="11261" xr3:uid="{00000000-0010-0000-0300-0000FD2B0000}" name="Column11256" dataDxfId="5147"/>
    <tableColumn id="11262" xr3:uid="{00000000-0010-0000-0300-0000FE2B0000}" name="Column11257" dataDxfId="5146"/>
    <tableColumn id="11263" xr3:uid="{00000000-0010-0000-0300-0000FF2B0000}" name="Column11258" dataDxfId="5145"/>
    <tableColumn id="11264" xr3:uid="{00000000-0010-0000-0300-0000002C0000}" name="Column11259" dataDxfId="5144"/>
    <tableColumn id="11265" xr3:uid="{00000000-0010-0000-0300-0000012C0000}" name="Column11260" dataDxfId="5143"/>
    <tableColumn id="11266" xr3:uid="{00000000-0010-0000-0300-0000022C0000}" name="Column11261" dataDxfId="5142"/>
    <tableColumn id="11267" xr3:uid="{00000000-0010-0000-0300-0000032C0000}" name="Column11262" dataDxfId="5141"/>
    <tableColumn id="11268" xr3:uid="{00000000-0010-0000-0300-0000042C0000}" name="Column11263" dataDxfId="5140"/>
    <tableColumn id="11269" xr3:uid="{00000000-0010-0000-0300-0000052C0000}" name="Column11264" dataDxfId="5139"/>
    <tableColumn id="11270" xr3:uid="{00000000-0010-0000-0300-0000062C0000}" name="Column11265" dataDxfId="5138"/>
    <tableColumn id="11271" xr3:uid="{00000000-0010-0000-0300-0000072C0000}" name="Column11266" dataDxfId="5137"/>
    <tableColumn id="11272" xr3:uid="{00000000-0010-0000-0300-0000082C0000}" name="Column11267" dataDxfId="5136"/>
    <tableColumn id="11273" xr3:uid="{00000000-0010-0000-0300-0000092C0000}" name="Column11268" dataDxfId="5135"/>
    <tableColumn id="11274" xr3:uid="{00000000-0010-0000-0300-00000A2C0000}" name="Column11269" dataDxfId="5134"/>
    <tableColumn id="11275" xr3:uid="{00000000-0010-0000-0300-00000B2C0000}" name="Column11270" dataDxfId="5133"/>
    <tableColumn id="11276" xr3:uid="{00000000-0010-0000-0300-00000C2C0000}" name="Column11271" dataDxfId="5132"/>
    <tableColumn id="11277" xr3:uid="{00000000-0010-0000-0300-00000D2C0000}" name="Column11272" dataDxfId="5131"/>
    <tableColumn id="11278" xr3:uid="{00000000-0010-0000-0300-00000E2C0000}" name="Column11273" dataDxfId="5130"/>
    <tableColumn id="11279" xr3:uid="{00000000-0010-0000-0300-00000F2C0000}" name="Column11274" dataDxfId="5129"/>
    <tableColumn id="11280" xr3:uid="{00000000-0010-0000-0300-0000102C0000}" name="Column11275" dataDxfId="5128"/>
    <tableColumn id="11281" xr3:uid="{00000000-0010-0000-0300-0000112C0000}" name="Column11276" dataDxfId="5127"/>
    <tableColumn id="11282" xr3:uid="{00000000-0010-0000-0300-0000122C0000}" name="Column11277" dataDxfId="5126"/>
    <tableColumn id="11283" xr3:uid="{00000000-0010-0000-0300-0000132C0000}" name="Column11278" dataDxfId="5125"/>
    <tableColumn id="11284" xr3:uid="{00000000-0010-0000-0300-0000142C0000}" name="Column11279" dataDxfId="5124"/>
    <tableColumn id="11285" xr3:uid="{00000000-0010-0000-0300-0000152C0000}" name="Column11280" dataDxfId="5123"/>
    <tableColumn id="11286" xr3:uid="{00000000-0010-0000-0300-0000162C0000}" name="Column11281" dataDxfId="5122"/>
    <tableColumn id="11287" xr3:uid="{00000000-0010-0000-0300-0000172C0000}" name="Column11282" dataDxfId="5121"/>
    <tableColumn id="11288" xr3:uid="{00000000-0010-0000-0300-0000182C0000}" name="Column11283" dataDxfId="5120"/>
    <tableColumn id="11289" xr3:uid="{00000000-0010-0000-0300-0000192C0000}" name="Column11284" dataDxfId="5119"/>
    <tableColumn id="11290" xr3:uid="{00000000-0010-0000-0300-00001A2C0000}" name="Column11285" dataDxfId="5118"/>
    <tableColumn id="11291" xr3:uid="{00000000-0010-0000-0300-00001B2C0000}" name="Column11286" dataDxfId="5117"/>
    <tableColumn id="11292" xr3:uid="{00000000-0010-0000-0300-00001C2C0000}" name="Column11287" dataDxfId="5116"/>
    <tableColumn id="11293" xr3:uid="{00000000-0010-0000-0300-00001D2C0000}" name="Column11288" dataDxfId="5115"/>
    <tableColumn id="11294" xr3:uid="{00000000-0010-0000-0300-00001E2C0000}" name="Column11289" dataDxfId="5114"/>
    <tableColumn id="11295" xr3:uid="{00000000-0010-0000-0300-00001F2C0000}" name="Column11290" dataDxfId="5113"/>
    <tableColumn id="11296" xr3:uid="{00000000-0010-0000-0300-0000202C0000}" name="Column11291" dataDxfId="5112"/>
    <tableColumn id="11297" xr3:uid="{00000000-0010-0000-0300-0000212C0000}" name="Column11292" dataDxfId="5111"/>
    <tableColumn id="11298" xr3:uid="{00000000-0010-0000-0300-0000222C0000}" name="Column11293" dataDxfId="5110"/>
    <tableColumn id="11299" xr3:uid="{00000000-0010-0000-0300-0000232C0000}" name="Column11294" dataDxfId="5109"/>
    <tableColumn id="11300" xr3:uid="{00000000-0010-0000-0300-0000242C0000}" name="Column11295" dataDxfId="5108"/>
    <tableColumn id="11301" xr3:uid="{00000000-0010-0000-0300-0000252C0000}" name="Column11296" dataDxfId="5107"/>
    <tableColumn id="11302" xr3:uid="{00000000-0010-0000-0300-0000262C0000}" name="Column11297" dataDxfId="5106"/>
    <tableColumn id="11303" xr3:uid="{00000000-0010-0000-0300-0000272C0000}" name="Column11298" dataDxfId="5105"/>
    <tableColumn id="11304" xr3:uid="{00000000-0010-0000-0300-0000282C0000}" name="Column11299" dataDxfId="5104"/>
    <tableColumn id="11305" xr3:uid="{00000000-0010-0000-0300-0000292C0000}" name="Column11300" dataDxfId="5103"/>
    <tableColumn id="11306" xr3:uid="{00000000-0010-0000-0300-00002A2C0000}" name="Column11301" dataDxfId="5102"/>
    <tableColumn id="11307" xr3:uid="{00000000-0010-0000-0300-00002B2C0000}" name="Column11302" dataDxfId="5101"/>
    <tableColumn id="11308" xr3:uid="{00000000-0010-0000-0300-00002C2C0000}" name="Column11303" dataDxfId="5100"/>
    <tableColumn id="11309" xr3:uid="{00000000-0010-0000-0300-00002D2C0000}" name="Column11304" dataDxfId="5099"/>
    <tableColumn id="11310" xr3:uid="{00000000-0010-0000-0300-00002E2C0000}" name="Column11305" dataDxfId="5098"/>
    <tableColumn id="11311" xr3:uid="{00000000-0010-0000-0300-00002F2C0000}" name="Column11306" dataDxfId="5097"/>
    <tableColumn id="11312" xr3:uid="{00000000-0010-0000-0300-0000302C0000}" name="Column11307" dataDxfId="5096"/>
    <tableColumn id="11313" xr3:uid="{00000000-0010-0000-0300-0000312C0000}" name="Column11308" dataDxfId="5095"/>
    <tableColumn id="11314" xr3:uid="{00000000-0010-0000-0300-0000322C0000}" name="Column11309" dataDxfId="5094"/>
    <tableColumn id="11315" xr3:uid="{00000000-0010-0000-0300-0000332C0000}" name="Column11310" dataDxfId="5093"/>
    <tableColumn id="11316" xr3:uid="{00000000-0010-0000-0300-0000342C0000}" name="Column11311" dataDxfId="5092"/>
    <tableColumn id="11317" xr3:uid="{00000000-0010-0000-0300-0000352C0000}" name="Column11312" dataDxfId="5091"/>
    <tableColumn id="11318" xr3:uid="{00000000-0010-0000-0300-0000362C0000}" name="Column11313" dataDxfId="5090"/>
    <tableColumn id="11319" xr3:uid="{00000000-0010-0000-0300-0000372C0000}" name="Column11314" dataDxfId="5089"/>
    <tableColumn id="11320" xr3:uid="{00000000-0010-0000-0300-0000382C0000}" name="Column11315" dataDxfId="5088"/>
    <tableColumn id="11321" xr3:uid="{00000000-0010-0000-0300-0000392C0000}" name="Column11316" dataDxfId="5087"/>
    <tableColumn id="11322" xr3:uid="{00000000-0010-0000-0300-00003A2C0000}" name="Column11317" dataDxfId="5086"/>
    <tableColumn id="11323" xr3:uid="{00000000-0010-0000-0300-00003B2C0000}" name="Column11318" dataDxfId="5085"/>
    <tableColumn id="11324" xr3:uid="{00000000-0010-0000-0300-00003C2C0000}" name="Column11319" dataDxfId="5084"/>
    <tableColumn id="11325" xr3:uid="{00000000-0010-0000-0300-00003D2C0000}" name="Column11320" dataDxfId="5083"/>
    <tableColumn id="11326" xr3:uid="{00000000-0010-0000-0300-00003E2C0000}" name="Column11321" dataDxfId="5082"/>
    <tableColumn id="11327" xr3:uid="{00000000-0010-0000-0300-00003F2C0000}" name="Column11322" dataDxfId="5081"/>
    <tableColumn id="11328" xr3:uid="{00000000-0010-0000-0300-0000402C0000}" name="Column11323" dataDxfId="5080"/>
    <tableColumn id="11329" xr3:uid="{00000000-0010-0000-0300-0000412C0000}" name="Column11324" dataDxfId="5079"/>
    <tableColumn id="11330" xr3:uid="{00000000-0010-0000-0300-0000422C0000}" name="Column11325" dataDxfId="5078"/>
    <tableColumn id="11331" xr3:uid="{00000000-0010-0000-0300-0000432C0000}" name="Column11326" dataDxfId="5077"/>
    <tableColumn id="11332" xr3:uid="{00000000-0010-0000-0300-0000442C0000}" name="Column11327" dataDxfId="5076"/>
    <tableColumn id="11333" xr3:uid="{00000000-0010-0000-0300-0000452C0000}" name="Column11328" dataDxfId="5075"/>
    <tableColumn id="11334" xr3:uid="{00000000-0010-0000-0300-0000462C0000}" name="Column11329" dataDxfId="5074"/>
    <tableColumn id="11335" xr3:uid="{00000000-0010-0000-0300-0000472C0000}" name="Column11330" dataDxfId="5073"/>
    <tableColumn id="11336" xr3:uid="{00000000-0010-0000-0300-0000482C0000}" name="Column11331" dataDxfId="5072"/>
    <tableColumn id="11337" xr3:uid="{00000000-0010-0000-0300-0000492C0000}" name="Column11332" dataDxfId="5071"/>
    <tableColumn id="11338" xr3:uid="{00000000-0010-0000-0300-00004A2C0000}" name="Column11333" dataDxfId="5070"/>
    <tableColumn id="11339" xr3:uid="{00000000-0010-0000-0300-00004B2C0000}" name="Column11334" dataDxfId="5069"/>
    <tableColumn id="11340" xr3:uid="{00000000-0010-0000-0300-00004C2C0000}" name="Column11335" dataDxfId="5068"/>
    <tableColumn id="11341" xr3:uid="{00000000-0010-0000-0300-00004D2C0000}" name="Column11336" dataDxfId="5067"/>
    <tableColumn id="11342" xr3:uid="{00000000-0010-0000-0300-00004E2C0000}" name="Column11337" dataDxfId="5066"/>
    <tableColumn id="11343" xr3:uid="{00000000-0010-0000-0300-00004F2C0000}" name="Column11338" dataDxfId="5065"/>
    <tableColumn id="11344" xr3:uid="{00000000-0010-0000-0300-0000502C0000}" name="Column11339" dataDxfId="5064"/>
    <tableColumn id="11345" xr3:uid="{00000000-0010-0000-0300-0000512C0000}" name="Column11340" dataDxfId="5063"/>
    <tableColumn id="11346" xr3:uid="{00000000-0010-0000-0300-0000522C0000}" name="Column11341" dataDxfId="5062"/>
    <tableColumn id="11347" xr3:uid="{00000000-0010-0000-0300-0000532C0000}" name="Column11342" dataDxfId="5061"/>
    <tableColumn id="11348" xr3:uid="{00000000-0010-0000-0300-0000542C0000}" name="Column11343" dataDxfId="5060"/>
    <tableColumn id="11349" xr3:uid="{00000000-0010-0000-0300-0000552C0000}" name="Column11344" dataDxfId="5059"/>
    <tableColumn id="11350" xr3:uid="{00000000-0010-0000-0300-0000562C0000}" name="Column11345" dataDxfId="5058"/>
    <tableColumn id="11351" xr3:uid="{00000000-0010-0000-0300-0000572C0000}" name="Column11346" dataDxfId="5057"/>
    <tableColumn id="11352" xr3:uid="{00000000-0010-0000-0300-0000582C0000}" name="Column11347" dataDxfId="5056"/>
    <tableColumn id="11353" xr3:uid="{00000000-0010-0000-0300-0000592C0000}" name="Column11348" dataDxfId="5055"/>
    <tableColumn id="11354" xr3:uid="{00000000-0010-0000-0300-00005A2C0000}" name="Column11349" dataDxfId="5054"/>
    <tableColumn id="11355" xr3:uid="{00000000-0010-0000-0300-00005B2C0000}" name="Column11350" dataDxfId="5053"/>
    <tableColumn id="11356" xr3:uid="{00000000-0010-0000-0300-00005C2C0000}" name="Column11351" dataDxfId="5052"/>
    <tableColumn id="11357" xr3:uid="{00000000-0010-0000-0300-00005D2C0000}" name="Column11352" dataDxfId="5051"/>
    <tableColumn id="11358" xr3:uid="{00000000-0010-0000-0300-00005E2C0000}" name="Column11353" dataDxfId="5050"/>
    <tableColumn id="11359" xr3:uid="{00000000-0010-0000-0300-00005F2C0000}" name="Column11354" dataDxfId="5049"/>
    <tableColumn id="11360" xr3:uid="{00000000-0010-0000-0300-0000602C0000}" name="Column11355" dataDxfId="5048"/>
    <tableColumn id="11361" xr3:uid="{00000000-0010-0000-0300-0000612C0000}" name="Column11356" dataDxfId="5047"/>
    <tableColumn id="11362" xr3:uid="{00000000-0010-0000-0300-0000622C0000}" name="Column11357" dataDxfId="5046"/>
    <tableColumn id="11363" xr3:uid="{00000000-0010-0000-0300-0000632C0000}" name="Column11358" dataDxfId="5045"/>
    <tableColumn id="11364" xr3:uid="{00000000-0010-0000-0300-0000642C0000}" name="Column11359" dataDxfId="5044"/>
    <tableColumn id="11365" xr3:uid="{00000000-0010-0000-0300-0000652C0000}" name="Column11360" dataDxfId="5043"/>
    <tableColumn id="11366" xr3:uid="{00000000-0010-0000-0300-0000662C0000}" name="Column11361" dataDxfId="5042"/>
    <tableColumn id="11367" xr3:uid="{00000000-0010-0000-0300-0000672C0000}" name="Column11362" dataDxfId="5041"/>
    <tableColumn id="11368" xr3:uid="{00000000-0010-0000-0300-0000682C0000}" name="Column11363" dataDxfId="5040"/>
    <tableColumn id="11369" xr3:uid="{00000000-0010-0000-0300-0000692C0000}" name="Column11364" dataDxfId="5039"/>
    <tableColumn id="11370" xr3:uid="{00000000-0010-0000-0300-00006A2C0000}" name="Column11365" dataDxfId="5038"/>
    <tableColumn id="11371" xr3:uid="{00000000-0010-0000-0300-00006B2C0000}" name="Column11366" dataDxfId="5037"/>
    <tableColumn id="11372" xr3:uid="{00000000-0010-0000-0300-00006C2C0000}" name="Column11367" dataDxfId="5036"/>
    <tableColumn id="11373" xr3:uid="{00000000-0010-0000-0300-00006D2C0000}" name="Column11368" dataDxfId="5035"/>
    <tableColumn id="11374" xr3:uid="{00000000-0010-0000-0300-00006E2C0000}" name="Column11369" dataDxfId="5034"/>
    <tableColumn id="11375" xr3:uid="{00000000-0010-0000-0300-00006F2C0000}" name="Column11370" dataDxfId="5033"/>
    <tableColumn id="11376" xr3:uid="{00000000-0010-0000-0300-0000702C0000}" name="Column11371" dataDxfId="5032"/>
    <tableColumn id="11377" xr3:uid="{00000000-0010-0000-0300-0000712C0000}" name="Column11372" dataDxfId="5031"/>
    <tableColumn id="11378" xr3:uid="{00000000-0010-0000-0300-0000722C0000}" name="Column11373" dataDxfId="5030"/>
    <tableColumn id="11379" xr3:uid="{00000000-0010-0000-0300-0000732C0000}" name="Column11374" dataDxfId="5029"/>
    <tableColumn id="11380" xr3:uid="{00000000-0010-0000-0300-0000742C0000}" name="Column11375" dataDxfId="5028"/>
    <tableColumn id="11381" xr3:uid="{00000000-0010-0000-0300-0000752C0000}" name="Column11376" dataDxfId="5027"/>
    <tableColumn id="11382" xr3:uid="{00000000-0010-0000-0300-0000762C0000}" name="Column11377" dataDxfId="5026"/>
    <tableColumn id="11383" xr3:uid="{00000000-0010-0000-0300-0000772C0000}" name="Column11378" dataDxfId="5025"/>
    <tableColumn id="11384" xr3:uid="{00000000-0010-0000-0300-0000782C0000}" name="Column11379" dataDxfId="5024"/>
    <tableColumn id="11385" xr3:uid="{00000000-0010-0000-0300-0000792C0000}" name="Column11380" dataDxfId="5023"/>
    <tableColumn id="11386" xr3:uid="{00000000-0010-0000-0300-00007A2C0000}" name="Column11381" dataDxfId="5022"/>
    <tableColumn id="11387" xr3:uid="{00000000-0010-0000-0300-00007B2C0000}" name="Column11382" dataDxfId="5021"/>
    <tableColumn id="11388" xr3:uid="{00000000-0010-0000-0300-00007C2C0000}" name="Column11383" dataDxfId="5020"/>
    <tableColumn id="11389" xr3:uid="{00000000-0010-0000-0300-00007D2C0000}" name="Column11384" dataDxfId="5019"/>
    <tableColumn id="11390" xr3:uid="{00000000-0010-0000-0300-00007E2C0000}" name="Column11385" dataDxfId="5018"/>
    <tableColumn id="11391" xr3:uid="{00000000-0010-0000-0300-00007F2C0000}" name="Column11386" dataDxfId="5017"/>
    <tableColumn id="11392" xr3:uid="{00000000-0010-0000-0300-0000802C0000}" name="Column11387" dataDxfId="5016"/>
    <tableColumn id="11393" xr3:uid="{00000000-0010-0000-0300-0000812C0000}" name="Column11388" dataDxfId="5015"/>
    <tableColumn id="11394" xr3:uid="{00000000-0010-0000-0300-0000822C0000}" name="Column11389" dataDxfId="5014"/>
    <tableColumn id="11395" xr3:uid="{00000000-0010-0000-0300-0000832C0000}" name="Column11390" dataDxfId="5013"/>
    <tableColumn id="11396" xr3:uid="{00000000-0010-0000-0300-0000842C0000}" name="Column11391" dataDxfId="5012"/>
    <tableColumn id="11397" xr3:uid="{00000000-0010-0000-0300-0000852C0000}" name="Column11392" dataDxfId="5011"/>
    <tableColumn id="11398" xr3:uid="{00000000-0010-0000-0300-0000862C0000}" name="Column11393" dataDxfId="5010"/>
    <tableColumn id="11399" xr3:uid="{00000000-0010-0000-0300-0000872C0000}" name="Column11394" dataDxfId="5009"/>
    <tableColumn id="11400" xr3:uid="{00000000-0010-0000-0300-0000882C0000}" name="Column11395" dataDxfId="5008"/>
    <tableColumn id="11401" xr3:uid="{00000000-0010-0000-0300-0000892C0000}" name="Column11396" dataDxfId="5007"/>
    <tableColumn id="11402" xr3:uid="{00000000-0010-0000-0300-00008A2C0000}" name="Column11397" dataDxfId="5006"/>
    <tableColumn id="11403" xr3:uid="{00000000-0010-0000-0300-00008B2C0000}" name="Column11398" dataDxfId="5005"/>
    <tableColumn id="11404" xr3:uid="{00000000-0010-0000-0300-00008C2C0000}" name="Column11399" dataDxfId="5004"/>
    <tableColumn id="11405" xr3:uid="{00000000-0010-0000-0300-00008D2C0000}" name="Column11400" dataDxfId="5003"/>
    <tableColumn id="11406" xr3:uid="{00000000-0010-0000-0300-00008E2C0000}" name="Column11401" dataDxfId="5002"/>
    <tableColumn id="11407" xr3:uid="{00000000-0010-0000-0300-00008F2C0000}" name="Column11402" dataDxfId="5001"/>
    <tableColumn id="11408" xr3:uid="{00000000-0010-0000-0300-0000902C0000}" name="Column11403" dataDxfId="5000"/>
    <tableColumn id="11409" xr3:uid="{00000000-0010-0000-0300-0000912C0000}" name="Column11404" dataDxfId="4999"/>
    <tableColumn id="11410" xr3:uid="{00000000-0010-0000-0300-0000922C0000}" name="Column11405" dataDxfId="4998"/>
    <tableColumn id="11411" xr3:uid="{00000000-0010-0000-0300-0000932C0000}" name="Column11406" dataDxfId="4997"/>
    <tableColumn id="11412" xr3:uid="{00000000-0010-0000-0300-0000942C0000}" name="Column11407" dataDxfId="4996"/>
    <tableColumn id="11413" xr3:uid="{00000000-0010-0000-0300-0000952C0000}" name="Column11408" dataDxfId="4995"/>
    <tableColumn id="11414" xr3:uid="{00000000-0010-0000-0300-0000962C0000}" name="Column11409" dataDxfId="4994"/>
    <tableColumn id="11415" xr3:uid="{00000000-0010-0000-0300-0000972C0000}" name="Column11410" dataDxfId="4993"/>
    <tableColumn id="11416" xr3:uid="{00000000-0010-0000-0300-0000982C0000}" name="Column11411" dataDxfId="4992"/>
    <tableColumn id="11417" xr3:uid="{00000000-0010-0000-0300-0000992C0000}" name="Column11412" dataDxfId="4991"/>
    <tableColumn id="11418" xr3:uid="{00000000-0010-0000-0300-00009A2C0000}" name="Column11413" dataDxfId="4990"/>
    <tableColumn id="11419" xr3:uid="{00000000-0010-0000-0300-00009B2C0000}" name="Column11414" dataDxfId="4989"/>
    <tableColumn id="11420" xr3:uid="{00000000-0010-0000-0300-00009C2C0000}" name="Column11415" dataDxfId="4988"/>
    <tableColumn id="11421" xr3:uid="{00000000-0010-0000-0300-00009D2C0000}" name="Column11416" dataDxfId="4987"/>
    <tableColumn id="11422" xr3:uid="{00000000-0010-0000-0300-00009E2C0000}" name="Column11417" dataDxfId="4986"/>
    <tableColumn id="11423" xr3:uid="{00000000-0010-0000-0300-00009F2C0000}" name="Column11418" dataDxfId="4985"/>
    <tableColumn id="11424" xr3:uid="{00000000-0010-0000-0300-0000A02C0000}" name="Column11419" dataDxfId="4984"/>
    <tableColumn id="11425" xr3:uid="{00000000-0010-0000-0300-0000A12C0000}" name="Column11420" dataDxfId="4983"/>
    <tableColumn id="11426" xr3:uid="{00000000-0010-0000-0300-0000A22C0000}" name="Column11421" dataDxfId="4982"/>
    <tableColumn id="11427" xr3:uid="{00000000-0010-0000-0300-0000A32C0000}" name="Column11422" dataDxfId="4981"/>
    <tableColumn id="11428" xr3:uid="{00000000-0010-0000-0300-0000A42C0000}" name="Column11423" dataDxfId="4980"/>
    <tableColumn id="11429" xr3:uid="{00000000-0010-0000-0300-0000A52C0000}" name="Column11424" dataDxfId="4979"/>
    <tableColumn id="11430" xr3:uid="{00000000-0010-0000-0300-0000A62C0000}" name="Column11425" dataDxfId="4978"/>
    <tableColumn id="11431" xr3:uid="{00000000-0010-0000-0300-0000A72C0000}" name="Column11426" dataDxfId="4977"/>
    <tableColumn id="11432" xr3:uid="{00000000-0010-0000-0300-0000A82C0000}" name="Column11427" dataDxfId="4976"/>
    <tableColumn id="11433" xr3:uid="{00000000-0010-0000-0300-0000A92C0000}" name="Column11428" dataDxfId="4975"/>
    <tableColumn id="11434" xr3:uid="{00000000-0010-0000-0300-0000AA2C0000}" name="Column11429" dataDxfId="4974"/>
    <tableColumn id="11435" xr3:uid="{00000000-0010-0000-0300-0000AB2C0000}" name="Column11430" dataDxfId="4973"/>
    <tableColumn id="11436" xr3:uid="{00000000-0010-0000-0300-0000AC2C0000}" name="Column11431" dataDxfId="4972"/>
    <tableColumn id="11437" xr3:uid="{00000000-0010-0000-0300-0000AD2C0000}" name="Column11432" dataDxfId="4971"/>
    <tableColumn id="11438" xr3:uid="{00000000-0010-0000-0300-0000AE2C0000}" name="Column11433" dataDxfId="4970"/>
    <tableColumn id="11439" xr3:uid="{00000000-0010-0000-0300-0000AF2C0000}" name="Column11434" dataDxfId="4969"/>
    <tableColumn id="11440" xr3:uid="{00000000-0010-0000-0300-0000B02C0000}" name="Column11435" dataDxfId="4968"/>
    <tableColumn id="11441" xr3:uid="{00000000-0010-0000-0300-0000B12C0000}" name="Column11436" dataDxfId="4967"/>
    <tableColumn id="11442" xr3:uid="{00000000-0010-0000-0300-0000B22C0000}" name="Column11437" dataDxfId="4966"/>
    <tableColumn id="11443" xr3:uid="{00000000-0010-0000-0300-0000B32C0000}" name="Column11438" dataDxfId="4965"/>
    <tableColumn id="11444" xr3:uid="{00000000-0010-0000-0300-0000B42C0000}" name="Column11439" dataDxfId="4964"/>
    <tableColumn id="11445" xr3:uid="{00000000-0010-0000-0300-0000B52C0000}" name="Column11440" dataDxfId="4963"/>
    <tableColumn id="11446" xr3:uid="{00000000-0010-0000-0300-0000B62C0000}" name="Column11441" dataDxfId="4962"/>
    <tableColumn id="11447" xr3:uid="{00000000-0010-0000-0300-0000B72C0000}" name="Column11442" dataDxfId="4961"/>
    <tableColumn id="11448" xr3:uid="{00000000-0010-0000-0300-0000B82C0000}" name="Column11443" dataDxfId="4960"/>
    <tableColumn id="11449" xr3:uid="{00000000-0010-0000-0300-0000B92C0000}" name="Column11444" dataDxfId="4959"/>
    <tableColumn id="11450" xr3:uid="{00000000-0010-0000-0300-0000BA2C0000}" name="Column11445" dataDxfId="4958"/>
    <tableColumn id="11451" xr3:uid="{00000000-0010-0000-0300-0000BB2C0000}" name="Column11446" dataDxfId="4957"/>
    <tableColumn id="11452" xr3:uid="{00000000-0010-0000-0300-0000BC2C0000}" name="Column11447" dataDxfId="4956"/>
    <tableColumn id="11453" xr3:uid="{00000000-0010-0000-0300-0000BD2C0000}" name="Column11448" dataDxfId="4955"/>
    <tableColumn id="11454" xr3:uid="{00000000-0010-0000-0300-0000BE2C0000}" name="Column11449" dataDxfId="4954"/>
    <tableColumn id="11455" xr3:uid="{00000000-0010-0000-0300-0000BF2C0000}" name="Column11450" dataDxfId="4953"/>
    <tableColumn id="11456" xr3:uid="{00000000-0010-0000-0300-0000C02C0000}" name="Column11451" dataDxfId="4952"/>
    <tableColumn id="11457" xr3:uid="{00000000-0010-0000-0300-0000C12C0000}" name="Column11452" dataDxfId="4951"/>
    <tableColumn id="11458" xr3:uid="{00000000-0010-0000-0300-0000C22C0000}" name="Column11453" dataDxfId="4950"/>
    <tableColumn id="11459" xr3:uid="{00000000-0010-0000-0300-0000C32C0000}" name="Column11454" dataDxfId="4949"/>
    <tableColumn id="11460" xr3:uid="{00000000-0010-0000-0300-0000C42C0000}" name="Column11455" dataDxfId="4948"/>
    <tableColumn id="11461" xr3:uid="{00000000-0010-0000-0300-0000C52C0000}" name="Column11456" dataDxfId="4947"/>
    <tableColumn id="11462" xr3:uid="{00000000-0010-0000-0300-0000C62C0000}" name="Column11457" dataDxfId="4946"/>
    <tableColumn id="11463" xr3:uid="{00000000-0010-0000-0300-0000C72C0000}" name="Column11458" dataDxfId="4945"/>
    <tableColumn id="11464" xr3:uid="{00000000-0010-0000-0300-0000C82C0000}" name="Column11459" dataDxfId="4944"/>
    <tableColumn id="11465" xr3:uid="{00000000-0010-0000-0300-0000C92C0000}" name="Column11460" dataDxfId="4943"/>
    <tableColumn id="11466" xr3:uid="{00000000-0010-0000-0300-0000CA2C0000}" name="Column11461" dataDxfId="4942"/>
    <tableColumn id="11467" xr3:uid="{00000000-0010-0000-0300-0000CB2C0000}" name="Column11462" dataDxfId="4941"/>
    <tableColumn id="11468" xr3:uid="{00000000-0010-0000-0300-0000CC2C0000}" name="Column11463" dataDxfId="4940"/>
    <tableColumn id="11469" xr3:uid="{00000000-0010-0000-0300-0000CD2C0000}" name="Column11464" dataDxfId="4939"/>
    <tableColumn id="11470" xr3:uid="{00000000-0010-0000-0300-0000CE2C0000}" name="Column11465" dataDxfId="4938"/>
    <tableColumn id="11471" xr3:uid="{00000000-0010-0000-0300-0000CF2C0000}" name="Column11466" dataDxfId="4937"/>
    <tableColumn id="11472" xr3:uid="{00000000-0010-0000-0300-0000D02C0000}" name="Column11467" dataDxfId="4936"/>
    <tableColumn id="11473" xr3:uid="{00000000-0010-0000-0300-0000D12C0000}" name="Column11468" dataDxfId="4935"/>
    <tableColumn id="11474" xr3:uid="{00000000-0010-0000-0300-0000D22C0000}" name="Column11469" dataDxfId="4934"/>
    <tableColumn id="11475" xr3:uid="{00000000-0010-0000-0300-0000D32C0000}" name="Column11470" dataDxfId="4933"/>
    <tableColumn id="11476" xr3:uid="{00000000-0010-0000-0300-0000D42C0000}" name="Column11471" dataDxfId="4932"/>
    <tableColumn id="11477" xr3:uid="{00000000-0010-0000-0300-0000D52C0000}" name="Column11472" dataDxfId="4931"/>
    <tableColumn id="11478" xr3:uid="{00000000-0010-0000-0300-0000D62C0000}" name="Column11473" dataDxfId="4930"/>
    <tableColumn id="11479" xr3:uid="{00000000-0010-0000-0300-0000D72C0000}" name="Column11474" dataDxfId="4929"/>
    <tableColumn id="11480" xr3:uid="{00000000-0010-0000-0300-0000D82C0000}" name="Column11475" dataDxfId="4928"/>
    <tableColumn id="11481" xr3:uid="{00000000-0010-0000-0300-0000D92C0000}" name="Column11476" dataDxfId="4927"/>
    <tableColumn id="11482" xr3:uid="{00000000-0010-0000-0300-0000DA2C0000}" name="Column11477" dataDxfId="4926"/>
    <tableColumn id="11483" xr3:uid="{00000000-0010-0000-0300-0000DB2C0000}" name="Column11478" dataDxfId="4925"/>
    <tableColumn id="11484" xr3:uid="{00000000-0010-0000-0300-0000DC2C0000}" name="Column11479" dataDxfId="4924"/>
    <tableColumn id="11485" xr3:uid="{00000000-0010-0000-0300-0000DD2C0000}" name="Column11480" dataDxfId="4923"/>
    <tableColumn id="11486" xr3:uid="{00000000-0010-0000-0300-0000DE2C0000}" name="Column11481" dataDxfId="4922"/>
    <tableColumn id="11487" xr3:uid="{00000000-0010-0000-0300-0000DF2C0000}" name="Column11482" dataDxfId="4921"/>
    <tableColumn id="11488" xr3:uid="{00000000-0010-0000-0300-0000E02C0000}" name="Column11483" dataDxfId="4920"/>
    <tableColumn id="11489" xr3:uid="{00000000-0010-0000-0300-0000E12C0000}" name="Column11484" dataDxfId="4919"/>
    <tableColumn id="11490" xr3:uid="{00000000-0010-0000-0300-0000E22C0000}" name="Column11485" dataDxfId="4918"/>
    <tableColumn id="11491" xr3:uid="{00000000-0010-0000-0300-0000E32C0000}" name="Column11486" dataDxfId="4917"/>
    <tableColumn id="11492" xr3:uid="{00000000-0010-0000-0300-0000E42C0000}" name="Column11487" dataDxfId="4916"/>
    <tableColumn id="11493" xr3:uid="{00000000-0010-0000-0300-0000E52C0000}" name="Column11488" dataDxfId="4915"/>
    <tableColumn id="11494" xr3:uid="{00000000-0010-0000-0300-0000E62C0000}" name="Column11489" dataDxfId="4914"/>
    <tableColumn id="11495" xr3:uid="{00000000-0010-0000-0300-0000E72C0000}" name="Column11490" dataDxfId="4913"/>
    <tableColumn id="11496" xr3:uid="{00000000-0010-0000-0300-0000E82C0000}" name="Column11491" dataDxfId="4912"/>
    <tableColumn id="11497" xr3:uid="{00000000-0010-0000-0300-0000E92C0000}" name="Column11492" dataDxfId="4911"/>
    <tableColumn id="11498" xr3:uid="{00000000-0010-0000-0300-0000EA2C0000}" name="Column11493" dataDxfId="4910"/>
    <tableColumn id="11499" xr3:uid="{00000000-0010-0000-0300-0000EB2C0000}" name="Column11494" dataDxfId="4909"/>
    <tableColumn id="11500" xr3:uid="{00000000-0010-0000-0300-0000EC2C0000}" name="Column11495" dataDxfId="4908"/>
    <tableColumn id="11501" xr3:uid="{00000000-0010-0000-0300-0000ED2C0000}" name="Column11496" dataDxfId="4907"/>
    <tableColumn id="11502" xr3:uid="{00000000-0010-0000-0300-0000EE2C0000}" name="Column11497" dataDxfId="4906"/>
    <tableColumn id="11503" xr3:uid="{00000000-0010-0000-0300-0000EF2C0000}" name="Column11498" dataDxfId="4905"/>
    <tableColumn id="11504" xr3:uid="{00000000-0010-0000-0300-0000F02C0000}" name="Column11499" dataDxfId="4904"/>
    <tableColumn id="11505" xr3:uid="{00000000-0010-0000-0300-0000F12C0000}" name="Column11500" dataDxfId="4903"/>
    <tableColumn id="11506" xr3:uid="{00000000-0010-0000-0300-0000F22C0000}" name="Column11501" dataDxfId="4902"/>
    <tableColumn id="11507" xr3:uid="{00000000-0010-0000-0300-0000F32C0000}" name="Column11502" dataDxfId="4901"/>
    <tableColumn id="11508" xr3:uid="{00000000-0010-0000-0300-0000F42C0000}" name="Column11503" dataDxfId="4900"/>
    <tableColumn id="11509" xr3:uid="{00000000-0010-0000-0300-0000F52C0000}" name="Column11504" dataDxfId="4899"/>
    <tableColumn id="11510" xr3:uid="{00000000-0010-0000-0300-0000F62C0000}" name="Column11505" dataDxfId="4898"/>
    <tableColumn id="11511" xr3:uid="{00000000-0010-0000-0300-0000F72C0000}" name="Column11506" dataDxfId="4897"/>
    <tableColumn id="11512" xr3:uid="{00000000-0010-0000-0300-0000F82C0000}" name="Column11507" dataDxfId="4896"/>
    <tableColumn id="11513" xr3:uid="{00000000-0010-0000-0300-0000F92C0000}" name="Column11508" dataDxfId="4895"/>
    <tableColumn id="11514" xr3:uid="{00000000-0010-0000-0300-0000FA2C0000}" name="Column11509" dataDxfId="4894"/>
    <tableColumn id="11515" xr3:uid="{00000000-0010-0000-0300-0000FB2C0000}" name="Column11510" dataDxfId="4893"/>
    <tableColumn id="11516" xr3:uid="{00000000-0010-0000-0300-0000FC2C0000}" name="Column11511" dataDxfId="4892"/>
    <tableColumn id="11517" xr3:uid="{00000000-0010-0000-0300-0000FD2C0000}" name="Column11512" dataDxfId="4891"/>
    <tableColumn id="11518" xr3:uid="{00000000-0010-0000-0300-0000FE2C0000}" name="Column11513" dataDxfId="4890"/>
    <tableColumn id="11519" xr3:uid="{00000000-0010-0000-0300-0000FF2C0000}" name="Column11514" dataDxfId="4889"/>
    <tableColumn id="11520" xr3:uid="{00000000-0010-0000-0300-0000002D0000}" name="Column11515" dataDxfId="4888"/>
    <tableColumn id="11521" xr3:uid="{00000000-0010-0000-0300-0000012D0000}" name="Column11516" dataDxfId="4887"/>
    <tableColumn id="11522" xr3:uid="{00000000-0010-0000-0300-0000022D0000}" name="Column11517" dataDxfId="4886"/>
    <tableColumn id="11523" xr3:uid="{00000000-0010-0000-0300-0000032D0000}" name="Column11518" dataDxfId="4885"/>
    <tableColumn id="11524" xr3:uid="{00000000-0010-0000-0300-0000042D0000}" name="Column11519" dataDxfId="4884"/>
    <tableColumn id="11525" xr3:uid="{00000000-0010-0000-0300-0000052D0000}" name="Column11520" dataDxfId="4883"/>
    <tableColumn id="11526" xr3:uid="{00000000-0010-0000-0300-0000062D0000}" name="Column11521" dataDxfId="4882"/>
    <tableColumn id="11527" xr3:uid="{00000000-0010-0000-0300-0000072D0000}" name="Column11522" dataDxfId="4881"/>
    <tableColumn id="11528" xr3:uid="{00000000-0010-0000-0300-0000082D0000}" name="Column11523" dataDxfId="4880"/>
    <tableColumn id="11529" xr3:uid="{00000000-0010-0000-0300-0000092D0000}" name="Column11524" dataDxfId="4879"/>
    <tableColumn id="11530" xr3:uid="{00000000-0010-0000-0300-00000A2D0000}" name="Column11525" dataDxfId="4878"/>
    <tableColumn id="11531" xr3:uid="{00000000-0010-0000-0300-00000B2D0000}" name="Column11526" dataDxfId="4877"/>
    <tableColumn id="11532" xr3:uid="{00000000-0010-0000-0300-00000C2D0000}" name="Column11527" dataDxfId="4876"/>
    <tableColumn id="11533" xr3:uid="{00000000-0010-0000-0300-00000D2D0000}" name="Column11528" dataDxfId="4875"/>
    <tableColumn id="11534" xr3:uid="{00000000-0010-0000-0300-00000E2D0000}" name="Column11529" dataDxfId="4874"/>
    <tableColumn id="11535" xr3:uid="{00000000-0010-0000-0300-00000F2D0000}" name="Column11530" dataDxfId="4873"/>
    <tableColumn id="11536" xr3:uid="{00000000-0010-0000-0300-0000102D0000}" name="Column11531" dataDxfId="4872"/>
    <tableColumn id="11537" xr3:uid="{00000000-0010-0000-0300-0000112D0000}" name="Column11532" dataDxfId="4871"/>
    <tableColumn id="11538" xr3:uid="{00000000-0010-0000-0300-0000122D0000}" name="Column11533" dataDxfId="4870"/>
    <tableColumn id="11539" xr3:uid="{00000000-0010-0000-0300-0000132D0000}" name="Column11534" dataDxfId="4869"/>
    <tableColumn id="11540" xr3:uid="{00000000-0010-0000-0300-0000142D0000}" name="Column11535" dataDxfId="4868"/>
    <tableColumn id="11541" xr3:uid="{00000000-0010-0000-0300-0000152D0000}" name="Column11536" dataDxfId="4867"/>
    <tableColumn id="11542" xr3:uid="{00000000-0010-0000-0300-0000162D0000}" name="Column11537" dataDxfId="4866"/>
    <tableColumn id="11543" xr3:uid="{00000000-0010-0000-0300-0000172D0000}" name="Column11538" dataDxfId="4865"/>
    <tableColumn id="11544" xr3:uid="{00000000-0010-0000-0300-0000182D0000}" name="Column11539" dataDxfId="4864"/>
    <tableColumn id="11545" xr3:uid="{00000000-0010-0000-0300-0000192D0000}" name="Column11540" dataDxfId="4863"/>
    <tableColumn id="11546" xr3:uid="{00000000-0010-0000-0300-00001A2D0000}" name="Column11541" dataDxfId="4862"/>
    <tableColumn id="11547" xr3:uid="{00000000-0010-0000-0300-00001B2D0000}" name="Column11542" dataDxfId="4861"/>
    <tableColumn id="11548" xr3:uid="{00000000-0010-0000-0300-00001C2D0000}" name="Column11543" dataDxfId="4860"/>
    <tableColumn id="11549" xr3:uid="{00000000-0010-0000-0300-00001D2D0000}" name="Column11544" dataDxfId="4859"/>
    <tableColumn id="11550" xr3:uid="{00000000-0010-0000-0300-00001E2D0000}" name="Column11545" dataDxfId="4858"/>
    <tableColumn id="11551" xr3:uid="{00000000-0010-0000-0300-00001F2D0000}" name="Column11546" dataDxfId="4857"/>
    <tableColumn id="11552" xr3:uid="{00000000-0010-0000-0300-0000202D0000}" name="Column11547" dataDxfId="4856"/>
    <tableColumn id="11553" xr3:uid="{00000000-0010-0000-0300-0000212D0000}" name="Column11548" dataDxfId="4855"/>
    <tableColumn id="11554" xr3:uid="{00000000-0010-0000-0300-0000222D0000}" name="Column11549" dataDxfId="4854"/>
    <tableColumn id="11555" xr3:uid="{00000000-0010-0000-0300-0000232D0000}" name="Column11550" dataDxfId="4853"/>
    <tableColumn id="11556" xr3:uid="{00000000-0010-0000-0300-0000242D0000}" name="Column11551" dataDxfId="4852"/>
    <tableColumn id="11557" xr3:uid="{00000000-0010-0000-0300-0000252D0000}" name="Column11552" dataDxfId="4851"/>
    <tableColumn id="11558" xr3:uid="{00000000-0010-0000-0300-0000262D0000}" name="Column11553" dataDxfId="4850"/>
    <tableColumn id="11559" xr3:uid="{00000000-0010-0000-0300-0000272D0000}" name="Column11554" dataDxfId="4849"/>
    <tableColumn id="11560" xr3:uid="{00000000-0010-0000-0300-0000282D0000}" name="Column11555" dataDxfId="4848"/>
    <tableColumn id="11561" xr3:uid="{00000000-0010-0000-0300-0000292D0000}" name="Column11556" dataDxfId="4847"/>
    <tableColumn id="11562" xr3:uid="{00000000-0010-0000-0300-00002A2D0000}" name="Column11557" dataDxfId="4846"/>
    <tableColumn id="11563" xr3:uid="{00000000-0010-0000-0300-00002B2D0000}" name="Column11558" dataDxfId="4845"/>
    <tableColumn id="11564" xr3:uid="{00000000-0010-0000-0300-00002C2D0000}" name="Column11559" dataDxfId="4844"/>
    <tableColumn id="11565" xr3:uid="{00000000-0010-0000-0300-00002D2D0000}" name="Column11560" dataDxfId="4843"/>
    <tableColumn id="11566" xr3:uid="{00000000-0010-0000-0300-00002E2D0000}" name="Column11561" dataDxfId="4842"/>
    <tableColumn id="11567" xr3:uid="{00000000-0010-0000-0300-00002F2D0000}" name="Column11562" dataDxfId="4841"/>
    <tableColumn id="11568" xr3:uid="{00000000-0010-0000-0300-0000302D0000}" name="Column11563" dataDxfId="4840"/>
    <tableColumn id="11569" xr3:uid="{00000000-0010-0000-0300-0000312D0000}" name="Column11564" dataDxfId="4839"/>
    <tableColumn id="11570" xr3:uid="{00000000-0010-0000-0300-0000322D0000}" name="Column11565" dataDxfId="4838"/>
    <tableColumn id="11571" xr3:uid="{00000000-0010-0000-0300-0000332D0000}" name="Column11566" dataDxfId="4837"/>
    <tableColumn id="11572" xr3:uid="{00000000-0010-0000-0300-0000342D0000}" name="Column11567" dataDxfId="4836"/>
    <tableColumn id="11573" xr3:uid="{00000000-0010-0000-0300-0000352D0000}" name="Column11568" dataDxfId="4835"/>
    <tableColumn id="11574" xr3:uid="{00000000-0010-0000-0300-0000362D0000}" name="Column11569" dataDxfId="4834"/>
    <tableColumn id="11575" xr3:uid="{00000000-0010-0000-0300-0000372D0000}" name="Column11570" dataDxfId="4833"/>
    <tableColumn id="11576" xr3:uid="{00000000-0010-0000-0300-0000382D0000}" name="Column11571" dataDxfId="4832"/>
    <tableColumn id="11577" xr3:uid="{00000000-0010-0000-0300-0000392D0000}" name="Column11572" dataDxfId="4831"/>
    <tableColumn id="11578" xr3:uid="{00000000-0010-0000-0300-00003A2D0000}" name="Column11573" dataDxfId="4830"/>
    <tableColumn id="11579" xr3:uid="{00000000-0010-0000-0300-00003B2D0000}" name="Column11574" dataDxfId="4829"/>
    <tableColumn id="11580" xr3:uid="{00000000-0010-0000-0300-00003C2D0000}" name="Column11575" dataDxfId="4828"/>
    <tableColumn id="11581" xr3:uid="{00000000-0010-0000-0300-00003D2D0000}" name="Column11576" dataDxfId="4827"/>
    <tableColumn id="11582" xr3:uid="{00000000-0010-0000-0300-00003E2D0000}" name="Column11577" dataDxfId="4826"/>
    <tableColumn id="11583" xr3:uid="{00000000-0010-0000-0300-00003F2D0000}" name="Column11578" dataDxfId="4825"/>
    <tableColumn id="11584" xr3:uid="{00000000-0010-0000-0300-0000402D0000}" name="Column11579" dataDxfId="4824"/>
    <tableColumn id="11585" xr3:uid="{00000000-0010-0000-0300-0000412D0000}" name="Column11580" dataDxfId="4823"/>
    <tableColumn id="11586" xr3:uid="{00000000-0010-0000-0300-0000422D0000}" name="Column11581" dataDxfId="4822"/>
    <tableColumn id="11587" xr3:uid="{00000000-0010-0000-0300-0000432D0000}" name="Column11582" dataDxfId="4821"/>
    <tableColumn id="11588" xr3:uid="{00000000-0010-0000-0300-0000442D0000}" name="Column11583" dataDxfId="4820"/>
    <tableColumn id="11589" xr3:uid="{00000000-0010-0000-0300-0000452D0000}" name="Column11584" dataDxfId="4819"/>
    <tableColumn id="11590" xr3:uid="{00000000-0010-0000-0300-0000462D0000}" name="Column11585" dataDxfId="4818"/>
    <tableColumn id="11591" xr3:uid="{00000000-0010-0000-0300-0000472D0000}" name="Column11586" dataDxfId="4817"/>
    <tableColumn id="11592" xr3:uid="{00000000-0010-0000-0300-0000482D0000}" name="Column11587" dataDxfId="4816"/>
    <tableColumn id="11593" xr3:uid="{00000000-0010-0000-0300-0000492D0000}" name="Column11588" dataDxfId="4815"/>
    <tableColumn id="11594" xr3:uid="{00000000-0010-0000-0300-00004A2D0000}" name="Column11589" dataDxfId="4814"/>
    <tableColumn id="11595" xr3:uid="{00000000-0010-0000-0300-00004B2D0000}" name="Column11590" dataDxfId="4813"/>
    <tableColumn id="11596" xr3:uid="{00000000-0010-0000-0300-00004C2D0000}" name="Column11591" dataDxfId="4812"/>
    <tableColumn id="11597" xr3:uid="{00000000-0010-0000-0300-00004D2D0000}" name="Column11592" dataDxfId="4811"/>
    <tableColumn id="11598" xr3:uid="{00000000-0010-0000-0300-00004E2D0000}" name="Column11593" dataDxfId="4810"/>
    <tableColumn id="11599" xr3:uid="{00000000-0010-0000-0300-00004F2D0000}" name="Column11594" dataDxfId="4809"/>
    <tableColumn id="11600" xr3:uid="{00000000-0010-0000-0300-0000502D0000}" name="Column11595" dataDxfId="4808"/>
    <tableColumn id="11601" xr3:uid="{00000000-0010-0000-0300-0000512D0000}" name="Column11596" dataDxfId="4807"/>
    <tableColumn id="11602" xr3:uid="{00000000-0010-0000-0300-0000522D0000}" name="Column11597" dataDxfId="4806"/>
    <tableColumn id="11603" xr3:uid="{00000000-0010-0000-0300-0000532D0000}" name="Column11598" dataDxfId="4805"/>
    <tableColumn id="11604" xr3:uid="{00000000-0010-0000-0300-0000542D0000}" name="Column11599" dataDxfId="4804"/>
    <tableColumn id="11605" xr3:uid="{00000000-0010-0000-0300-0000552D0000}" name="Column11600" dataDxfId="4803"/>
    <tableColumn id="11606" xr3:uid="{00000000-0010-0000-0300-0000562D0000}" name="Column11601" dataDxfId="4802"/>
    <tableColumn id="11607" xr3:uid="{00000000-0010-0000-0300-0000572D0000}" name="Column11602" dataDxfId="4801"/>
    <tableColumn id="11608" xr3:uid="{00000000-0010-0000-0300-0000582D0000}" name="Column11603" dataDxfId="4800"/>
    <tableColumn id="11609" xr3:uid="{00000000-0010-0000-0300-0000592D0000}" name="Column11604" dataDxfId="4799"/>
    <tableColumn id="11610" xr3:uid="{00000000-0010-0000-0300-00005A2D0000}" name="Column11605" dataDxfId="4798"/>
    <tableColumn id="11611" xr3:uid="{00000000-0010-0000-0300-00005B2D0000}" name="Column11606" dataDxfId="4797"/>
    <tableColumn id="11612" xr3:uid="{00000000-0010-0000-0300-00005C2D0000}" name="Column11607" dataDxfId="4796"/>
    <tableColumn id="11613" xr3:uid="{00000000-0010-0000-0300-00005D2D0000}" name="Column11608" dataDxfId="4795"/>
    <tableColumn id="11614" xr3:uid="{00000000-0010-0000-0300-00005E2D0000}" name="Column11609" dataDxfId="4794"/>
    <tableColumn id="11615" xr3:uid="{00000000-0010-0000-0300-00005F2D0000}" name="Column11610" dataDxfId="4793"/>
    <tableColumn id="11616" xr3:uid="{00000000-0010-0000-0300-0000602D0000}" name="Column11611" dataDxfId="4792"/>
    <tableColumn id="11617" xr3:uid="{00000000-0010-0000-0300-0000612D0000}" name="Column11612" dataDxfId="4791"/>
    <tableColumn id="11618" xr3:uid="{00000000-0010-0000-0300-0000622D0000}" name="Column11613" dataDxfId="4790"/>
    <tableColumn id="11619" xr3:uid="{00000000-0010-0000-0300-0000632D0000}" name="Column11614" dataDxfId="4789"/>
    <tableColumn id="11620" xr3:uid="{00000000-0010-0000-0300-0000642D0000}" name="Column11615" dataDxfId="4788"/>
    <tableColumn id="11621" xr3:uid="{00000000-0010-0000-0300-0000652D0000}" name="Column11616" dataDxfId="4787"/>
    <tableColumn id="11622" xr3:uid="{00000000-0010-0000-0300-0000662D0000}" name="Column11617" dataDxfId="4786"/>
    <tableColumn id="11623" xr3:uid="{00000000-0010-0000-0300-0000672D0000}" name="Column11618" dataDxfId="4785"/>
    <tableColumn id="11624" xr3:uid="{00000000-0010-0000-0300-0000682D0000}" name="Column11619" dataDxfId="4784"/>
    <tableColumn id="11625" xr3:uid="{00000000-0010-0000-0300-0000692D0000}" name="Column11620" dataDxfId="4783"/>
    <tableColumn id="11626" xr3:uid="{00000000-0010-0000-0300-00006A2D0000}" name="Column11621" dataDxfId="4782"/>
    <tableColumn id="11627" xr3:uid="{00000000-0010-0000-0300-00006B2D0000}" name="Column11622" dataDxfId="4781"/>
    <tableColumn id="11628" xr3:uid="{00000000-0010-0000-0300-00006C2D0000}" name="Column11623" dataDxfId="4780"/>
    <tableColumn id="11629" xr3:uid="{00000000-0010-0000-0300-00006D2D0000}" name="Column11624" dataDxfId="4779"/>
    <tableColumn id="11630" xr3:uid="{00000000-0010-0000-0300-00006E2D0000}" name="Column11625" dataDxfId="4778"/>
    <tableColumn id="11631" xr3:uid="{00000000-0010-0000-0300-00006F2D0000}" name="Column11626" dataDxfId="4777"/>
    <tableColumn id="11632" xr3:uid="{00000000-0010-0000-0300-0000702D0000}" name="Column11627" dataDxfId="4776"/>
    <tableColumn id="11633" xr3:uid="{00000000-0010-0000-0300-0000712D0000}" name="Column11628" dataDxfId="4775"/>
    <tableColumn id="11634" xr3:uid="{00000000-0010-0000-0300-0000722D0000}" name="Column11629" dataDxfId="4774"/>
    <tableColumn id="11635" xr3:uid="{00000000-0010-0000-0300-0000732D0000}" name="Column11630" dataDxfId="4773"/>
    <tableColumn id="11636" xr3:uid="{00000000-0010-0000-0300-0000742D0000}" name="Column11631" dataDxfId="4772"/>
    <tableColumn id="11637" xr3:uid="{00000000-0010-0000-0300-0000752D0000}" name="Column11632" dataDxfId="4771"/>
    <tableColumn id="11638" xr3:uid="{00000000-0010-0000-0300-0000762D0000}" name="Column11633" dataDxfId="4770"/>
    <tableColumn id="11639" xr3:uid="{00000000-0010-0000-0300-0000772D0000}" name="Column11634" dataDxfId="4769"/>
    <tableColumn id="11640" xr3:uid="{00000000-0010-0000-0300-0000782D0000}" name="Column11635" dataDxfId="4768"/>
    <tableColumn id="11641" xr3:uid="{00000000-0010-0000-0300-0000792D0000}" name="Column11636" dataDxfId="4767"/>
    <tableColumn id="11642" xr3:uid="{00000000-0010-0000-0300-00007A2D0000}" name="Column11637" dataDxfId="4766"/>
    <tableColumn id="11643" xr3:uid="{00000000-0010-0000-0300-00007B2D0000}" name="Column11638" dataDxfId="4765"/>
    <tableColumn id="11644" xr3:uid="{00000000-0010-0000-0300-00007C2D0000}" name="Column11639" dataDxfId="4764"/>
    <tableColumn id="11645" xr3:uid="{00000000-0010-0000-0300-00007D2D0000}" name="Column11640" dataDxfId="4763"/>
    <tableColumn id="11646" xr3:uid="{00000000-0010-0000-0300-00007E2D0000}" name="Column11641" dataDxfId="4762"/>
    <tableColumn id="11647" xr3:uid="{00000000-0010-0000-0300-00007F2D0000}" name="Column11642" dataDxfId="4761"/>
    <tableColumn id="11648" xr3:uid="{00000000-0010-0000-0300-0000802D0000}" name="Column11643" dataDxfId="4760"/>
    <tableColumn id="11649" xr3:uid="{00000000-0010-0000-0300-0000812D0000}" name="Column11644" dataDxfId="4759"/>
    <tableColumn id="11650" xr3:uid="{00000000-0010-0000-0300-0000822D0000}" name="Column11645" dataDxfId="4758"/>
    <tableColumn id="11651" xr3:uid="{00000000-0010-0000-0300-0000832D0000}" name="Column11646" dataDxfId="4757"/>
    <tableColumn id="11652" xr3:uid="{00000000-0010-0000-0300-0000842D0000}" name="Column11647" dataDxfId="4756"/>
    <tableColumn id="11653" xr3:uid="{00000000-0010-0000-0300-0000852D0000}" name="Column11648" dataDxfId="4755"/>
    <tableColumn id="11654" xr3:uid="{00000000-0010-0000-0300-0000862D0000}" name="Column11649" dataDxfId="4754"/>
    <tableColumn id="11655" xr3:uid="{00000000-0010-0000-0300-0000872D0000}" name="Column11650" dataDxfId="4753"/>
    <tableColumn id="11656" xr3:uid="{00000000-0010-0000-0300-0000882D0000}" name="Column11651" dataDxfId="4752"/>
    <tableColumn id="11657" xr3:uid="{00000000-0010-0000-0300-0000892D0000}" name="Column11652" dataDxfId="4751"/>
    <tableColumn id="11658" xr3:uid="{00000000-0010-0000-0300-00008A2D0000}" name="Column11653" dataDxfId="4750"/>
    <tableColumn id="11659" xr3:uid="{00000000-0010-0000-0300-00008B2D0000}" name="Column11654" dataDxfId="4749"/>
    <tableColumn id="11660" xr3:uid="{00000000-0010-0000-0300-00008C2D0000}" name="Column11655" dataDxfId="4748"/>
    <tableColumn id="11661" xr3:uid="{00000000-0010-0000-0300-00008D2D0000}" name="Column11656" dataDxfId="4747"/>
    <tableColumn id="11662" xr3:uid="{00000000-0010-0000-0300-00008E2D0000}" name="Column11657" dataDxfId="4746"/>
    <tableColumn id="11663" xr3:uid="{00000000-0010-0000-0300-00008F2D0000}" name="Column11658" dataDxfId="4745"/>
    <tableColumn id="11664" xr3:uid="{00000000-0010-0000-0300-0000902D0000}" name="Column11659" dataDxfId="4744"/>
    <tableColumn id="11665" xr3:uid="{00000000-0010-0000-0300-0000912D0000}" name="Column11660" dataDxfId="4743"/>
    <tableColumn id="11666" xr3:uid="{00000000-0010-0000-0300-0000922D0000}" name="Column11661" dataDxfId="4742"/>
    <tableColumn id="11667" xr3:uid="{00000000-0010-0000-0300-0000932D0000}" name="Column11662" dataDxfId="4741"/>
    <tableColumn id="11668" xr3:uid="{00000000-0010-0000-0300-0000942D0000}" name="Column11663" dataDxfId="4740"/>
    <tableColumn id="11669" xr3:uid="{00000000-0010-0000-0300-0000952D0000}" name="Column11664" dataDxfId="4739"/>
    <tableColumn id="11670" xr3:uid="{00000000-0010-0000-0300-0000962D0000}" name="Column11665" dataDxfId="4738"/>
    <tableColumn id="11671" xr3:uid="{00000000-0010-0000-0300-0000972D0000}" name="Column11666" dataDxfId="4737"/>
    <tableColumn id="11672" xr3:uid="{00000000-0010-0000-0300-0000982D0000}" name="Column11667" dataDxfId="4736"/>
    <tableColumn id="11673" xr3:uid="{00000000-0010-0000-0300-0000992D0000}" name="Column11668" dataDxfId="4735"/>
    <tableColumn id="11674" xr3:uid="{00000000-0010-0000-0300-00009A2D0000}" name="Column11669" dataDxfId="4734"/>
    <tableColumn id="11675" xr3:uid="{00000000-0010-0000-0300-00009B2D0000}" name="Column11670" dataDxfId="4733"/>
    <tableColumn id="11676" xr3:uid="{00000000-0010-0000-0300-00009C2D0000}" name="Column11671" dataDxfId="4732"/>
    <tableColumn id="11677" xr3:uid="{00000000-0010-0000-0300-00009D2D0000}" name="Column11672" dataDxfId="4731"/>
    <tableColumn id="11678" xr3:uid="{00000000-0010-0000-0300-00009E2D0000}" name="Column11673" dataDxfId="4730"/>
    <tableColumn id="11679" xr3:uid="{00000000-0010-0000-0300-00009F2D0000}" name="Column11674" dataDxfId="4729"/>
    <tableColumn id="11680" xr3:uid="{00000000-0010-0000-0300-0000A02D0000}" name="Column11675" dataDxfId="4728"/>
    <tableColumn id="11681" xr3:uid="{00000000-0010-0000-0300-0000A12D0000}" name="Column11676" dataDxfId="4727"/>
    <tableColumn id="11682" xr3:uid="{00000000-0010-0000-0300-0000A22D0000}" name="Column11677" dataDxfId="4726"/>
    <tableColumn id="11683" xr3:uid="{00000000-0010-0000-0300-0000A32D0000}" name="Column11678" dataDxfId="4725"/>
    <tableColumn id="11684" xr3:uid="{00000000-0010-0000-0300-0000A42D0000}" name="Column11679" dataDxfId="4724"/>
    <tableColumn id="11685" xr3:uid="{00000000-0010-0000-0300-0000A52D0000}" name="Column11680" dataDxfId="4723"/>
    <tableColumn id="11686" xr3:uid="{00000000-0010-0000-0300-0000A62D0000}" name="Column11681" dataDxfId="4722"/>
    <tableColumn id="11687" xr3:uid="{00000000-0010-0000-0300-0000A72D0000}" name="Column11682" dataDxfId="4721"/>
    <tableColumn id="11688" xr3:uid="{00000000-0010-0000-0300-0000A82D0000}" name="Column11683" dataDxfId="4720"/>
    <tableColumn id="11689" xr3:uid="{00000000-0010-0000-0300-0000A92D0000}" name="Column11684" dataDxfId="4719"/>
    <tableColumn id="11690" xr3:uid="{00000000-0010-0000-0300-0000AA2D0000}" name="Column11685" dataDxfId="4718"/>
    <tableColumn id="11691" xr3:uid="{00000000-0010-0000-0300-0000AB2D0000}" name="Column11686" dataDxfId="4717"/>
    <tableColumn id="11692" xr3:uid="{00000000-0010-0000-0300-0000AC2D0000}" name="Column11687" dataDxfId="4716"/>
    <tableColumn id="11693" xr3:uid="{00000000-0010-0000-0300-0000AD2D0000}" name="Column11688" dataDxfId="4715"/>
    <tableColumn id="11694" xr3:uid="{00000000-0010-0000-0300-0000AE2D0000}" name="Column11689" dataDxfId="4714"/>
    <tableColumn id="11695" xr3:uid="{00000000-0010-0000-0300-0000AF2D0000}" name="Column11690" dataDxfId="4713"/>
    <tableColumn id="11696" xr3:uid="{00000000-0010-0000-0300-0000B02D0000}" name="Column11691" dataDxfId="4712"/>
    <tableColumn id="11697" xr3:uid="{00000000-0010-0000-0300-0000B12D0000}" name="Column11692" dataDxfId="4711"/>
    <tableColumn id="11698" xr3:uid="{00000000-0010-0000-0300-0000B22D0000}" name="Column11693" dataDxfId="4710"/>
    <tableColumn id="11699" xr3:uid="{00000000-0010-0000-0300-0000B32D0000}" name="Column11694" dataDxfId="4709"/>
    <tableColumn id="11700" xr3:uid="{00000000-0010-0000-0300-0000B42D0000}" name="Column11695" dataDxfId="4708"/>
    <tableColumn id="11701" xr3:uid="{00000000-0010-0000-0300-0000B52D0000}" name="Column11696" dataDxfId="4707"/>
    <tableColumn id="11702" xr3:uid="{00000000-0010-0000-0300-0000B62D0000}" name="Column11697" dataDxfId="4706"/>
    <tableColumn id="11703" xr3:uid="{00000000-0010-0000-0300-0000B72D0000}" name="Column11698" dataDxfId="4705"/>
    <tableColumn id="11704" xr3:uid="{00000000-0010-0000-0300-0000B82D0000}" name="Column11699" dataDxfId="4704"/>
    <tableColumn id="11705" xr3:uid="{00000000-0010-0000-0300-0000B92D0000}" name="Column11700" dataDxfId="4703"/>
    <tableColumn id="11706" xr3:uid="{00000000-0010-0000-0300-0000BA2D0000}" name="Column11701" dataDxfId="4702"/>
    <tableColumn id="11707" xr3:uid="{00000000-0010-0000-0300-0000BB2D0000}" name="Column11702" dataDxfId="4701"/>
    <tableColumn id="11708" xr3:uid="{00000000-0010-0000-0300-0000BC2D0000}" name="Column11703" dataDxfId="4700"/>
    <tableColumn id="11709" xr3:uid="{00000000-0010-0000-0300-0000BD2D0000}" name="Column11704" dataDxfId="4699"/>
    <tableColumn id="11710" xr3:uid="{00000000-0010-0000-0300-0000BE2D0000}" name="Column11705" dataDxfId="4698"/>
    <tableColumn id="11711" xr3:uid="{00000000-0010-0000-0300-0000BF2D0000}" name="Column11706" dataDxfId="4697"/>
    <tableColumn id="11712" xr3:uid="{00000000-0010-0000-0300-0000C02D0000}" name="Column11707" dataDxfId="4696"/>
    <tableColumn id="11713" xr3:uid="{00000000-0010-0000-0300-0000C12D0000}" name="Column11708" dataDxfId="4695"/>
    <tableColumn id="11714" xr3:uid="{00000000-0010-0000-0300-0000C22D0000}" name="Column11709" dataDxfId="4694"/>
    <tableColumn id="11715" xr3:uid="{00000000-0010-0000-0300-0000C32D0000}" name="Column11710" dataDxfId="4693"/>
    <tableColumn id="11716" xr3:uid="{00000000-0010-0000-0300-0000C42D0000}" name="Column11711" dataDxfId="4692"/>
    <tableColumn id="11717" xr3:uid="{00000000-0010-0000-0300-0000C52D0000}" name="Column11712" dataDxfId="4691"/>
    <tableColumn id="11718" xr3:uid="{00000000-0010-0000-0300-0000C62D0000}" name="Column11713" dataDxfId="4690"/>
    <tableColumn id="11719" xr3:uid="{00000000-0010-0000-0300-0000C72D0000}" name="Column11714" dataDxfId="4689"/>
    <tableColumn id="11720" xr3:uid="{00000000-0010-0000-0300-0000C82D0000}" name="Column11715" dataDxfId="4688"/>
    <tableColumn id="11721" xr3:uid="{00000000-0010-0000-0300-0000C92D0000}" name="Column11716" dataDxfId="4687"/>
    <tableColumn id="11722" xr3:uid="{00000000-0010-0000-0300-0000CA2D0000}" name="Column11717" dataDxfId="4686"/>
    <tableColumn id="11723" xr3:uid="{00000000-0010-0000-0300-0000CB2D0000}" name="Column11718" dataDxfId="4685"/>
    <tableColumn id="11724" xr3:uid="{00000000-0010-0000-0300-0000CC2D0000}" name="Column11719" dataDxfId="4684"/>
    <tableColumn id="11725" xr3:uid="{00000000-0010-0000-0300-0000CD2D0000}" name="Column11720" dataDxfId="4683"/>
    <tableColumn id="11726" xr3:uid="{00000000-0010-0000-0300-0000CE2D0000}" name="Column11721" dataDxfId="4682"/>
    <tableColumn id="11727" xr3:uid="{00000000-0010-0000-0300-0000CF2D0000}" name="Column11722" dataDxfId="4681"/>
    <tableColumn id="11728" xr3:uid="{00000000-0010-0000-0300-0000D02D0000}" name="Column11723" dataDxfId="4680"/>
    <tableColumn id="11729" xr3:uid="{00000000-0010-0000-0300-0000D12D0000}" name="Column11724" dataDxfId="4679"/>
    <tableColumn id="11730" xr3:uid="{00000000-0010-0000-0300-0000D22D0000}" name="Column11725" dataDxfId="4678"/>
    <tableColumn id="11731" xr3:uid="{00000000-0010-0000-0300-0000D32D0000}" name="Column11726" dataDxfId="4677"/>
    <tableColumn id="11732" xr3:uid="{00000000-0010-0000-0300-0000D42D0000}" name="Column11727" dataDxfId="4676"/>
    <tableColumn id="11733" xr3:uid="{00000000-0010-0000-0300-0000D52D0000}" name="Column11728" dataDxfId="4675"/>
    <tableColumn id="11734" xr3:uid="{00000000-0010-0000-0300-0000D62D0000}" name="Column11729" dataDxfId="4674"/>
    <tableColumn id="11735" xr3:uid="{00000000-0010-0000-0300-0000D72D0000}" name="Column11730" dataDxfId="4673"/>
    <tableColumn id="11736" xr3:uid="{00000000-0010-0000-0300-0000D82D0000}" name="Column11731" dataDxfId="4672"/>
    <tableColumn id="11737" xr3:uid="{00000000-0010-0000-0300-0000D92D0000}" name="Column11732" dataDxfId="4671"/>
    <tableColumn id="11738" xr3:uid="{00000000-0010-0000-0300-0000DA2D0000}" name="Column11733" dataDxfId="4670"/>
    <tableColumn id="11739" xr3:uid="{00000000-0010-0000-0300-0000DB2D0000}" name="Column11734" dataDxfId="4669"/>
    <tableColumn id="11740" xr3:uid="{00000000-0010-0000-0300-0000DC2D0000}" name="Column11735" dataDxfId="4668"/>
    <tableColumn id="11741" xr3:uid="{00000000-0010-0000-0300-0000DD2D0000}" name="Column11736" dataDxfId="4667"/>
    <tableColumn id="11742" xr3:uid="{00000000-0010-0000-0300-0000DE2D0000}" name="Column11737" dataDxfId="4666"/>
    <tableColumn id="11743" xr3:uid="{00000000-0010-0000-0300-0000DF2D0000}" name="Column11738" dataDxfId="4665"/>
    <tableColumn id="11744" xr3:uid="{00000000-0010-0000-0300-0000E02D0000}" name="Column11739" dataDxfId="4664"/>
    <tableColumn id="11745" xr3:uid="{00000000-0010-0000-0300-0000E12D0000}" name="Column11740" dataDxfId="4663"/>
    <tableColumn id="11746" xr3:uid="{00000000-0010-0000-0300-0000E22D0000}" name="Column11741" dataDxfId="4662"/>
    <tableColumn id="11747" xr3:uid="{00000000-0010-0000-0300-0000E32D0000}" name="Column11742" dataDxfId="4661"/>
    <tableColumn id="11748" xr3:uid="{00000000-0010-0000-0300-0000E42D0000}" name="Column11743" dataDxfId="4660"/>
    <tableColumn id="11749" xr3:uid="{00000000-0010-0000-0300-0000E52D0000}" name="Column11744" dataDxfId="4659"/>
    <tableColumn id="11750" xr3:uid="{00000000-0010-0000-0300-0000E62D0000}" name="Column11745" dataDxfId="4658"/>
    <tableColumn id="11751" xr3:uid="{00000000-0010-0000-0300-0000E72D0000}" name="Column11746" dataDxfId="4657"/>
    <tableColumn id="11752" xr3:uid="{00000000-0010-0000-0300-0000E82D0000}" name="Column11747" dataDxfId="4656"/>
    <tableColumn id="11753" xr3:uid="{00000000-0010-0000-0300-0000E92D0000}" name="Column11748" dataDxfId="4655"/>
    <tableColumn id="11754" xr3:uid="{00000000-0010-0000-0300-0000EA2D0000}" name="Column11749" dataDxfId="4654"/>
    <tableColumn id="11755" xr3:uid="{00000000-0010-0000-0300-0000EB2D0000}" name="Column11750" dataDxfId="4653"/>
    <tableColumn id="11756" xr3:uid="{00000000-0010-0000-0300-0000EC2D0000}" name="Column11751" dataDxfId="4652"/>
    <tableColumn id="11757" xr3:uid="{00000000-0010-0000-0300-0000ED2D0000}" name="Column11752" dataDxfId="4651"/>
    <tableColumn id="11758" xr3:uid="{00000000-0010-0000-0300-0000EE2D0000}" name="Column11753" dataDxfId="4650"/>
    <tableColumn id="11759" xr3:uid="{00000000-0010-0000-0300-0000EF2D0000}" name="Column11754" dataDxfId="4649"/>
    <tableColumn id="11760" xr3:uid="{00000000-0010-0000-0300-0000F02D0000}" name="Column11755" dataDxfId="4648"/>
    <tableColumn id="11761" xr3:uid="{00000000-0010-0000-0300-0000F12D0000}" name="Column11756" dataDxfId="4647"/>
    <tableColumn id="11762" xr3:uid="{00000000-0010-0000-0300-0000F22D0000}" name="Column11757" dataDxfId="4646"/>
    <tableColumn id="11763" xr3:uid="{00000000-0010-0000-0300-0000F32D0000}" name="Column11758" dataDxfId="4645"/>
    <tableColumn id="11764" xr3:uid="{00000000-0010-0000-0300-0000F42D0000}" name="Column11759" dataDxfId="4644"/>
    <tableColumn id="11765" xr3:uid="{00000000-0010-0000-0300-0000F52D0000}" name="Column11760" dataDxfId="4643"/>
    <tableColumn id="11766" xr3:uid="{00000000-0010-0000-0300-0000F62D0000}" name="Column11761" dataDxfId="4642"/>
    <tableColumn id="11767" xr3:uid="{00000000-0010-0000-0300-0000F72D0000}" name="Column11762" dataDxfId="4641"/>
    <tableColumn id="11768" xr3:uid="{00000000-0010-0000-0300-0000F82D0000}" name="Column11763" dataDxfId="4640"/>
    <tableColumn id="11769" xr3:uid="{00000000-0010-0000-0300-0000F92D0000}" name="Column11764" dataDxfId="4639"/>
    <tableColumn id="11770" xr3:uid="{00000000-0010-0000-0300-0000FA2D0000}" name="Column11765" dataDxfId="4638"/>
    <tableColumn id="11771" xr3:uid="{00000000-0010-0000-0300-0000FB2D0000}" name="Column11766" dataDxfId="4637"/>
    <tableColumn id="11772" xr3:uid="{00000000-0010-0000-0300-0000FC2D0000}" name="Column11767" dataDxfId="4636"/>
    <tableColumn id="11773" xr3:uid="{00000000-0010-0000-0300-0000FD2D0000}" name="Column11768" dataDxfId="4635"/>
    <tableColumn id="11774" xr3:uid="{00000000-0010-0000-0300-0000FE2D0000}" name="Column11769" dataDxfId="4634"/>
    <tableColumn id="11775" xr3:uid="{00000000-0010-0000-0300-0000FF2D0000}" name="Column11770" dataDxfId="4633"/>
    <tableColumn id="11776" xr3:uid="{00000000-0010-0000-0300-0000002E0000}" name="Column11771" dataDxfId="4632"/>
    <tableColumn id="11777" xr3:uid="{00000000-0010-0000-0300-0000012E0000}" name="Column11772" dataDxfId="4631"/>
    <tableColumn id="11778" xr3:uid="{00000000-0010-0000-0300-0000022E0000}" name="Column11773" dataDxfId="4630"/>
    <tableColumn id="11779" xr3:uid="{00000000-0010-0000-0300-0000032E0000}" name="Column11774" dataDxfId="4629"/>
    <tableColumn id="11780" xr3:uid="{00000000-0010-0000-0300-0000042E0000}" name="Column11775" dataDxfId="4628"/>
    <tableColumn id="11781" xr3:uid="{00000000-0010-0000-0300-0000052E0000}" name="Column11776" dataDxfId="4627"/>
    <tableColumn id="11782" xr3:uid="{00000000-0010-0000-0300-0000062E0000}" name="Column11777" dataDxfId="4626"/>
    <tableColumn id="11783" xr3:uid="{00000000-0010-0000-0300-0000072E0000}" name="Column11778" dataDxfId="4625"/>
    <tableColumn id="11784" xr3:uid="{00000000-0010-0000-0300-0000082E0000}" name="Column11779" dataDxfId="4624"/>
    <tableColumn id="11785" xr3:uid="{00000000-0010-0000-0300-0000092E0000}" name="Column11780" dataDxfId="4623"/>
    <tableColumn id="11786" xr3:uid="{00000000-0010-0000-0300-00000A2E0000}" name="Column11781" dataDxfId="4622"/>
    <tableColumn id="11787" xr3:uid="{00000000-0010-0000-0300-00000B2E0000}" name="Column11782" dataDxfId="4621"/>
    <tableColumn id="11788" xr3:uid="{00000000-0010-0000-0300-00000C2E0000}" name="Column11783" dataDxfId="4620"/>
    <tableColumn id="11789" xr3:uid="{00000000-0010-0000-0300-00000D2E0000}" name="Column11784" dataDxfId="4619"/>
    <tableColumn id="11790" xr3:uid="{00000000-0010-0000-0300-00000E2E0000}" name="Column11785" dataDxfId="4618"/>
    <tableColumn id="11791" xr3:uid="{00000000-0010-0000-0300-00000F2E0000}" name="Column11786" dataDxfId="4617"/>
    <tableColumn id="11792" xr3:uid="{00000000-0010-0000-0300-0000102E0000}" name="Column11787" dataDxfId="4616"/>
    <tableColumn id="11793" xr3:uid="{00000000-0010-0000-0300-0000112E0000}" name="Column11788" dataDxfId="4615"/>
    <tableColumn id="11794" xr3:uid="{00000000-0010-0000-0300-0000122E0000}" name="Column11789" dataDxfId="4614"/>
    <tableColumn id="11795" xr3:uid="{00000000-0010-0000-0300-0000132E0000}" name="Column11790" dataDxfId="4613"/>
    <tableColumn id="11796" xr3:uid="{00000000-0010-0000-0300-0000142E0000}" name="Column11791" dataDxfId="4612"/>
    <tableColumn id="11797" xr3:uid="{00000000-0010-0000-0300-0000152E0000}" name="Column11792" dataDxfId="4611"/>
    <tableColumn id="11798" xr3:uid="{00000000-0010-0000-0300-0000162E0000}" name="Column11793" dataDxfId="4610"/>
    <tableColumn id="11799" xr3:uid="{00000000-0010-0000-0300-0000172E0000}" name="Column11794" dataDxfId="4609"/>
    <tableColumn id="11800" xr3:uid="{00000000-0010-0000-0300-0000182E0000}" name="Column11795" dataDxfId="4608"/>
    <tableColumn id="11801" xr3:uid="{00000000-0010-0000-0300-0000192E0000}" name="Column11796" dataDxfId="4607"/>
    <tableColumn id="11802" xr3:uid="{00000000-0010-0000-0300-00001A2E0000}" name="Column11797" dataDxfId="4606"/>
    <tableColumn id="11803" xr3:uid="{00000000-0010-0000-0300-00001B2E0000}" name="Column11798" dataDxfId="4605"/>
    <tableColumn id="11804" xr3:uid="{00000000-0010-0000-0300-00001C2E0000}" name="Column11799" dataDxfId="4604"/>
    <tableColumn id="11805" xr3:uid="{00000000-0010-0000-0300-00001D2E0000}" name="Column11800" dataDxfId="4603"/>
    <tableColumn id="11806" xr3:uid="{00000000-0010-0000-0300-00001E2E0000}" name="Column11801" dataDxfId="4602"/>
    <tableColumn id="11807" xr3:uid="{00000000-0010-0000-0300-00001F2E0000}" name="Column11802" dataDxfId="4601"/>
    <tableColumn id="11808" xr3:uid="{00000000-0010-0000-0300-0000202E0000}" name="Column11803" dataDxfId="4600"/>
    <tableColumn id="11809" xr3:uid="{00000000-0010-0000-0300-0000212E0000}" name="Column11804" dataDxfId="4599"/>
    <tableColumn id="11810" xr3:uid="{00000000-0010-0000-0300-0000222E0000}" name="Column11805" dataDxfId="4598"/>
    <tableColumn id="11811" xr3:uid="{00000000-0010-0000-0300-0000232E0000}" name="Column11806" dataDxfId="4597"/>
    <tableColumn id="11812" xr3:uid="{00000000-0010-0000-0300-0000242E0000}" name="Column11807" dataDxfId="4596"/>
    <tableColumn id="11813" xr3:uid="{00000000-0010-0000-0300-0000252E0000}" name="Column11808" dataDxfId="4595"/>
    <tableColumn id="11814" xr3:uid="{00000000-0010-0000-0300-0000262E0000}" name="Column11809" dataDxfId="4594"/>
    <tableColumn id="11815" xr3:uid="{00000000-0010-0000-0300-0000272E0000}" name="Column11810" dataDxfId="4593"/>
    <tableColumn id="11816" xr3:uid="{00000000-0010-0000-0300-0000282E0000}" name="Column11811" dataDxfId="4592"/>
    <tableColumn id="11817" xr3:uid="{00000000-0010-0000-0300-0000292E0000}" name="Column11812" dataDxfId="4591"/>
    <tableColumn id="11818" xr3:uid="{00000000-0010-0000-0300-00002A2E0000}" name="Column11813" dataDxfId="4590"/>
    <tableColumn id="11819" xr3:uid="{00000000-0010-0000-0300-00002B2E0000}" name="Column11814" dataDxfId="4589"/>
    <tableColumn id="11820" xr3:uid="{00000000-0010-0000-0300-00002C2E0000}" name="Column11815" dataDxfId="4588"/>
    <tableColumn id="11821" xr3:uid="{00000000-0010-0000-0300-00002D2E0000}" name="Column11816" dataDxfId="4587"/>
    <tableColumn id="11822" xr3:uid="{00000000-0010-0000-0300-00002E2E0000}" name="Column11817" dataDxfId="4586"/>
    <tableColumn id="11823" xr3:uid="{00000000-0010-0000-0300-00002F2E0000}" name="Column11818" dataDxfId="4585"/>
    <tableColumn id="11824" xr3:uid="{00000000-0010-0000-0300-0000302E0000}" name="Column11819" dataDxfId="4584"/>
    <tableColumn id="11825" xr3:uid="{00000000-0010-0000-0300-0000312E0000}" name="Column11820" dataDxfId="4583"/>
    <tableColumn id="11826" xr3:uid="{00000000-0010-0000-0300-0000322E0000}" name="Column11821" dataDxfId="4582"/>
    <tableColumn id="11827" xr3:uid="{00000000-0010-0000-0300-0000332E0000}" name="Column11822" dataDxfId="4581"/>
    <tableColumn id="11828" xr3:uid="{00000000-0010-0000-0300-0000342E0000}" name="Column11823" dataDxfId="4580"/>
    <tableColumn id="11829" xr3:uid="{00000000-0010-0000-0300-0000352E0000}" name="Column11824" dataDxfId="4579"/>
    <tableColumn id="11830" xr3:uid="{00000000-0010-0000-0300-0000362E0000}" name="Column11825" dataDxfId="4578"/>
    <tableColumn id="11831" xr3:uid="{00000000-0010-0000-0300-0000372E0000}" name="Column11826" dataDxfId="4577"/>
    <tableColumn id="11832" xr3:uid="{00000000-0010-0000-0300-0000382E0000}" name="Column11827" dataDxfId="4576"/>
    <tableColumn id="11833" xr3:uid="{00000000-0010-0000-0300-0000392E0000}" name="Column11828" dataDxfId="4575"/>
    <tableColumn id="11834" xr3:uid="{00000000-0010-0000-0300-00003A2E0000}" name="Column11829" dataDxfId="4574"/>
    <tableColumn id="11835" xr3:uid="{00000000-0010-0000-0300-00003B2E0000}" name="Column11830" dataDxfId="4573"/>
    <tableColumn id="11836" xr3:uid="{00000000-0010-0000-0300-00003C2E0000}" name="Column11831" dataDxfId="4572"/>
    <tableColumn id="11837" xr3:uid="{00000000-0010-0000-0300-00003D2E0000}" name="Column11832" dataDxfId="4571"/>
    <tableColumn id="11838" xr3:uid="{00000000-0010-0000-0300-00003E2E0000}" name="Column11833" dataDxfId="4570"/>
    <tableColumn id="11839" xr3:uid="{00000000-0010-0000-0300-00003F2E0000}" name="Column11834" dataDxfId="4569"/>
    <tableColumn id="11840" xr3:uid="{00000000-0010-0000-0300-0000402E0000}" name="Column11835" dataDxfId="4568"/>
    <tableColumn id="11841" xr3:uid="{00000000-0010-0000-0300-0000412E0000}" name="Column11836" dataDxfId="4567"/>
    <tableColumn id="11842" xr3:uid="{00000000-0010-0000-0300-0000422E0000}" name="Column11837" dataDxfId="4566"/>
    <tableColumn id="11843" xr3:uid="{00000000-0010-0000-0300-0000432E0000}" name="Column11838" dataDxfId="4565"/>
    <tableColumn id="11844" xr3:uid="{00000000-0010-0000-0300-0000442E0000}" name="Column11839" dataDxfId="4564"/>
    <tableColumn id="11845" xr3:uid="{00000000-0010-0000-0300-0000452E0000}" name="Column11840" dataDxfId="4563"/>
    <tableColumn id="11846" xr3:uid="{00000000-0010-0000-0300-0000462E0000}" name="Column11841" dataDxfId="4562"/>
    <tableColumn id="11847" xr3:uid="{00000000-0010-0000-0300-0000472E0000}" name="Column11842" dataDxfId="4561"/>
    <tableColumn id="11848" xr3:uid="{00000000-0010-0000-0300-0000482E0000}" name="Column11843" dataDxfId="4560"/>
    <tableColumn id="11849" xr3:uid="{00000000-0010-0000-0300-0000492E0000}" name="Column11844" dataDxfId="4559"/>
    <tableColumn id="11850" xr3:uid="{00000000-0010-0000-0300-00004A2E0000}" name="Column11845" dataDxfId="4558"/>
    <tableColumn id="11851" xr3:uid="{00000000-0010-0000-0300-00004B2E0000}" name="Column11846" dataDxfId="4557"/>
    <tableColumn id="11852" xr3:uid="{00000000-0010-0000-0300-00004C2E0000}" name="Column11847" dataDxfId="4556"/>
    <tableColumn id="11853" xr3:uid="{00000000-0010-0000-0300-00004D2E0000}" name="Column11848" dataDxfId="4555"/>
    <tableColumn id="11854" xr3:uid="{00000000-0010-0000-0300-00004E2E0000}" name="Column11849" dataDxfId="4554"/>
    <tableColumn id="11855" xr3:uid="{00000000-0010-0000-0300-00004F2E0000}" name="Column11850" dataDxfId="4553"/>
    <tableColumn id="11856" xr3:uid="{00000000-0010-0000-0300-0000502E0000}" name="Column11851" dataDxfId="4552"/>
    <tableColumn id="11857" xr3:uid="{00000000-0010-0000-0300-0000512E0000}" name="Column11852" dataDxfId="4551"/>
    <tableColumn id="11858" xr3:uid="{00000000-0010-0000-0300-0000522E0000}" name="Column11853" dataDxfId="4550"/>
    <tableColumn id="11859" xr3:uid="{00000000-0010-0000-0300-0000532E0000}" name="Column11854" dataDxfId="4549"/>
    <tableColumn id="11860" xr3:uid="{00000000-0010-0000-0300-0000542E0000}" name="Column11855" dataDxfId="4548"/>
    <tableColumn id="11861" xr3:uid="{00000000-0010-0000-0300-0000552E0000}" name="Column11856" dataDxfId="4547"/>
    <tableColumn id="11862" xr3:uid="{00000000-0010-0000-0300-0000562E0000}" name="Column11857" dataDxfId="4546"/>
    <tableColumn id="11863" xr3:uid="{00000000-0010-0000-0300-0000572E0000}" name="Column11858" dataDxfId="4545"/>
    <tableColumn id="11864" xr3:uid="{00000000-0010-0000-0300-0000582E0000}" name="Column11859" dataDxfId="4544"/>
    <tableColumn id="11865" xr3:uid="{00000000-0010-0000-0300-0000592E0000}" name="Column11860" dataDxfId="4543"/>
    <tableColumn id="11866" xr3:uid="{00000000-0010-0000-0300-00005A2E0000}" name="Column11861" dataDxfId="4542"/>
    <tableColumn id="11867" xr3:uid="{00000000-0010-0000-0300-00005B2E0000}" name="Column11862" dataDxfId="4541"/>
    <tableColumn id="11868" xr3:uid="{00000000-0010-0000-0300-00005C2E0000}" name="Column11863" dataDxfId="4540"/>
    <tableColumn id="11869" xr3:uid="{00000000-0010-0000-0300-00005D2E0000}" name="Column11864" dataDxfId="4539"/>
    <tableColumn id="11870" xr3:uid="{00000000-0010-0000-0300-00005E2E0000}" name="Column11865" dataDxfId="4538"/>
    <tableColumn id="11871" xr3:uid="{00000000-0010-0000-0300-00005F2E0000}" name="Column11866" dataDxfId="4537"/>
    <tableColumn id="11872" xr3:uid="{00000000-0010-0000-0300-0000602E0000}" name="Column11867" dataDxfId="4536"/>
    <tableColumn id="11873" xr3:uid="{00000000-0010-0000-0300-0000612E0000}" name="Column11868" dataDxfId="4535"/>
    <tableColumn id="11874" xr3:uid="{00000000-0010-0000-0300-0000622E0000}" name="Column11869" dataDxfId="4534"/>
    <tableColumn id="11875" xr3:uid="{00000000-0010-0000-0300-0000632E0000}" name="Column11870" dataDxfId="4533"/>
    <tableColumn id="11876" xr3:uid="{00000000-0010-0000-0300-0000642E0000}" name="Column11871" dataDxfId="4532"/>
    <tableColumn id="11877" xr3:uid="{00000000-0010-0000-0300-0000652E0000}" name="Column11872" dataDxfId="4531"/>
    <tableColumn id="11878" xr3:uid="{00000000-0010-0000-0300-0000662E0000}" name="Column11873" dataDxfId="4530"/>
    <tableColumn id="11879" xr3:uid="{00000000-0010-0000-0300-0000672E0000}" name="Column11874" dataDxfId="4529"/>
    <tableColumn id="11880" xr3:uid="{00000000-0010-0000-0300-0000682E0000}" name="Column11875" dataDxfId="4528"/>
    <tableColumn id="11881" xr3:uid="{00000000-0010-0000-0300-0000692E0000}" name="Column11876" dataDxfId="4527"/>
    <tableColumn id="11882" xr3:uid="{00000000-0010-0000-0300-00006A2E0000}" name="Column11877" dataDxfId="4526"/>
    <tableColumn id="11883" xr3:uid="{00000000-0010-0000-0300-00006B2E0000}" name="Column11878" dataDxfId="4525"/>
    <tableColumn id="11884" xr3:uid="{00000000-0010-0000-0300-00006C2E0000}" name="Column11879" dataDxfId="4524"/>
    <tableColumn id="11885" xr3:uid="{00000000-0010-0000-0300-00006D2E0000}" name="Column11880" dataDxfId="4523"/>
    <tableColumn id="11886" xr3:uid="{00000000-0010-0000-0300-00006E2E0000}" name="Column11881" dataDxfId="4522"/>
    <tableColumn id="11887" xr3:uid="{00000000-0010-0000-0300-00006F2E0000}" name="Column11882" dataDxfId="4521"/>
    <tableColumn id="11888" xr3:uid="{00000000-0010-0000-0300-0000702E0000}" name="Column11883" dataDxfId="4520"/>
    <tableColumn id="11889" xr3:uid="{00000000-0010-0000-0300-0000712E0000}" name="Column11884" dataDxfId="4519"/>
    <tableColumn id="11890" xr3:uid="{00000000-0010-0000-0300-0000722E0000}" name="Column11885" dataDxfId="4518"/>
    <tableColumn id="11891" xr3:uid="{00000000-0010-0000-0300-0000732E0000}" name="Column11886" dataDxfId="4517"/>
    <tableColumn id="11892" xr3:uid="{00000000-0010-0000-0300-0000742E0000}" name="Column11887" dataDxfId="4516"/>
    <tableColumn id="11893" xr3:uid="{00000000-0010-0000-0300-0000752E0000}" name="Column11888" dataDxfId="4515"/>
    <tableColumn id="11894" xr3:uid="{00000000-0010-0000-0300-0000762E0000}" name="Column11889" dataDxfId="4514"/>
    <tableColumn id="11895" xr3:uid="{00000000-0010-0000-0300-0000772E0000}" name="Column11890" dataDxfId="4513"/>
    <tableColumn id="11896" xr3:uid="{00000000-0010-0000-0300-0000782E0000}" name="Column11891" dataDxfId="4512"/>
    <tableColumn id="11897" xr3:uid="{00000000-0010-0000-0300-0000792E0000}" name="Column11892" dataDxfId="4511"/>
    <tableColumn id="11898" xr3:uid="{00000000-0010-0000-0300-00007A2E0000}" name="Column11893" dataDxfId="4510"/>
    <tableColumn id="11899" xr3:uid="{00000000-0010-0000-0300-00007B2E0000}" name="Column11894" dataDxfId="4509"/>
    <tableColumn id="11900" xr3:uid="{00000000-0010-0000-0300-00007C2E0000}" name="Column11895" dataDxfId="4508"/>
    <tableColumn id="11901" xr3:uid="{00000000-0010-0000-0300-00007D2E0000}" name="Column11896" dataDxfId="4507"/>
    <tableColumn id="11902" xr3:uid="{00000000-0010-0000-0300-00007E2E0000}" name="Column11897" dataDxfId="4506"/>
    <tableColumn id="11903" xr3:uid="{00000000-0010-0000-0300-00007F2E0000}" name="Column11898" dataDxfId="4505"/>
    <tableColumn id="11904" xr3:uid="{00000000-0010-0000-0300-0000802E0000}" name="Column11899" dataDxfId="4504"/>
    <tableColumn id="11905" xr3:uid="{00000000-0010-0000-0300-0000812E0000}" name="Column11900" dataDxfId="4503"/>
    <tableColumn id="11906" xr3:uid="{00000000-0010-0000-0300-0000822E0000}" name="Column11901" dataDxfId="4502"/>
    <tableColumn id="11907" xr3:uid="{00000000-0010-0000-0300-0000832E0000}" name="Column11902" dataDxfId="4501"/>
    <tableColumn id="11908" xr3:uid="{00000000-0010-0000-0300-0000842E0000}" name="Column11903" dataDxfId="4500"/>
    <tableColumn id="11909" xr3:uid="{00000000-0010-0000-0300-0000852E0000}" name="Column11904" dataDxfId="4499"/>
    <tableColumn id="11910" xr3:uid="{00000000-0010-0000-0300-0000862E0000}" name="Column11905" dataDxfId="4498"/>
    <tableColumn id="11911" xr3:uid="{00000000-0010-0000-0300-0000872E0000}" name="Column11906" dataDxfId="4497"/>
    <tableColumn id="11912" xr3:uid="{00000000-0010-0000-0300-0000882E0000}" name="Column11907" dataDxfId="4496"/>
    <tableColumn id="11913" xr3:uid="{00000000-0010-0000-0300-0000892E0000}" name="Column11908" dataDxfId="4495"/>
    <tableColumn id="11914" xr3:uid="{00000000-0010-0000-0300-00008A2E0000}" name="Column11909" dataDxfId="4494"/>
    <tableColumn id="11915" xr3:uid="{00000000-0010-0000-0300-00008B2E0000}" name="Column11910" dataDxfId="4493"/>
    <tableColumn id="11916" xr3:uid="{00000000-0010-0000-0300-00008C2E0000}" name="Column11911" dataDxfId="4492"/>
    <tableColumn id="11917" xr3:uid="{00000000-0010-0000-0300-00008D2E0000}" name="Column11912" dataDxfId="4491"/>
    <tableColumn id="11918" xr3:uid="{00000000-0010-0000-0300-00008E2E0000}" name="Column11913" dataDxfId="4490"/>
    <tableColumn id="11919" xr3:uid="{00000000-0010-0000-0300-00008F2E0000}" name="Column11914" dataDxfId="4489"/>
    <tableColumn id="11920" xr3:uid="{00000000-0010-0000-0300-0000902E0000}" name="Column11915" dataDxfId="4488"/>
    <tableColumn id="11921" xr3:uid="{00000000-0010-0000-0300-0000912E0000}" name="Column11916" dataDxfId="4487"/>
    <tableColumn id="11922" xr3:uid="{00000000-0010-0000-0300-0000922E0000}" name="Column11917" dataDxfId="4486"/>
    <tableColumn id="11923" xr3:uid="{00000000-0010-0000-0300-0000932E0000}" name="Column11918" dataDxfId="4485"/>
    <tableColumn id="11924" xr3:uid="{00000000-0010-0000-0300-0000942E0000}" name="Column11919" dataDxfId="4484"/>
    <tableColumn id="11925" xr3:uid="{00000000-0010-0000-0300-0000952E0000}" name="Column11920" dataDxfId="4483"/>
    <tableColumn id="11926" xr3:uid="{00000000-0010-0000-0300-0000962E0000}" name="Column11921" dataDxfId="4482"/>
    <tableColumn id="11927" xr3:uid="{00000000-0010-0000-0300-0000972E0000}" name="Column11922" dataDxfId="4481"/>
    <tableColumn id="11928" xr3:uid="{00000000-0010-0000-0300-0000982E0000}" name="Column11923" dataDxfId="4480"/>
    <tableColumn id="11929" xr3:uid="{00000000-0010-0000-0300-0000992E0000}" name="Column11924" dataDxfId="4479"/>
    <tableColumn id="11930" xr3:uid="{00000000-0010-0000-0300-00009A2E0000}" name="Column11925" dataDxfId="4478"/>
    <tableColumn id="11931" xr3:uid="{00000000-0010-0000-0300-00009B2E0000}" name="Column11926" dataDxfId="4477"/>
    <tableColumn id="11932" xr3:uid="{00000000-0010-0000-0300-00009C2E0000}" name="Column11927" dataDxfId="4476"/>
    <tableColumn id="11933" xr3:uid="{00000000-0010-0000-0300-00009D2E0000}" name="Column11928" dataDxfId="4475"/>
    <tableColumn id="11934" xr3:uid="{00000000-0010-0000-0300-00009E2E0000}" name="Column11929" dataDxfId="4474"/>
    <tableColumn id="11935" xr3:uid="{00000000-0010-0000-0300-00009F2E0000}" name="Column11930" dataDxfId="4473"/>
    <tableColumn id="11936" xr3:uid="{00000000-0010-0000-0300-0000A02E0000}" name="Column11931" dataDxfId="4472"/>
    <tableColumn id="11937" xr3:uid="{00000000-0010-0000-0300-0000A12E0000}" name="Column11932" dataDxfId="4471"/>
    <tableColumn id="11938" xr3:uid="{00000000-0010-0000-0300-0000A22E0000}" name="Column11933" dataDxfId="4470"/>
    <tableColumn id="11939" xr3:uid="{00000000-0010-0000-0300-0000A32E0000}" name="Column11934" dataDxfId="4469"/>
    <tableColumn id="11940" xr3:uid="{00000000-0010-0000-0300-0000A42E0000}" name="Column11935" dataDxfId="4468"/>
    <tableColumn id="11941" xr3:uid="{00000000-0010-0000-0300-0000A52E0000}" name="Column11936" dataDxfId="4467"/>
    <tableColumn id="11942" xr3:uid="{00000000-0010-0000-0300-0000A62E0000}" name="Column11937" dataDxfId="4466"/>
    <tableColumn id="11943" xr3:uid="{00000000-0010-0000-0300-0000A72E0000}" name="Column11938" dataDxfId="4465"/>
    <tableColumn id="11944" xr3:uid="{00000000-0010-0000-0300-0000A82E0000}" name="Column11939" dataDxfId="4464"/>
    <tableColumn id="11945" xr3:uid="{00000000-0010-0000-0300-0000A92E0000}" name="Column11940" dataDxfId="4463"/>
    <tableColumn id="11946" xr3:uid="{00000000-0010-0000-0300-0000AA2E0000}" name="Column11941" dataDxfId="4462"/>
    <tableColumn id="11947" xr3:uid="{00000000-0010-0000-0300-0000AB2E0000}" name="Column11942" dataDxfId="4461"/>
    <tableColumn id="11948" xr3:uid="{00000000-0010-0000-0300-0000AC2E0000}" name="Column11943" dataDxfId="4460"/>
    <tableColumn id="11949" xr3:uid="{00000000-0010-0000-0300-0000AD2E0000}" name="Column11944" dataDxfId="4459"/>
    <tableColumn id="11950" xr3:uid="{00000000-0010-0000-0300-0000AE2E0000}" name="Column11945" dataDxfId="4458"/>
    <tableColumn id="11951" xr3:uid="{00000000-0010-0000-0300-0000AF2E0000}" name="Column11946" dataDxfId="4457"/>
    <tableColumn id="11952" xr3:uid="{00000000-0010-0000-0300-0000B02E0000}" name="Column11947" dataDxfId="4456"/>
    <tableColumn id="11953" xr3:uid="{00000000-0010-0000-0300-0000B12E0000}" name="Column11948" dataDxfId="4455"/>
    <tableColumn id="11954" xr3:uid="{00000000-0010-0000-0300-0000B22E0000}" name="Column11949" dataDxfId="4454"/>
    <tableColumn id="11955" xr3:uid="{00000000-0010-0000-0300-0000B32E0000}" name="Column11950" dataDxfId="4453"/>
    <tableColumn id="11956" xr3:uid="{00000000-0010-0000-0300-0000B42E0000}" name="Column11951" dataDxfId="4452"/>
    <tableColumn id="11957" xr3:uid="{00000000-0010-0000-0300-0000B52E0000}" name="Column11952" dataDxfId="4451"/>
    <tableColumn id="11958" xr3:uid="{00000000-0010-0000-0300-0000B62E0000}" name="Column11953" dataDxfId="4450"/>
    <tableColumn id="11959" xr3:uid="{00000000-0010-0000-0300-0000B72E0000}" name="Column11954" dataDxfId="4449"/>
    <tableColumn id="11960" xr3:uid="{00000000-0010-0000-0300-0000B82E0000}" name="Column11955" dataDxfId="4448"/>
    <tableColumn id="11961" xr3:uid="{00000000-0010-0000-0300-0000B92E0000}" name="Column11956" dataDxfId="4447"/>
    <tableColumn id="11962" xr3:uid="{00000000-0010-0000-0300-0000BA2E0000}" name="Column11957" dataDxfId="4446"/>
    <tableColumn id="11963" xr3:uid="{00000000-0010-0000-0300-0000BB2E0000}" name="Column11958" dataDxfId="4445"/>
    <tableColumn id="11964" xr3:uid="{00000000-0010-0000-0300-0000BC2E0000}" name="Column11959" dataDxfId="4444"/>
    <tableColumn id="11965" xr3:uid="{00000000-0010-0000-0300-0000BD2E0000}" name="Column11960" dataDxfId="4443"/>
    <tableColumn id="11966" xr3:uid="{00000000-0010-0000-0300-0000BE2E0000}" name="Column11961" dataDxfId="4442"/>
    <tableColumn id="11967" xr3:uid="{00000000-0010-0000-0300-0000BF2E0000}" name="Column11962" dataDxfId="4441"/>
    <tableColumn id="11968" xr3:uid="{00000000-0010-0000-0300-0000C02E0000}" name="Column11963" dataDxfId="4440"/>
    <tableColumn id="11969" xr3:uid="{00000000-0010-0000-0300-0000C12E0000}" name="Column11964" dataDxfId="4439"/>
    <tableColumn id="11970" xr3:uid="{00000000-0010-0000-0300-0000C22E0000}" name="Column11965" dataDxfId="4438"/>
    <tableColumn id="11971" xr3:uid="{00000000-0010-0000-0300-0000C32E0000}" name="Column11966" dataDxfId="4437"/>
    <tableColumn id="11972" xr3:uid="{00000000-0010-0000-0300-0000C42E0000}" name="Column11967" dataDxfId="4436"/>
    <tableColumn id="11973" xr3:uid="{00000000-0010-0000-0300-0000C52E0000}" name="Column11968" dataDxfId="4435"/>
    <tableColumn id="11974" xr3:uid="{00000000-0010-0000-0300-0000C62E0000}" name="Column11969" dataDxfId="4434"/>
    <tableColumn id="11975" xr3:uid="{00000000-0010-0000-0300-0000C72E0000}" name="Column11970" dataDxfId="4433"/>
    <tableColumn id="11976" xr3:uid="{00000000-0010-0000-0300-0000C82E0000}" name="Column11971" dataDxfId="4432"/>
    <tableColumn id="11977" xr3:uid="{00000000-0010-0000-0300-0000C92E0000}" name="Column11972" dataDxfId="4431"/>
    <tableColumn id="11978" xr3:uid="{00000000-0010-0000-0300-0000CA2E0000}" name="Column11973" dataDxfId="4430"/>
    <tableColumn id="11979" xr3:uid="{00000000-0010-0000-0300-0000CB2E0000}" name="Column11974" dataDxfId="4429"/>
    <tableColumn id="11980" xr3:uid="{00000000-0010-0000-0300-0000CC2E0000}" name="Column11975" dataDxfId="4428"/>
    <tableColumn id="11981" xr3:uid="{00000000-0010-0000-0300-0000CD2E0000}" name="Column11976" dataDxfId="4427"/>
    <tableColumn id="11982" xr3:uid="{00000000-0010-0000-0300-0000CE2E0000}" name="Column11977" dataDxfId="4426"/>
    <tableColumn id="11983" xr3:uid="{00000000-0010-0000-0300-0000CF2E0000}" name="Column11978" dataDxfId="4425"/>
    <tableColumn id="11984" xr3:uid="{00000000-0010-0000-0300-0000D02E0000}" name="Column11979" dataDxfId="4424"/>
    <tableColumn id="11985" xr3:uid="{00000000-0010-0000-0300-0000D12E0000}" name="Column11980" dataDxfId="4423"/>
    <tableColumn id="11986" xr3:uid="{00000000-0010-0000-0300-0000D22E0000}" name="Column11981" dataDxfId="4422"/>
    <tableColumn id="11987" xr3:uid="{00000000-0010-0000-0300-0000D32E0000}" name="Column11982" dataDxfId="4421"/>
    <tableColumn id="11988" xr3:uid="{00000000-0010-0000-0300-0000D42E0000}" name="Column11983" dataDxfId="4420"/>
    <tableColumn id="11989" xr3:uid="{00000000-0010-0000-0300-0000D52E0000}" name="Column11984" dataDxfId="4419"/>
    <tableColumn id="11990" xr3:uid="{00000000-0010-0000-0300-0000D62E0000}" name="Column11985" dataDxfId="4418"/>
    <tableColumn id="11991" xr3:uid="{00000000-0010-0000-0300-0000D72E0000}" name="Column11986" dataDxfId="4417"/>
    <tableColumn id="11992" xr3:uid="{00000000-0010-0000-0300-0000D82E0000}" name="Column11987" dataDxfId="4416"/>
    <tableColumn id="11993" xr3:uid="{00000000-0010-0000-0300-0000D92E0000}" name="Column11988" dataDxfId="4415"/>
    <tableColumn id="11994" xr3:uid="{00000000-0010-0000-0300-0000DA2E0000}" name="Column11989" dataDxfId="4414"/>
    <tableColumn id="11995" xr3:uid="{00000000-0010-0000-0300-0000DB2E0000}" name="Column11990" dataDxfId="4413"/>
    <tableColumn id="11996" xr3:uid="{00000000-0010-0000-0300-0000DC2E0000}" name="Column11991" dataDxfId="4412"/>
    <tableColumn id="11997" xr3:uid="{00000000-0010-0000-0300-0000DD2E0000}" name="Column11992" dataDxfId="4411"/>
    <tableColumn id="11998" xr3:uid="{00000000-0010-0000-0300-0000DE2E0000}" name="Column11993" dataDxfId="4410"/>
    <tableColumn id="11999" xr3:uid="{00000000-0010-0000-0300-0000DF2E0000}" name="Column11994" dataDxfId="4409"/>
    <tableColumn id="12000" xr3:uid="{00000000-0010-0000-0300-0000E02E0000}" name="Column11995" dataDxfId="4408"/>
    <tableColumn id="12001" xr3:uid="{00000000-0010-0000-0300-0000E12E0000}" name="Column11996" dataDxfId="4407"/>
    <tableColumn id="12002" xr3:uid="{00000000-0010-0000-0300-0000E22E0000}" name="Column11997" dataDxfId="4406"/>
    <tableColumn id="12003" xr3:uid="{00000000-0010-0000-0300-0000E32E0000}" name="Column11998" dataDxfId="4405"/>
    <tableColumn id="12004" xr3:uid="{00000000-0010-0000-0300-0000E42E0000}" name="Column11999" dataDxfId="4404"/>
    <tableColumn id="12005" xr3:uid="{00000000-0010-0000-0300-0000E52E0000}" name="Column12000" dataDxfId="4403"/>
    <tableColumn id="12006" xr3:uid="{00000000-0010-0000-0300-0000E62E0000}" name="Column12001" dataDxfId="4402"/>
    <tableColumn id="12007" xr3:uid="{00000000-0010-0000-0300-0000E72E0000}" name="Column12002" dataDxfId="4401"/>
    <tableColumn id="12008" xr3:uid="{00000000-0010-0000-0300-0000E82E0000}" name="Column12003" dataDxfId="4400"/>
    <tableColumn id="12009" xr3:uid="{00000000-0010-0000-0300-0000E92E0000}" name="Column12004" dataDxfId="4399"/>
    <tableColumn id="12010" xr3:uid="{00000000-0010-0000-0300-0000EA2E0000}" name="Column12005" dataDxfId="4398"/>
    <tableColumn id="12011" xr3:uid="{00000000-0010-0000-0300-0000EB2E0000}" name="Column12006" dataDxfId="4397"/>
    <tableColumn id="12012" xr3:uid="{00000000-0010-0000-0300-0000EC2E0000}" name="Column12007" dataDxfId="4396"/>
    <tableColumn id="12013" xr3:uid="{00000000-0010-0000-0300-0000ED2E0000}" name="Column12008" dataDxfId="4395"/>
    <tableColumn id="12014" xr3:uid="{00000000-0010-0000-0300-0000EE2E0000}" name="Column12009" dataDxfId="4394"/>
    <tableColumn id="12015" xr3:uid="{00000000-0010-0000-0300-0000EF2E0000}" name="Column12010" dataDxfId="4393"/>
    <tableColumn id="12016" xr3:uid="{00000000-0010-0000-0300-0000F02E0000}" name="Column12011" dataDxfId="4392"/>
    <tableColumn id="12017" xr3:uid="{00000000-0010-0000-0300-0000F12E0000}" name="Column12012" dataDxfId="4391"/>
    <tableColumn id="12018" xr3:uid="{00000000-0010-0000-0300-0000F22E0000}" name="Column12013" dataDxfId="4390"/>
    <tableColumn id="12019" xr3:uid="{00000000-0010-0000-0300-0000F32E0000}" name="Column12014" dataDxfId="4389"/>
    <tableColumn id="12020" xr3:uid="{00000000-0010-0000-0300-0000F42E0000}" name="Column12015" dataDxfId="4388"/>
    <tableColumn id="12021" xr3:uid="{00000000-0010-0000-0300-0000F52E0000}" name="Column12016" dataDxfId="4387"/>
    <tableColumn id="12022" xr3:uid="{00000000-0010-0000-0300-0000F62E0000}" name="Column12017" dataDxfId="4386"/>
    <tableColumn id="12023" xr3:uid="{00000000-0010-0000-0300-0000F72E0000}" name="Column12018" dataDxfId="4385"/>
    <tableColumn id="12024" xr3:uid="{00000000-0010-0000-0300-0000F82E0000}" name="Column12019" dataDxfId="4384"/>
    <tableColumn id="12025" xr3:uid="{00000000-0010-0000-0300-0000F92E0000}" name="Column12020" dataDxfId="4383"/>
    <tableColumn id="12026" xr3:uid="{00000000-0010-0000-0300-0000FA2E0000}" name="Column12021" dataDxfId="4382"/>
    <tableColumn id="12027" xr3:uid="{00000000-0010-0000-0300-0000FB2E0000}" name="Column12022" dataDxfId="4381"/>
    <tableColumn id="12028" xr3:uid="{00000000-0010-0000-0300-0000FC2E0000}" name="Column12023" dataDxfId="4380"/>
    <tableColumn id="12029" xr3:uid="{00000000-0010-0000-0300-0000FD2E0000}" name="Column12024" dataDxfId="4379"/>
    <tableColumn id="12030" xr3:uid="{00000000-0010-0000-0300-0000FE2E0000}" name="Column12025" dataDxfId="4378"/>
    <tableColumn id="12031" xr3:uid="{00000000-0010-0000-0300-0000FF2E0000}" name="Column12026" dataDxfId="4377"/>
    <tableColumn id="12032" xr3:uid="{00000000-0010-0000-0300-0000002F0000}" name="Column12027" dataDxfId="4376"/>
    <tableColumn id="12033" xr3:uid="{00000000-0010-0000-0300-0000012F0000}" name="Column12028" dataDxfId="4375"/>
    <tableColumn id="12034" xr3:uid="{00000000-0010-0000-0300-0000022F0000}" name="Column12029" dataDxfId="4374"/>
    <tableColumn id="12035" xr3:uid="{00000000-0010-0000-0300-0000032F0000}" name="Column12030" dataDxfId="4373"/>
    <tableColumn id="12036" xr3:uid="{00000000-0010-0000-0300-0000042F0000}" name="Column12031" dataDxfId="4372"/>
    <tableColumn id="12037" xr3:uid="{00000000-0010-0000-0300-0000052F0000}" name="Column12032" dataDxfId="4371"/>
    <tableColumn id="12038" xr3:uid="{00000000-0010-0000-0300-0000062F0000}" name="Column12033" dataDxfId="4370"/>
    <tableColumn id="12039" xr3:uid="{00000000-0010-0000-0300-0000072F0000}" name="Column12034" dataDxfId="4369"/>
    <tableColumn id="12040" xr3:uid="{00000000-0010-0000-0300-0000082F0000}" name="Column12035" dataDxfId="4368"/>
    <tableColumn id="12041" xr3:uid="{00000000-0010-0000-0300-0000092F0000}" name="Column12036" dataDxfId="4367"/>
    <tableColumn id="12042" xr3:uid="{00000000-0010-0000-0300-00000A2F0000}" name="Column12037" dataDxfId="4366"/>
    <tableColumn id="12043" xr3:uid="{00000000-0010-0000-0300-00000B2F0000}" name="Column12038" dataDxfId="4365"/>
    <tableColumn id="12044" xr3:uid="{00000000-0010-0000-0300-00000C2F0000}" name="Column12039" dataDxfId="4364"/>
    <tableColumn id="12045" xr3:uid="{00000000-0010-0000-0300-00000D2F0000}" name="Column12040" dataDxfId="4363"/>
    <tableColumn id="12046" xr3:uid="{00000000-0010-0000-0300-00000E2F0000}" name="Column12041" dataDxfId="4362"/>
    <tableColumn id="12047" xr3:uid="{00000000-0010-0000-0300-00000F2F0000}" name="Column12042" dataDxfId="4361"/>
    <tableColumn id="12048" xr3:uid="{00000000-0010-0000-0300-0000102F0000}" name="Column12043" dataDxfId="4360"/>
    <tableColumn id="12049" xr3:uid="{00000000-0010-0000-0300-0000112F0000}" name="Column12044" dataDxfId="4359"/>
    <tableColumn id="12050" xr3:uid="{00000000-0010-0000-0300-0000122F0000}" name="Column12045" dataDxfId="4358"/>
    <tableColumn id="12051" xr3:uid="{00000000-0010-0000-0300-0000132F0000}" name="Column12046" dataDxfId="4357"/>
    <tableColumn id="12052" xr3:uid="{00000000-0010-0000-0300-0000142F0000}" name="Column12047" dataDxfId="4356"/>
    <tableColumn id="12053" xr3:uid="{00000000-0010-0000-0300-0000152F0000}" name="Column12048" dataDxfId="4355"/>
    <tableColumn id="12054" xr3:uid="{00000000-0010-0000-0300-0000162F0000}" name="Column12049" dataDxfId="4354"/>
    <tableColumn id="12055" xr3:uid="{00000000-0010-0000-0300-0000172F0000}" name="Column12050" dataDxfId="4353"/>
    <tableColumn id="12056" xr3:uid="{00000000-0010-0000-0300-0000182F0000}" name="Column12051" dataDxfId="4352"/>
    <tableColumn id="12057" xr3:uid="{00000000-0010-0000-0300-0000192F0000}" name="Column12052" dataDxfId="4351"/>
    <tableColumn id="12058" xr3:uid="{00000000-0010-0000-0300-00001A2F0000}" name="Column12053" dataDxfId="4350"/>
    <tableColumn id="12059" xr3:uid="{00000000-0010-0000-0300-00001B2F0000}" name="Column12054" dataDxfId="4349"/>
    <tableColumn id="12060" xr3:uid="{00000000-0010-0000-0300-00001C2F0000}" name="Column12055" dataDxfId="4348"/>
    <tableColumn id="12061" xr3:uid="{00000000-0010-0000-0300-00001D2F0000}" name="Column12056" dataDxfId="4347"/>
    <tableColumn id="12062" xr3:uid="{00000000-0010-0000-0300-00001E2F0000}" name="Column12057" dataDxfId="4346"/>
    <tableColumn id="12063" xr3:uid="{00000000-0010-0000-0300-00001F2F0000}" name="Column12058" dataDxfId="4345"/>
    <tableColumn id="12064" xr3:uid="{00000000-0010-0000-0300-0000202F0000}" name="Column12059" dataDxfId="4344"/>
    <tableColumn id="12065" xr3:uid="{00000000-0010-0000-0300-0000212F0000}" name="Column12060" dataDxfId="4343"/>
    <tableColumn id="12066" xr3:uid="{00000000-0010-0000-0300-0000222F0000}" name="Column12061" dataDxfId="4342"/>
    <tableColumn id="12067" xr3:uid="{00000000-0010-0000-0300-0000232F0000}" name="Column12062" dataDxfId="4341"/>
    <tableColumn id="12068" xr3:uid="{00000000-0010-0000-0300-0000242F0000}" name="Column12063" dataDxfId="4340"/>
    <tableColumn id="12069" xr3:uid="{00000000-0010-0000-0300-0000252F0000}" name="Column12064" dataDxfId="4339"/>
    <tableColumn id="12070" xr3:uid="{00000000-0010-0000-0300-0000262F0000}" name="Column12065" dataDxfId="4338"/>
    <tableColumn id="12071" xr3:uid="{00000000-0010-0000-0300-0000272F0000}" name="Column12066" dataDxfId="4337"/>
    <tableColumn id="12072" xr3:uid="{00000000-0010-0000-0300-0000282F0000}" name="Column12067" dataDxfId="4336"/>
    <tableColumn id="12073" xr3:uid="{00000000-0010-0000-0300-0000292F0000}" name="Column12068" dataDxfId="4335"/>
    <tableColumn id="12074" xr3:uid="{00000000-0010-0000-0300-00002A2F0000}" name="Column12069" dataDxfId="4334"/>
    <tableColumn id="12075" xr3:uid="{00000000-0010-0000-0300-00002B2F0000}" name="Column12070" dataDxfId="4333"/>
    <tableColumn id="12076" xr3:uid="{00000000-0010-0000-0300-00002C2F0000}" name="Column12071" dataDxfId="4332"/>
    <tableColumn id="12077" xr3:uid="{00000000-0010-0000-0300-00002D2F0000}" name="Column12072" dataDxfId="4331"/>
    <tableColumn id="12078" xr3:uid="{00000000-0010-0000-0300-00002E2F0000}" name="Column12073" dataDxfId="4330"/>
    <tableColumn id="12079" xr3:uid="{00000000-0010-0000-0300-00002F2F0000}" name="Column12074" dataDxfId="4329"/>
    <tableColumn id="12080" xr3:uid="{00000000-0010-0000-0300-0000302F0000}" name="Column12075" dataDxfId="4328"/>
    <tableColumn id="12081" xr3:uid="{00000000-0010-0000-0300-0000312F0000}" name="Column12076" dataDxfId="4327"/>
    <tableColumn id="12082" xr3:uid="{00000000-0010-0000-0300-0000322F0000}" name="Column12077" dataDxfId="4326"/>
    <tableColumn id="12083" xr3:uid="{00000000-0010-0000-0300-0000332F0000}" name="Column12078" dataDxfId="4325"/>
    <tableColumn id="12084" xr3:uid="{00000000-0010-0000-0300-0000342F0000}" name="Column12079" dataDxfId="4324"/>
    <tableColumn id="12085" xr3:uid="{00000000-0010-0000-0300-0000352F0000}" name="Column12080" dataDxfId="4323"/>
    <tableColumn id="12086" xr3:uid="{00000000-0010-0000-0300-0000362F0000}" name="Column12081" dataDxfId="4322"/>
    <tableColumn id="12087" xr3:uid="{00000000-0010-0000-0300-0000372F0000}" name="Column12082" dataDxfId="4321"/>
    <tableColumn id="12088" xr3:uid="{00000000-0010-0000-0300-0000382F0000}" name="Column12083" dataDxfId="4320"/>
    <tableColumn id="12089" xr3:uid="{00000000-0010-0000-0300-0000392F0000}" name="Column12084" dataDxfId="4319"/>
    <tableColumn id="12090" xr3:uid="{00000000-0010-0000-0300-00003A2F0000}" name="Column12085" dataDxfId="4318"/>
    <tableColumn id="12091" xr3:uid="{00000000-0010-0000-0300-00003B2F0000}" name="Column12086" dataDxfId="4317"/>
    <tableColumn id="12092" xr3:uid="{00000000-0010-0000-0300-00003C2F0000}" name="Column12087" dataDxfId="4316"/>
    <tableColumn id="12093" xr3:uid="{00000000-0010-0000-0300-00003D2F0000}" name="Column12088" dataDxfId="4315"/>
    <tableColumn id="12094" xr3:uid="{00000000-0010-0000-0300-00003E2F0000}" name="Column12089" dataDxfId="4314"/>
    <tableColumn id="12095" xr3:uid="{00000000-0010-0000-0300-00003F2F0000}" name="Column12090" dataDxfId="4313"/>
    <tableColumn id="12096" xr3:uid="{00000000-0010-0000-0300-0000402F0000}" name="Column12091" dataDxfId="4312"/>
    <tableColumn id="12097" xr3:uid="{00000000-0010-0000-0300-0000412F0000}" name="Column12092" dataDxfId="4311"/>
    <tableColumn id="12098" xr3:uid="{00000000-0010-0000-0300-0000422F0000}" name="Column12093" dataDxfId="4310"/>
    <tableColumn id="12099" xr3:uid="{00000000-0010-0000-0300-0000432F0000}" name="Column12094" dataDxfId="4309"/>
    <tableColumn id="12100" xr3:uid="{00000000-0010-0000-0300-0000442F0000}" name="Column12095" dataDxfId="4308"/>
    <tableColumn id="12101" xr3:uid="{00000000-0010-0000-0300-0000452F0000}" name="Column12096" dataDxfId="4307"/>
    <tableColumn id="12102" xr3:uid="{00000000-0010-0000-0300-0000462F0000}" name="Column12097" dataDxfId="4306"/>
    <tableColumn id="12103" xr3:uid="{00000000-0010-0000-0300-0000472F0000}" name="Column12098" dataDxfId="4305"/>
    <tableColumn id="12104" xr3:uid="{00000000-0010-0000-0300-0000482F0000}" name="Column12099" dataDxfId="4304"/>
    <tableColumn id="12105" xr3:uid="{00000000-0010-0000-0300-0000492F0000}" name="Column12100" dataDxfId="4303"/>
    <tableColumn id="12106" xr3:uid="{00000000-0010-0000-0300-00004A2F0000}" name="Column12101" dataDxfId="4302"/>
    <tableColumn id="12107" xr3:uid="{00000000-0010-0000-0300-00004B2F0000}" name="Column12102" dataDxfId="4301"/>
    <tableColumn id="12108" xr3:uid="{00000000-0010-0000-0300-00004C2F0000}" name="Column12103" dataDxfId="4300"/>
    <tableColumn id="12109" xr3:uid="{00000000-0010-0000-0300-00004D2F0000}" name="Column12104" dataDxfId="4299"/>
    <tableColumn id="12110" xr3:uid="{00000000-0010-0000-0300-00004E2F0000}" name="Column12105" dataDxfId="4298"/>
    <tableColumn id="12111" xr3:uid="{00000000-0010-0000-0300-00004F2F0000}" name="Column12106" dataDxfId="4297"/>
    <tableColumn id="12112" xr3:uid="{00000000-0010-0000-0300-0000502F0000}" name="Column12107" dataDxfId="4296"/>
    <tableColumn id="12113" xr3:uid="{00000000-0010-0000-0300-0000512F0000}" name="Column12108" dataDxfId="4295"/>
    <tableColumn id="12114" xr3:uid="{00000000-0010-0000-0300-0000522F0000}" name="Column12109" dataDxfId="4294"/>
    <tableColumn id="12115" xr3:uid="{00000000-0010-0000-0300-0000532F0000}" name="Column12110" dataDxfId="4293"/>
    <tableColumn id="12116" xr3:uid="{00000000-0010-0000-0300-0000542F0000}" name="Column12111" dataDxfId="4292"/>
    <tableColumn id="12117" xr3:uid="{00000000-0010-0000-0300-0000552F0000}" name="Column12112" dataDxfId="4291"/>
    <tableColumn id="12118" xr3:uid="{00000000-0010-0000-0300-0000562F0000}" name="Column12113" dataDxfId="4290"/>
    <tableColumn id="12119" xr3:uid="{00000000-0010-0000-0300-0000572F0000}" name="Column12114" dataDxfId="4289"/>
    <tableColumn id="12120" xr3:uid="{00000000-0010-0000-0300-0000582F0000}" name="Column12115" dataDxfId="4288"/>
    <tableColumn id="12121" xr3:uid="{00000000-0010-0000-0300-0000592F0000}" name="Column12116" dataDxfId="4287"/>
    <tableColumn id="12122" xr3:uid="{00000000-0010-0000-0300-00005A2F0000}" name="Column12117" dataDxfId="4286"/>
    <tableColumn id="12123" xr3:uid="{00000000-0010-0000-0300-00005B2F0000}" name="Column12118" dataDxfId="4285"/>
    <tableColumn id="12124" xr3:uid="{00000000-0010-0000-0300-00005C2F0000}" name="Column12119" dataDxfId="4284"/>
    <tableColumn id="12125" xr3:uid="{00000000-0010-0000-0300-00005D2F0000}" name="Column12120" dataDxfId="4283"/>
    <tableColumn id="12126" xr3:uid="{00000000-0010-0000-0300-00005E2F0000}" name="Column12121" dataDxfId="4282"/>
    <tableColumn id="12127" xr3:uid="{00000000-0010-0000-0300-00005F2F0000}" name="Column12122" dataDxfId="4281"/>
    <tableColumn id="12128" xr3:uid="{00000000-0010-0000-0300-0000602F0000}" name="Column12123" dataDxfId="4280"/>
    <tableColumn id="12129" xr3:uid="{00000000-0010-0000-0300-0000612F0000}" name="Column12124" dataDxfId="4279"/>
    <tableColumn id="12130" xr3:uid="{00000000-0010-0000-0300-0000622F0000}" name="Column12125" dataDxfId="4278"/>
    <tableColumn id="12131" xr3:uid="{00000000-0010-0000-0300-0000632F0000}" name="Column12126" dataDxfId="4277"/>
    <tableColumn id="12132" xr3:uid="{00000000-0010-0000-0300-0000642F0000}" name="Column12127" dataDxfId="4276"/>
    <tableColumn id="12133" xr3:uid="{00000000-0010-0000-0300-0000652F0000}" name="Column12128" dataDxfId="4275"/>
    <tableColumn id="12134" xr3:uid="{00000000-0010-0000-0300-0000662F0000}" name="Column12129" dataDxfId="4274"/>
    <tableColumn id="12135" xr3:uid="{00000000-0010-0000-0300-0000672F0000}" name="Column12130" dataDxfId="4273"/>
    <tableColumn id="12136" xr3:uid="{00000000-0010-0000-0300-0000682F0000}" name="Column12131" dataDxfId="4272"/>
    <tableColumn id="12137" xr3:uid="{00000000-0010-0000-0300-0000692F0000}" name="Column12132" dataDxfId="4271"/>
    <tableColumn id="12138" xr3:uid="{00000000-0010-0000-0300-00006A2F0000}" name="Column12133" dataDxfId="4270"/>
    <tableColumn id="12139" xr3:uid="{00000000-0010-0000-0300-00006B2F0000}" name="Column12134" dataDxfId="4269"/>
    <tableColumn id="12140" xr3:uid="{00000000-0010-0000-0300-00006C2F0000}" name="Column12135" dataDxfId="4268"/>
    <tableColumn id="12141" xr3:uid="{00000000-0010-0000-0300-00006D2F0000}" name="Column12136" dataDxfId="4267"/>
    <tableColumn id="12142" xr3:uid="{00000000-0010-0000-0300-00006E2F0000}" name="Column12137" dataDxfId="4266"/>
    <tableColumn id="12143" xr3:uid="{00000000-0010-0000-0300-00006F2F0000}" name="Column12138" dataDxfId="4265"/>
    <tableColumn id="12144" xr3:uid="{00000000-0010-0000-0300-0000702F0000}" name="Column12139" dataDxfId="4264"/>
    <tableColumn id="12145" xr3:uid="{00000000-0010-0000-0300-0000712F0000}" name="Column12140" dataDxfId="4263"/>
    <tableColumn id="12146" xr3:uid="{00000000-0010-0000-0300-0000722F0000}" name="Column12141" dataDxfId="4262"/>
    <tableColumn id="12147" xr3:uid="{00000000-0010-0000-0300-0000732F0000}" name="Column12142" dataDxfId="4261"/>
    <tableColumn id="12148" xr3:uid="{00000000-0010-0000-0300-0000742F0000}" name="Column12143" dataDxfId="4260"/>
    <tableColumn id="12149" xr3:uid="{00000000-0010-0000-0300-0000752F0000}" name="Column12144" dataDxfId="4259"/>
    <tableColumn id="12150" xr3:uid="{00000000-0010-0000-0300-0000762F0000}" name="Column12145" dataDxfId="4258"/>
    <tableColumn id="12151" xr3:uid="{00000000-0010-0000-0300-0000772F0000}" name="Column12146" dataDxfId="4257"/>
    <tableColumn id="12152" xr3:uid="{00000000-0010-0000-0300-0000782F0000}" name="Column12147" dataDxfId="4256"/>
    <tableColumn id="12153" xr3:uid="{00000000-0010-0000-0300-0000792F0000}" name="Column12148" dataDxfId="4255"/>
    <tableColumn id="12154" xr3:uid="{00000000-0010-0000-0300-00007A2F0000}" name="Column12149" dataDxfId="4254"/>
    <tableColumn id="12155" xr3:uid="{00000000-0010-0000-0300-00007B2F0000}" name="Column12150" dataDxfId="4253"/>
    <tableColumn id="12156" xr3:uid="{00000000-0010-0000-0300-00007C2F0000}" name="Column12151" dataDxfId="4252"/>
    <tableColumn id="12157" xr3:uid="{00000000-0010-0000-0300-00007D2F0000}" name="Column12152" dataDxfId="4251"/>
    <tableColumn id="12158" xr3:uid="{00000000-0010-0000-0300-00007E2F0000}" name="Column12153" dataDxfId="4250"/>
    <tableColumn id="12159" xr3:uid="{00000000-0010-0000-0300-00007F2F0000}" name="Column12154" dataDxfId="4249"/>
    <tableColumn id="12160" xr3:uid="{00000000-0010-0000-0300-0000802F0000}" name="Column12155" dataDxfId="4248"/>
    <tableColumn id="12161" xr3:uid="{00000000-0010-0000-0300-0000812F0000}" name="Column12156" dataDxfId="4247"/>
    <tableColumn id="12162" xr3:uid="{00000000-0010-0000-0300-0000822F0000}" name="Column12157" dataDxfId="4246"/>
    <tableColumn id="12163" xr3:uid="{00000000-0010-0000-0300-0000832F0000}" name="Column12158" dataDxfId="4245"/>
    <tableColumn id="12164" xr3:uid="{00000000-0010-0000-0300-0000842F0000}" name="Column12159" dataDxfId="4244"/>
    <tableColumn id="12165" xr3:uid="{00000000-0010-0000-0300-0000852F0000}" name="Column12160" dataDxfId="4243"/>
    <tableColumn id="12166" xr3:uid="{00000000-0010-0000-0300-0000862F0000}" name="Column12161" dataDxfId="4242"/>
    <tableColumn id="12167" xr3:uid="{00000000-0010-0000-0300-0000872F0000}" name="Column12162" dataDxfId="4241"/>
    <tableColumn id="12168" xr3:uid="{00000000-0010-0000-0300-0000882F0000}" name="Column12163" dataDxfId="4240"/>
    <tableColumn id="12169" xr3:uid="{00000000-0010-0000-0300-0000892F0000}" name="Column12164" dataDxfId="4239"/>
    <tableColumn id="12170" xr3:uid="{00000000-0010-0000-0300-00008A2F0000}" name="Column12165" dataDxfId="4238"/>
    <tableColumn id="12171" xr3:uid="{00000000-0010-0000-0300-00008B2F0000}" name="Column12166" dataDxfId="4237"/>
    <tableColumn id="12172" xr3:uid="{00000000-0010-0000-0300-00008C2F0000}" name="Column12167" dataDxfId="4236"/>
    <tableColumn id="12173" xr3:uid="{00000000-0010-0000-0300-00008D2F0000}" name="Column12168" dataDxfId="4235"/>
    <tableColumn id="12174" xr3:uid="{00000000-0010-0000-0300-00008E2F0000}" name="Column12169" dataDxfId="4234"/>
    <tableColumn id="12175" xr3:uid="{00000000-0010-0000-0300-00008F2F0000}" name="Column12170" dataDxfId="4233"/>
    <tableColumn id="12176" xr3:uid="{00000000-0010-0000-0300-0000902F0000}" name="Column12171" dataDxfId="4232"/>
    <tableColumn id="12177" xr3:uid="{00000000-0010-0000-0300-0000912F0000}" name="Column12172" dataDxfId="4231"/>
    <tableColumn id="12178" xr3:uid="{00000000-0010-0000-0300-0000922F0000}" name="Column12173" dataDxfId="4230"/>
    <tableColumn id="12179" xr3:uid="{00000000-0010-0000-0300-0000932F0000}" name="Column12174" dataDxfId="4229"/>
    <tableColumn id="12180" xr3:uid="{00000000-0010-0000-0300-0000942F0000}" name="Column12175" dataDxfId="4228"/>
    <tableColumn id="12181" xr3:uid="{00000000-0010-0000-0300-0000952F0000}" name="Column12176" dataDxfId="4227"/>
    <tableColumn id="12182" xr3:uid="{00000000-0010-0000-0300-0000962F0000}" name="Column12177" dataDxfId="4226"/>
    <tableColumn id="12183" xr3:uid="{00000000-0010-0000-0300-0000972F0000}" name="Column12178" dataDxfId="4225"/>
    <tableColumn id="12184" xr3:uid="{00000000-0010-0000-0300-0000982F0000}" name="Column12179" dataDxfId="4224"/>
    <tableColumn id="12185" xr3:uid="{00000000-0010-0000-0300-0000992F0000}" name="Column12180" dataDxfId="4223"/>
    <tableColumn id="12186" xr3:uid="{00000000-0010-0000-0300-00009A2F0000}" name="Column12181" dataDxfId="4222"/>
    <tableColumn id="12187" xr3:uid="{00000000-0010-0000-0300-00009B2F0000}" name="Column12182" dataDxfId="4221"/>
    <tableColumn id="12188" xr3:uid="{00000000-0010-0000-0300-00009C2F0000}" name="Column12183" dataDxfId="4220"/>
    <tableColumn id="12189" xr3:uid="{00000000-0010-0000-0300-00009D2F0000}" name="Column12184" dataDxfId="4219"/>
    <tableColumn id="12190" xr3:uid="{00000000-0010-0000-0300-00009E2F0000}" name="Column12185" dataDxfId="4218"/>
    <tableColumn id="12191" xr3:uid="{00000000-0010-0000-0300-00009F2F0000}" name="Column12186" dataDxfId="4217"/>
    <tableColumn id="12192" xr3:uid="{00000000-0010-0000-0300-0000A02F0000}" name="Column12187" dataDxfId="4216"/>
    <tableColumn id="12193" xr3:uid="{00000000-0010-0000-0300-0000A12F0000}" name="Column12188" dataDxfId="4215"/>
    <tableColumn id="12194" xr3:uid="{00000000-0010-0000-0300-0000A22F0000}" name="Column12189" dataDxfId="4214"/>
    <tableColumn id="12195" xr3:uid="{00000000-0010-0000-0300-0000A32F0000}" name="Column12190" dataDxfId="4213"/>
    <tableColumn id="12196" xr3:uid="{00000000-0010-0000-0300-0000A42F0000}" name="Column12191" dataDxfId="4212"/>
    <tableColumn id="12197" xr3:uid="{00000000-0010-0000-0300-0000A52F0000}" name="Column12192" dataDxfId="4211"/>
    <tableColumn id="12198" xr3:uid="{00000000-0010-0000-0300-0000A62F0000}" name="Column12193" dataDxfId="4210"/>
    <tableColumn id="12199" xr3:uid="{00000000-0010-0000-0300-0000A72F0000}" name="Column12194" dataDxfId="4209"/>
    <tableColumn id="12200" xr3:uid="{00000000-0010-0000-0300-0000A82F0000}" name="Column12195" dataDxfId="4208"/>
    <tableColumn id="12201" xr3:uid="{00000000-0010-0000-0300-0000A92F0000}" name="Column12196" dataDxfId="4207"/>
    <tableColumn id="12202" xr3:uid="{00000000-0010-0000-0300-0000AA2F0000}" name="Column12197" dataDxfId="4206"/>
    <tableColumn id="12203" xr3:uid="{00000000-0010-0000-0300-0000AB2F0000}" name="Column12198" dataDxfId="4205"/>
    <tableColumn id="12204" xr3:uid="{00000000-0010-0000-0300-0000AC2F0000}" name="Column12199" dataDxfId="4204"/>
    <tableColumn id="12205" xr3:uid="{00000000-0010-0000-0300-0000AD2F0000}" name="Column12200" dataDxfId="4203"/>
    <tableColumn id="12206" xr3:uid="{00000000-0010-0000-0300-0000AE2F0000}" name="Column12201" dataDxfId="4202"/>
    <tableColumn id="12207" xr3:uid="{00000000-0010-0000-0300-0000AF2F0000}" name="Column12202" dataDxfId="4201"/>
    <tableColumn id="12208" xr3:uid="{00000000-0010-0000-0300-0000B02F0000}" name="Column12203" dataDxfId="4200"/>
    <tableColumn id="12209" xr3:uid="{00000000-0010-0000-0300-0000B12F0000}" name="Column12204" dataDxfId="4199"/>
    <tableColumn id="12210" xr3:uid="{00000000-0010-0000-0300-0000B22F0000}" name="Column12205" dataDxfId="4198"/>
    <tableColumn id="12211" xr3:uid="{00000000-0010-0000-0300-0000B32F0000}" name="Column12206" dataDxfId="4197"/>
    <tableColumn id="12212" xr3:uid="{00000000-0010-0000-0300-0000B42F0000}" name="Column12207" dataDxfId="4196"/>
    <tableColumn id="12213" xr3:uid="{00000000-0010-0000-0300-0000B52F0000}" name="Column12208" dataDxfId="4195"/>
    <tableColumn id="12214" xr3:uid="{00000000-0010-0000-0300-0000B62F0000}" name="Column12209" dataDxfId="4194"/>
    <tableColumn id="12215" xr3:uid="{00000000-0010-0000-0300-0000B72F0000}" name="Column12210" dataDxfId="4193"/>
    <tableColumn id="12216" xr3:uid="{00000000-0010-0000-0300-0000B82F0000}" name="Column12211" dataDxfId="4192"/>
    <tableColumn id="12217" xr3:uid="{00000000-0010-0000-0300-0000B92F0000}" name="Column12212" dataDxfId="4191"/>
    <tableColumn id="12218" xr3:uid="{00000000-0010-0000-0300-0000BA2F0000}" name="Column12213" dataDxfId="4190"/>
    <tableColumn id="12219" xr3:uid="{00000000-0010-0000-0300-0000BB2F0000}" name="Column12214" dataDxfId="4189"/>
    <tableColumn id="12220" xr3:uid="{00000000-0010-0000-0300-0000BC2F0000}" name="Column12215" dataDxfId="4188"/>
    <tableColumn id="12221" xr3:uid="{00000000-0010-0000-0300-0000BD2F0000}" name="Column12216" dataDxfId="4187"/>
    <tableColumn id="12222" xr3:uid="{00000000-0010-0000-0300-0000BE2F0000}" name="Column12217" dataDxfId="4186"/>
    <tableColumn id="12223" xr3:uid="{00000000-0010-0000-0300-0000BF2F0000}" name="Column12218" dataDxfId="4185"/>
    <tableColumn id="12224" xr3:uid="{00000000-0010-0000-0300-0000C02F0000}" name="Column12219" dataDxfId="4184"/>
    <tableColumn id="12225" xr3:uid="{00000000-0010-0000-0300-0000C12F0000}" name="Column12220" dataDxfId="4183"/>
    <tableColumn id="12226" xr3:uid="{00000000-0010-0000-0300-0000C22F0000}" name="Column12221" dataDxfId="4182"/>
    <tableColumn id="12227" xr3:uid="{00000000-0010-0000-0300-0000C32F0000}" name="Column12222" dataDxfId="4181"/>
    <tableColumn id="12228" xr3:uid="{00000000-0010-0000-0300-0000C42F0000}" name="Column12223" dataDxfId="4180"/>
    <tableColumn id="12229" xr3:uid="{00000000-0010-0000-0300-0000C52F0000}" name="Column12224" dataDxfId="4179"/>
    <tableColumn id="12230" xr3:uid="{00000000-0010-0000-0300-0000C62F0000}" name="Column12225" dataDxfId="4178"/>
    <tableColumn id="12231" xr3:uid="{00000000-0010-0000-0300-0000C72F0000}" name="Column12226" dataDxfId="4177"/>
    <tableColumn id="12232" xr3:uid="{00000000-0010-0000-0300-0000C82F0000}" name="Column12227" dataDxfId="4176"/>
    <tableColumn id="12233" xr3:uid="{00000000-0010-0000-0300-0000C92F0000}" name="Column12228" dataDxfId="4175"/>
    <tableColumn id="12234" xr3:uid="{00000000-0010-0000-0300-0000CA2F0000}" name="Column12229" dataDxfId="4174"/>
    <tableColumn id="12235" xr3:uid="{00000000-0010-0000-0300-0000CB2F0000}" name="Column12230" dataDxfId="4173"/>
    <tableColumn id="12236" xr3:uid="{00000000-0010-0000-0300-0000CC2F0000}" name="Column12231" dataDxfId="4172"/>
    <tableColumn id="12237" xr3:uid="{00000000-0010-0000-0300-0000CD2F0000}" name="Column12232" dataDxfId="4171"/>
    <tableColumn id="12238" xr3:uid="{00000000-0010-0000-0300-0000CE2F0000}" name="Column12233" dataDxfId="4170"/>
    <tableColumn id="12239" xr3:uid="{00000000-0010-0000-0300-0000CF2F0000}" name="Column12234" dataDxfId="4169"/>
    <tableColumn id="12240" xr3:uid="{00000000-0010-0000-0300-0000D02F0000}" name="Column12235" dataDxfId="4168"/>
    <tableColumn id="12241" xr3:uid="{00000000-0010-0000-0300-0000D12F0000}" name="Column12236" dataDxfId="4167"/>
    <tableColumn id="12242" xr3:uid="{00000000-0010-0000-0300-0000D22F0000}" name="Column12237" dataDxfId="4166"/>
    <tableColumn id="12243" xr3:uid="{00000000-0010-0000-0300-0000D32F0000}" name="Column12238" dataDxfId="4165"/>
    <tableColumn id="12244" xr3:uid="{00000000-0010-0000-0300-0000D42F0000}" name="Column12239" dataDxfId="4164"/>
    <tableColumn id="12245" xr3:uid="{00000000-0010-0000-0300-0000D52F0000}" name="Column12240" dataDxfId="4163"/>
    <tableColumn id="12246" xr3:uid="{00000000-0010-0000-0300-0000D62F0000}" name="Column12241" dataDxfId="4162"/>
    <tableColumn id="12247" xr3:uid="{00000000-0010-0000-0300-0000D72F0000}" name="Column12242" dataDxfId="4161"/>
    <tableColumn id="12248" xr3:uid="{00000000-0010-0000-0300-0000D82F0000}" name="Column12243" dataDxfId="4160"/>
    <tableColumn id="12249" xr3:uid="{00000000-0010-0000-0300-0000D92F0000}" name="Column12244" dataDxfId="4159"/>
    <tableColumn id="12250" xr3:uid="{00000000-0010-0000-0300-0000DA2F0000}" name="Column12245" dataDxfId="4158"/>
    <tableColumn id="12251" xr3:uid="{00000000-0010-0000-0300-0000DB2F0000}" name="Column12246" dataDxfId="4157"/>
    <tableColumn id="12252" xr3:uid="{00000000-0010-0000-0300-0000DC2F0000}" name="Column12247" dataDxfId="4156"/>
    <tableColumn id="12253" xr3:uid="{00000000-0010-0000-0300-0000DD2F0000}" name="Column12248" dataDxfId="4155"/>
    <tableColumn id="12254" xr3:uid="{00000000-0010-0000-0300-0000DE2F0000}" name="Column12249" dataDxfId="4154"/>
    <tableColumn id="12255" xr3:uid="{00000000-0010-0000-0300-0000DF2F0000}" name="Column12250" dataDxfId="4153"/>
    <tableColumn id="12256" xr3:uid="{00000000-0010-0000-0300-0000E02F0000}" name="Column12251" dataDxfId="4152"/>
    <tableColumn id="12257" xr3:uid="{00000000-0010-0000-0300-0000E12F0000}" name="Column12252" dataDxfId="4151"/>
    <tableColumn id="12258" xr3:uid="{00000000-0010-0000-0300-0000E22F0000}" name="Column12253" dataDxfId="4150"/>
    <tableColumn id="12259" xr3:uid="{00000000-0010-0000-0300-0000E32F0000}" name="Column12254" dataDxfId="4149"/>
    <tableColumn id="12260" xr3:uid="{00000000-0010-0000-0300-0000E42F0000}" name="Column12255" dataDxfId="4148"/>
    <tableColumn id="12261" xr3:uid="{00000000-0010-0000-0300-0000E52F0000}" name="Column12256" dataDxfId="4147"/>
    <tableColumn id="12262" xr3:uid="{00000000-0010-0000-0300-0000E62F0000}" name="Column12257" dataDxfId="4146"/>
    <tableColumn id="12263" xr3:uid="{00000000-0010-0000-0300-0000E72F0000}" name="Column12258" dataDxfId="4145"/>
    <tableColumn id="12264" xr3:uid="{00000000-0010-0000-0300-0000E82F0000}" name="Column12259" dataDxfId="4144"/>
    <tableColumn id="12265" xr3:uid="{00000000-0010-0000-0300-0000E92F0000}" name="Column12260" dataDxfId="4143"/>
    <tableColumn id="12266" xr3:uid="{00000000-0010-0000-0300-0000EA2F0000}" name="Column12261" dataDxfId="4142"/>
    <tableColumn id="12267" xr3:uid="{00000000-0010-0000-0300-0000EB2F0000}" name="Column12262" dataDxfId="4141"/>
    <tableColumn id="12268" xr3:uid="{00000000-0010-0000-0300-0000EC2F0000}" name="Column12263" dataDxfId="4140"/>
    <tableColumn id="12269" xr3:uid="{00000000-0010-0000-0300-0000ED2F0000}" name="Column12264" dataDxfId="4139"/>
    <tableColumn id="12270" xr3:uid="{00000000-0010-0000-0300-0000EE2F0000}" name="Column12265" dataDxfId="4138"/>
    <tableColumn id="12271" xr3:uid="{00000000-0010-0000-0300-0000EF2F0000}" name="Column12266" dataDxfId="4137"/>
    <tableColumn id="12272" xr3:uid="{00000000-0010-0000-0300-0000F02F0000}" name="Column12267" dataDxfId="4136"/>
    <tableColumn id="12273" xr3:uid="{00000000-0010-0000-0300-0000F12F0000}" name="Column12268" dataDxfId="4135"/>
    <tableColumn id="12274" xr3:uid="{00000000-0010-0000-0300-0000F22F0000}" name="Column12269" dataDxfId="4134"/>
    <tableColumn id="12275" xr3:uid="{00000000-0010-0000-0300-0000F32F0000}" name="Column12270" dataDxfId="4133"/>
    <tableColumn id="12276" xr3:uid="{00000000-0010-0000-0300-0000F42F0000}" name="Column12271" dataDxfId="4132"/>
    <tableColumn id="12277" xr3:uid="{00000000-0010-0000-0300-0000F52F0000}" name="Column12272" dataDxfId="4131"/>
    <tableColumn id="12278" xr3:uid="{00000000-0010-0000-0300-0000F62F0000}" name="Column12273" dataDxfId="4130"/>
    <tableColumn id="12279" xr3:uid="{00000000-0010-0000-0300-0000F72F0000}" name="Column12274" dataDxfId="4129"/>
    <tableColumn id="12280" xr3:uid="{00000000-0010-0000-0300-0000F82F0000}" name="Column12275" dataDxfId="4128"/>
    <tableColumn id="12281" xr3:uid="{00000000-0010-0000-0300-0000F92F0000}" name="Column12276" dataDxfId="4127"/>
    <tableColumn id="12282" xr3:uid="{00000000-0010-0000-0300-0000FA2F0000}" name="Column12277" dataDxfId="4126"/>
    <tableColumn id="12283" xr3:uid="{00000000-0010-0000-0300-0000FB2F0000}" name="Column12278" dataDxfId="4125"/>
    <tableColumn id="12284" xr3:uid="{00000000-0010-0000-0300-0000FC2F0000}" name="Column12279" dataDxfId="4124"/>
    <tableColumn id="12285" xr3:uid="{00000000-0010-0000-0300-0000FD2F0000}" name="Column12280" dataDxfId="4123"/>
    <tableColumn id="12286" xr3:uid="{00000000-0010-0000-0300-0000FE2F0000}" name="Column12281" dataDxfId="4122"/>
    <tableColumn id="12287" xr3:uid="{00000000-0010-0000-0300-0000FF2F0000}" name="Column12282" dataDxfId="4121"/>
    <tableColumn id="12288" xr3:uid="{00000000-0010-0000-0300-000000300000}" name="Column12283" dataDxfId="4120"/>
    <tableColumn id="12289" xr3:uid="{00000000-0010-0000-0300-000001300000}" name="Column12284" dataDxfId="4119"/>
    <tableColumn id="12290" xr3:uid="{00000000-0010-0000-0300-000002300000}" name="Column12285" dataDxfId="4118"/>
    <tableColumn id="12291" xr3:uid="{00000000-0010-0000-0300-000003300000}" name="Column12286" dataDxfId="4117"/>
    <tableColumn id="12292" xr3:uid="{00000000-0010-0000-0300-000004300000}" name="Column12287" dataDxfId="4116"/>
    <tableColumn id="12293" xr3:uid="{00000000-0010-0000-0300-000005300000}" name="Column12288" dataDxfId="4115"/>
    <tableColumn id="12294" xr3:uid="{00000000-0010-0000-0300-000006300000}" name="Column12289" dataDxfId="4114"/>
    <tableColumn id="12295" xr3:uid="{00000000-0010-0000-0300-000007300000}" name="Column12290" dataDxfId="4113"/>
    <tableColumn id="12296" xr3:uid="{00000000-0010-0000-0300-000008300000}" name="Column12291" dataDxfId="4112"/>
    <tableColumn id="12297" xr3:uid="{00000000-0010-0000-0300-000009300000}" name="Column12292" dataDxfId="4111"/>
    <tableColumn id="12298" xr3:uid="{00000000-0010-0000-0300-00000A300000}" name="Column12293" dataDxfId="4110"/>
    <tableColumn id="12299" xr3:uid="{00000000-0010-0000-0300-00000B300000}" name="Column12294" dataDxfId="4109"/>
    <tableColumn id="12300" xr3:uid="{00000000-0010-0000-0300-00000C300000}" name="Column12295" dataDxfId="4108"/>
    <tableColumn id="12301" xr3:uid="{00000000-0010-0000-0300-00000D300000}" name="Column12296" dataDxfId="4107"/>
    <tableColumn id="12302" xr3:uid="{00000000-0010-0000-0300-00000E300000}" name="Column12297" dataDxfId="4106"/>
    <tableColumn id="12303" xr3:uid="{00000000-0010-0000-0300-00000F300000}" name="Column12298" dataDxfId="4105"/>
    <tableColumn id="12304" xr3:uid="{00000000-0010-0000-0300-000010300000}" name="Column12299" dataDxfId="4104"/>
    <tableColumn id="12305" xr3:uid="{00000000-0010-0000-0300-000011300000}" name="Column12300" dataDxfId="4103"/>
    <tableColumn id="12306" xr3:uid="{00000000-0010-0000-0300-000012300000}" name="Column12301" dataDxfId="4102"/>
    <tableColumn id="12307" xr3:uid="{00000000-0010-0000-0300-000013300000}" name="Column12302" dataDxfId="4101"/>
    <tableColumn id="12308" xr3:uid="{00000000-0010-0000-0300-000014300000}" name="Column12303" dataDxfId="4100"/>
    <tableColumn id="12309" xr3:uid="{00000000-0010-0000-0300-000015300000}" name="Column12304" dataDxfId="4099"/>
    <tableColumn id="12310" xr3:uid="{00000000-0010-0000-0300-000016300000}" name="Column12305" dataDxfId="4098"/>
    <tableColumn id="12311" xr3:uid="{00000000-0010-0000-0300-000017300000}" name="Column12306" dataDxfId="4097"/>
    <tableColumn id="12312" xr3:uid="{00000000-0010-0000-0300-000018300000}" name="Column12307" dataDxfId="4096"/>
    <tableColumn id="12313" xr3:uid="{00000000-0010-0000-0300-000019300000}" name="Column12308" dataDxfId="4095"/>
    <tableColumn id="12314" xr3:uid="{00000000-0010-0000-0300-00001A300000}" name="Column12309" dataDxfId="4094"/>
    <tableColumn id="12315" xr3:uid="{00000000-0010-0000-0300-00001B300000}" name="Column12310" dataDxfId="4093"/>
    <tableColumn id="12316" xr3:uid="{00000000-0010-0000-0300-00001C300000}" name="Column12311" dataDxfId="4092"/>
    <tableColumn id="12317" xr3:uid="{00000000-0010-0000-0300-00001D300000}" name="Column12312" dataDxfId="4091"/>
    <tableColumn id="12318" xr3:uid="{00000000-0010-0000-0300-00001E300000}" name="Column12313" dataDxfId="4090"/>
    <tableColumn id="12319" xr3:uid="{00000000-0010-0000-0300-00001F300000}" name="Column12314" dataDxfId="4089"/>
    <tableColumn id="12320" xr3:uid="{00000000-0010-0000-0300-000020300000}" name="Column12315" dataDxfId="4088"/>
    <tableColumn id="12321" xr3:uid="{00000000-0010-0000-0300-000021300000}" name="Column12316" dataDxfId="4087"/>
    <tableColumn id="12322" xr3:uid="{00000000-0010-0000-0300-000022300000}" name="Column12317" dataDxfId="4086"/>
    <tableColumn id="12323" xr3:uid="{00000000-0010-0000-0300-000023300000}" name="Column12318" dataDxfId="4085"/>
    <tableColumn id="12324" xr3:uid="{00000000-0010-0000-0300-000024300000}" name="Column12319" dataDxfId="4084"/>
    <tableColumn id="12325" xr3:uid="{00000000-0010-0000-0300-000025300000}" name="Column12320" dataDxfId="4083"/>
    <tableColumn id="12326" xr3:uid="{00000000-0010-0000-0300-000026300000}" name="Column12321" dataDxfId="4082"/>
    <tableColumn id="12327" xr3:uid="{00000000-0010-0000-0300-000027300000}" name="Column12322" dataDxfId="4081"/>
    <tableColumn id="12328" xr3:uid="{00000000-0010-0000-0300-000028300000}" name="Column12323" dataDxfId="4080"/>
    <tableColumn id="12329" xr3:uid="{00000000-0010-0000-0300-000029300000}" name="Column12324" dataDxfId="4079"/>
    <tableColumn id="12330" xr3:uid="{00000000-0010-0000-0300-00002A300000}" name="Column12325" dataDxfId="4078"/>
    <tableColumn id="12331" xr3:uid="{00000000-0010-0000-0300-00002B300000}" name="Column12326" dataDxfId="4077"/>
    <tableColumn id="12332" xr3:uid="{00000000-0010-0000-0300-00002C300000}" name="Column12327" dataDxfId="4076"/>
    <tableColumn id="12333" xr3:uid="{00000000-0010-0000-0300-00002D300000}" name="Column12328" dataDxfId="4075"/>
    <tableColumn id="12334" xr3:uid="{00000000-0010-0000-0300-00002E300000}" name="Column12329" dataDxfId="4074"/>
    <tableColumn id="12335" xr3:uid="{00000000-0010-0000-0300-00002F300000}" name="Column12330" dataDxfId="4073"/>
    <tableColumn id="12336" xr3:uid="{00000000-0010-0000-0300-000030300000}" name="Column12331" dataDxfId="4072"/>
    <tableColumn id="12337" xr3:uid="{00000000-0010-0000-0300-000031300000}" name="Column12332" dataDxfId="4071"/>
    <tableColumn id="12338" xr3:uid="{00000000-0010-0000-0300-000032300000}" name="Column12333" dataDxfId="4070"/>
    <tableColumn id="12339" xr3:uid="{00000000-0010-0000-0300-000033300000}" name="Column12334" dataDxfId="4069"/>
    <tableColumn id="12340" xr3:uid="{00000000-0010-0000-0300-000034300000}" name="Column12335" dataDxfId="4068"/>
    <tableColumn id="12341" xr3:uid="{00000000-0010-0000-0300-000035300000}" name="Column12336" dataDxfId="4067"/>
    <tableColumn id="12342" xr3:uid="{00000000-0010-0000-0300-000036300000}" name="Column12337" dataDxfId="4066"/>
    <tableColumn id="12343" xr3:uid="{00000000-0010-0000-0300-000037300000}" name="Column12338" dataDxfId="4065"/>
    <tableColumn id="12344" xr3:uid="{00000000-0010-0000-0300-000038300000}" name="Column12339" dataDxfId="4064"/>
    <tableColumn id="12345" xr3:uid="{00000000-0010-0000-0300-000039300000}" name="Column12340" dataDxfId="4063"/>
    <tableColumn id="12346" xr3:uid="{00000000-0010-0000-0300-00003A300000}" name="Column12341" dataDxfId="4062"/>
    <tableColumn id="12347" xr3:uid="{00000000-0010-0000-0300-00003B300000}" name="Column12342" dataDxfId="4061"/>
    <tableColumn id="12348" xr3:uid="{00000000-0010-0000-0300-00003C300000}" name="Column12343" dataDxfId="4060"/>
    <tableColumn id="12349" xr3:uid="{00000000-0010-0000-0300-00003D300000}" name="Column12344" dataDxfId="4059"/>
    <tableColumn id="12350" xr3:uid="{00000000-0010-0000-0300-00003E300000}" name="Column12345" dataDxfId="4058"/>
    <tableColumn id="12351" xr3:uid="{00000000-0010-0000-0300-00003F300000}" name="Column12346" dataDxfId="4057"/>
    <tableColumn id="12352" xr3:uid="{00000000-0010-0000-0300-000040300000}" name="Column12347" dataDxfId="4056"/>
    <tableColumn id="12353" xr3:uid="{00000000-0010-0000-0300-000041300000}" name="Column12348" dataDxfId="4055"/>
    <tableColumn id="12354" xr3:uid="{00000000-0010-0000-0300-000042300000}" name="Column12349" dataDxfId="4054"/>
    <tableColumn id="12355" xr3:uid="{00000000-0010-0000-0300-000043300000}" name="Column12350" dataDxfId="4053"/>
    <tableColumn id="12356" xr3:uid="{00000000-0010-0000-0300-000044300000}" name="Column12351" dataDxfId="4052"/>
    <tableColumn id="12357" xr3:uid="{00000000-0010-0000-0300-000045300000}" name="Column12352" dataDxfId="4051"/>
    <tableColumn id="12358" xr3:uid="{00000000-0010-0000-0300-000046300000}" name="Column12353" dataDxfId="4050"/>
    <tableColumn id="12359" xr3:uid="{00000000-0010-0000-0300-000047300000}" name="Column12354" dataDxfId="4049"/>
    <tableColumn id="12360" xr3:uid="{00000000-0010-0000-0300-000048300000}" name="Column12355" dataDxfId="4048"/>
    <tableColumn id="12361" xr3:uid="{00000000-0010-0000-0300-000049300000}" name="Column12356" dataDxfId="4047"/>
    <tableColumn id="12362" xr3:uid="{00000000-0010-0000-0300-00004A300000}" name="Column12357" dataDxfId="4046"/>
    <tableColumn id="12363" xr3:uid="{00000000-0010-0000-0300-00004B300000}" name="Column12358" dataDxfId="4045"/>
    <tableColumn id="12364" xr3:uid="{00000000-0010-0000-0300-00004C300000}" name="Column12359" dataDxfId="4044"/>
    <tableColumn id="12365" xr3:uid="{00000000-0010-0000-0300-00004D300000}" name="Column12360" dataDxfId="4043"/>
    <tableColumn id="12366" xr3:uid="{00000000-0010-0000-0300-00004E300000}" name="Column12361" dataDxfId="4042"/>
    <tableColumn id="12367" xr3:uid="{00000000-0010-0000-0300-00004F300000}" name="Column12362" dataDxfId="4041"/>
    <tableColumn id="12368" xr3:uid="{00000000-0010-0000-0300-000050300000}" name="Column12363" dataDxfId="4040"/>
    <tableColumn id="12369" xr3:uid="{00000000-0010-0000-0300-000051300000}" name="Column12364" dataDxfId="4039"/>
    <tableColumn id="12370" xr3:uid="{00000000-0010-0000-0300-000052300000}" name="Column12365" dataDxfId="4038"/>
    <tableColumn id="12371" xr3:uid="{00000000-0010-0000-0300-000053300000}" name="Column12366" dataDxfId="4037"/>
    <tableColumn id="12372" xr3:uid="{00000000-0010-0000-0300-000054300000}" name="Column12367" dataDxfId="4036"/>
    <tableColumn id="12373" xr3:uid="{00000000-0010-0000-0300-000055300000}" name="Column12368" dataDxfId="4035"/>
    <tableColumn id="12374" xr3:uid="{00000000-0010-0000-0300-000056300000}" name="Column12369" dataDxfId="4034"/>
    <tableColumn id="12375" xr3:uid="{00000000-0010-0000-0300-000057300000}" name="Column12370" dataDxfId="4033"/>
    <tableColumn id="12376" xr3:uid="{00000000-0010-0000-0300-000058300000}" name="Column12371" dataDxfId="4032"/>
    <tableColumn id="12377" xr3:uid="{00000000-0010-0000-0300-000059300000}" name="Column12372" dataDxfId="4031"/>
    <tableColumn id="12378" xr3:uid="{00000000-0010-0000-0300-00005A300000}" name="Column12373" dataDxfId="4030"/>
    <tableColumn id="12379" xr3:uid="{00000000-0010-0000-0300-00005B300000}" name="Column12374" dataDxfId="4029"/>
    <tableColumn id="12380" xr3:uid="{00000000-0010-0000-0300-00005C300000}" name="Column12375" dataDxfId="4028"/>
    <tableColumn id="12381" xr3:uid="{00000000-0010-0000-0300-00005D300000}" name="Column12376" dataDxfId="4027"/>
    <tableColumn id="12382" xr3:uid="{00000000-0010-0000-0300-00005E300000}" name="Column12377" dataDxfId="4026"/>
    <tableColumn id="12383" xr3:uid="{00000000-0010-0000-0300-00005F300000}" name="Column12378" dataDxfId="4025"/>
    <tableColumn id="12384" xr3:uid="{00000000-0010-0000-0300-000060300000}" name="Column12379" dataDxfId="4024"/>
    <tableColumn id="12385" xr3:uid="{00000000-0010-0000-0300-000061300000}" name="Column12380" dataDxfId="4023"/>
    <tableColumn id="12386" xr3:uid="{00000000-0010-0000-0300-000062300000}" name="Column12381" dataDxfId="4022"/>
    <tableColumn id="12387" xr3:uid="{00000000-0010-0000-0300-000063300000}" name="Column12382" dataDxfId="4021"/>
    <tableColumn id="12388" xr3:uid="{00000000-0010-0000-0300-000064300000}" name="Column12383" dataDxfId="4020"/>
    <tableColumn id="12389" xr3:uid="{00000000-0010-0000-0300-000065300000}" name="Column12384" dataDxfId="4019"/>
    <tableColumn id="12390" xr3:uid="{00000000-0010-0000-0300-000066300000}" name="Column12385" dataDxfId="4018"/>
    <tableColumn id="12391" xr3:uid="{00000000-0010-0000-0300-000067300000}" name="Column12386" dataDxfId="4017"/>
    <tableColumn id="12392" xr3:uid="{00000000-0010-0000-0300-000068300000}" name="Column12387" dataDxfId="4016"/>
    <tableColumn id="12393" xr3:uid="{00000000-0010-0000-0300-000069300000}" name="Column12388" dataDxfId="4015"/>
    <tableColumn id="12394" xr3:uid="{00000000-0010-0000-0300-00006A300000}" name="Column12389" dataDxfId="4014"/>
    <tableColumn id="12395" xr3:uid="{00000000-0010-0000-0300-00006B300000}" name="Column12390" dataDxfId="4013"/>
    <tableColumn id="12396" xr3:uid="{00000000-0010-0000-0300-00006C300000}" name="Column12391" dataDxfId="4012"/>
    <tableColumn id="12397" xr3:uid="{00000000-0010-0000-0300-00006D300000}" name="Column12392" dataDxfId="4011"/>
    <tableColumn id="12398" xr3:uid="{00000000-0010-0000-0300-00006E300000}" name="Column12393" dataDxfId="4010"/>
    <tableColumn id="12399" xr3:uid="{00000000-0010-0000-0300-00006F300000}" name="Column12394" dataDxfId="4009"/>
    <tableColumn id="12400" xr3:uid="{00000000-0010-0000-0300-000070300000}" name="Column12395" dataDxfId="4008"/>
    <tableColumn id="12401" xr3:uid="{00000000-0010-0000-0300-000071300000}" name="Column12396" dataDxfId="4007"/>
    <tableColumn id="12402" xr3:uid="{00000000-0010-0000-0300-000072300000}" name="Column12397" dataDxfId="4006"/>
    <tableColumn id="12403" xr3:uid="{00000000-0010-0000-0300-000073300000}" name="Column12398" dataDxfId="4005"/>
    <tableColumn id="12404" xr3:uid="{00000000-0010-0000-0300-000074300000}" name="Column12399" dataDxfId="4004"/>
    <tableColumn id="12405" xr3:uid="{00000000-0010-0000-0300-000075300000}" name="Column12400" dataDxfId="4003"/>
    <tableColumn id="12406" xr3:uid="{00000000-0010-0000-0300-000076300000}" name="Column12401" dataDxfId="4002"/>
    <tableColumn id="12407" xr3:uid="{00000000-0010-0000-0300-000077300000}" name="Column12402" dataDxfId="4001"/>
    <tableColumn id="12408" xr3:uid="{00000000-0010-0000-0300-000078300000}" name="Column12403" dataDxfId="4000"/>
    <tableColumn id="12409" xr3:uid="{00000000-0010-0000-0300-000079300000}" name="Column12404" dataDxfId="3999"/>
    <tableColumn id="12410" xr3:uid="{00000000-0010-0000-0300-00007A300000}" name="Column12405" dataDxfId="3998"/>
    <tableColumn id="12411" xr3:uid="{00000000-0010-0000-0300-00007B300000}" name="Column12406" dataDxfId="3997"/>
    <tableColumn id="12412" xr3:uid="{00000000-0010-0000-0300-00007C300000}" name="Column12407" dataDxfId="3996"/>
    <tableColumn id="12413" xr3:uid="{00000000-0010-0000-0300-00007D300000}" name="Column12408" dataDxfId="3995"/>
    <tableColumn id="12414" xr3:uid="{00000000-0010-0000-0300-00007E300000}" name="Column12409" dataDxfId="3994"/>
    <tableColumn id="12415" xr3:uid="{00000000-0010-0000-0300-00007F300000}" name="Column12410" dataDxfId="3993"/>
    <tableColumn id="12416" xr3:uid="{00000000-0010-0000-0300-000080300000}" name="Column12411" dataDxfId="3992"/>
    <tableColumn id="12417" xr3:uid="{00000000-0010-0000-0300-000081300000}" name="Column12412" dataDxfId="3991"/>
    <tableColumn id="12418" xr3:uid="{00000000-0010-0000-0300-000082300000}" name="Column12413" dataDxfId="3990"/>
    <tableColumn id="12419" xr3:uid="{00000000-0010-0000-0300-000083300000}" name="Column12414" dataDxfId="3989"/>
    <tableColumn id="12420" xr3:uid="{00000000-0010-0000-0300-000084300000}" name="Column12415" dataDxfId="3988"/>
    <tableColumn id="12421" xr3:uid="{00000000-0010-0000-0300-000085300000}" name="Column12416" dataDxfId="3987"/>
    <tableColumn id="12422" xr3:uid="{00000000-0010-0000-0300-000086300000}" name="Column12417" dataDxfId="3986"/>
    <tableColumn id="12423" xr3:uid="{00000000-0010-0000-0300-000087300000}" name="Column12418" dataDxfId="3985"/>
    <tableColumn id="12424" xr3:uid="{00000000-0010-0000-0300-000088300000}" name="Column12419" dataDxfId="3984"/>
    <tableColumn id="12425" xr3:uid="{00000000-0010-0000-0300-000089300000}" name="Column12420" dataDxfId="3983"/>
    <tableColumn id="12426" xr3:uid="{00000000-0010-0000-0300-00008A300000}" name="Column12421" dataDxfId="3982"/>
    <tableColumn id="12427" xr3:uid="{00000000-0010-0000-0300-00008B300000}" name="Column12422" dataDxfId="3981"/>
    <tableColumn id="12428" xr3:uid="{00000000-0010-0000-0300-00008C300000}" name="Column12423" dataDxfId="3980"/>
    <tableColumn id="12429" xr3:uid="{00000000-0010-0000-0300-00008D300000}" name="Column12424" dataDxfId="3979"/>
    <tableColumn id="12430" xr3:uid="{00000000-0010-0000-0300-00008E300000}" name="Column12425" dataDxfId="3978"/>
    <tableColumn id="12431" xr3:uid="{00000000-0010-0000-0300-00008F300000}" name="Column12426" dataDxfId="3977"/>
    <tableColumn id="12432" xr3:uid="{00000000-0010-0000-0300-000090300000}" name="Column12427" dataDxfId="3976"/>
    <tableColumn id="12433" xr3:uid="{00000000-0010-0000-0300-000091300000}" name="Column12428" dataDxfId="3975"/>
    <tableColumn id="12434" xr3:uid="{00000000-0010-0000-0300-000092300000}" name="Column12429" dataDxfId="3974"/>
    <tableColumn id="12435" xr3:uid="{00000000-0010-0000-0300-000093300000}" name="Column12430" dataDxfId="3973"/>
    <tableColumn id="12436" xr3:uid="{00000000-0010-0000-0300-000094300000}" name="Column12431" dataDxfId="3972"/>
    <tableColumn id="12437" xr3:uid="{00000000-0010-0000-0300-000095300000}" name="Column12432" dataDxfId="3971"/>
    <tableColumn id="12438" xr3:uid="{00000000-0010-0000-0300-000096300000}" name="Column12433" dataDxfId="3970"/>
    <tableColumn id="12439" xr3:uid="{00000000-0010-0000-0300-000097300000}" name="Column12434" dataDxfId="3969"/>
    <tableColumn id="12440" xr3:uid="{00000000-0010-0000-0300-000098300000}" name="Column12435" dataDxfId="3968"/>
    <tableColumn id="12441" xr3:uid="{00000000-0010-0000-0300-000099300000}" name="Column12436" dataDxfId="3967"/>
    <tableColumn id="12442" xr3:uid="{00000000-0010-0000-0300-00009A300000}" name="Column12437" dataDxfId="3966"/>
    <tableColumn id="12443" xr3:uid="{00000000-0010-0000-0300-00009B300000}" name="Column12438" dataDxfId="3965"/>
    <tableColumn id="12444" xr3:uid="{00000000-0010-0000-0300-00009C300000}" name="Column12439" dataDxfId="3964"/>
    <tableColumn id="12445" xr3:uid="{00000000-0010-0000-0300-00009D300000}" name="Column12440" dataDxfId="3963"/>
    <tableColumn id="12446" xr3:uid="{00000000-0010-0000-0300-00009E300000}" name="Column12441" dataDxfId="3962"/>
    <tableColumn id="12447" xr3:uid="{00000000-0010-0000-0300-00009F300000}" name="Column12442" dataDxfId="3961"/>
    <tableColumn id="12448" xr3:uid="{00000000-0010-0000-0300-0000A0300000}" name="Column12443" dataDxfId="3960"/>
    <tableColumn id="12449" xr3:uid="{00000000-0010-0000-0300-0000A1300000}" name="Column12444" dataDxfId="3959"/>
    <tableColumn id="12450" xr3:uid="{00000000-0010-0000-0300-0000A2300000}" name="Column12445" dataDxfId="3958"/>
    <tableColumn id="12451" xr3:uid="{00000000-0010-0000-0300-0000A3300000}" name="Column12446" dataDxfId="3957"/>
    <tableColumn id="12452" xr3:uid="{00000000-0010-0000-0300-0000A4300000}" name="Column12447" dataDxfId="3956"/>
    <tableColumn id="12453" xr3:uid="{00000000-0010-0000-0300-0000A5300000}" name="Column12448" dataDxfId="3955"/>
    <tableColumn id="12454" xr3:uid="{00000000-0010-0000-0300-0000A6300000}" name="Column12449" dataDxfId="3954"/>
    <tableColumn id="12455" xr3:uid="{00000000-0010-0000-0300-0000A7300000}" name="Column12450" dataDxfId="3953"/>
    <tableColumn id="12456" xr3:uid="{00000000-0010-0000-0300-0000A8300000}" name="Column12451" dataDxfId="3952"/>
    <tableColumn id="12457" xr3:uid="{00000000-0010-0000-0300-0000A9300000}" name="Column12452" dataDxfId="3951"/>
    <tableColumn id="12458" xr3:uid="{00000000-0010-0000-0300-0000AA300000}" name="Column12453" dataDxfId="3950"/>
    <tableColumn id="12459" xr3:uid="{00000000-0010-0000-0300-0000AB300000}" name="Column12454" dataDxfId="3949"/>
    <tableColumn id="12460" xr3:uid="{00000000-0010-0000-0300-0000AC300000}" name="Column12455" dataDxfId="3948"/>
    <tableColumn id="12461" xr3:uid="{00000000-0010-0000-0300-0000AD300000}" name="Column12456" dataDxfId="3947"/>
    <tableColumn id="12462" xr3:uid="{00000000-0010-0000-0300-0000AE300000}" name="Column12457" dataDxfId="3946"/>
    <tableColumn id="12463" xr3:uid="{00000000-0010-0000-0300-0000AF300000}" name="Column12458" dataDxfId="3945"/>
    <tableColumn id="12464" xr3:uid="{00000000-0010-0000-0300-0000B0300000}" name="Column12459" dataDxfId="3944"/>
    <tableColumn id="12465" xr3:uid="{00000000-0010-0000-0300-0000B1300000}" name="Column12460" dataDxfId="3943"/>
    <tableColumn id="12466" xr3:uid="{00000000-0010-0000-0300-0000B2300000}" name="Column12461" dataDxfId="3942"/>
    <tableColumn id="12467" xr3:uid="{00000000-0010-0000-0300-0000B3300000}" name="Column12462" dataDxfId="3941"/>
    <tableColumn id="12468" xr3:uid="{00000000-0010-0000-0300-0000B4300000}" name="Column12463" dataDxfId="3940"/>
    <tableColumn id="12469" xr3:uid="{00000000-0010-0000-0300-0000B5300000}" name="Column12464" dataDxfId="3939"/>
    <tableColumn id="12470" xr3:uid="{00000000-0010-0000-0300-0000B6300000}" name="Column12465" dataDxfId="3938"/>
    <tableColumn id="12471" xr3:uid="{00000000-0010-0000-0300-0000B7300000}" name="Column12466" dataDxfId="3937"/>
    <tableColumn id="12472" xr3:uid="{00000000-0010-0000-0300-0000B8300000}" name="Column12467" dataDxfId="3936"/>
    <tableColumn id="12473" xr3:uid="{00000000-0010-0000-0300-0000B9300000}" name="Column12468" dataDxfId="3935"/>
    <tableColumn id="12474" xr3:uid="{00000000-0010-0000-0300-0000BA300000}" name="Column12469" dataDxfId="3934"/>
    <tableColumn id="12475" xr3:uid="{00000000-0010-0000-0300-0000BB300000}" name="Column12470" dataDxfId="3933"/>
    <tableColumn id="12476" xr3:uid="{00000000-0010-0000-0300-0000BC300000}" name="Column12471" dataDxfId="3932"/>
    <tableColumn id="12477" xr3:uid="{00000000-0010-0000-0300-0000BD300000}" name="Column12472" dataDxfId="3931"/>
    <tableColumn id="12478" xr3:uid="{00000000-0010-0000-0300-0000BE300000}" name="Column12473" dataDxfId="3930"/>
    <tableColumn id="12479" xr3:uid="{00000000-0010-0000-0300-0000BF300000}" name="Column12474" dataDxfId="3929"/>
    <tableColumn id="12480" xr3:uid="{00000000-0010-0000-0300-0000C0300000}" name="Column12475" dataDxfId="3928"/>
    <tableColumn id="12481" xr3:uid="{00000000-0010-0000-0300-0000C1300000}" name="Column12476" dataDxfId="3927"/>
    <tableColumn id="12482" xr3:uid="{00000000-0010-0000-0300-0000C2300000}" name="Column12477" dataDxfId="3926"/>
    <tableColumn id="12483" xr3:uid="{00000000-0010-0000-0300-0000C3300000}" name="Column12478" dataDxfId="3925"/>
    <tableColumn id="12484" xr3:uid="{00000000-0010-0000-0300-0000C4300000}" name="Column12479" dataDxfId="3924"/>
    <tableColumn id="12485" xr3:uid="{00000000-0010-0000-0300-0000C5300000}" name="Column12480" dataDxfId="3923"/>
    <tableColumn id="12486" xr3:uid="{00000000-0010-0000-0300-0000C6300000}" name="Column12481" dataDxfId="3922"/>
    <tableColumn id="12487" xr3:uid="{00000000-0010-0000-0300-0000C7300000}" name="Column12482" dataDxfId="3921"/>
    <tableColumn id="12488" xr3:uid="{00000000-0010-0000-0300-0000C8300000}" name="Column12483" dataDxfId="3920"/>
    <tableColumn id="12489" xr3:uid="{00000000-0010-0000-0300-0000C9300000}" name="Column12484" dataDxfId="3919"/>
    <tableColumn id="12490" xr3:uid="{00000000-0010-0000-0300-0000CA300000}" name="Column12485" dataDxfId="3918"/>
    <tableColumn id="12491" xr3:uid="{00000000-0010-0000-0300-0000CB300000}" name="Column12486" dataDxfId="3917"/>
    <tableColumn id="12492" xr3:uid="{00000000-0010-0000-0300-0000CC300000}" name="Column12487" dataDxfId="3916"/>
    <tableColumn id="12493" xr3:uid="{00000000-0010-0000-0300-0000CD300000}" name="Column12488" dataDxfId="3915"/>
    <tableColumn id="12494" xr3:uid="{00000000-0010-0000-0300-0000CE300000}" name="Column12489" dataDxfId="3914"/>
    <tableColumn id="12495" xr3:uid="{00000000-0010-0000-0300-0000CF300000}" name="Column12490" dataDxfId="3913"/>
    <tableColumn id="12496" xr3:uid="{00000000-0010-0000-0300-0000D0300000}" name="Column12491" dataDxfId="3912"/>
    <tableColumn id="12497" xr3:uid="{00000000-0010-0000-0300-0000D1300000}" name="Column12492" dataDxfId="3911"/>
    <tableColumn id="12498" xr3:uid="{00000000-0010-0000-0300-0000D2300000}" name="Column12493" dataDxfId="3910"/>
    <tableColumn id="12499" xr3:uid="{00000000-0010-0000-0300-0000D3300000}" name="Column12494" dataDxfId="3909"/>
    <tableColumn id="12500" xr3:uid="{00000000-0010-0000-0300-0000D4300000}" name="Column12495" dataDxfId="3908"/>
    <tableColumn id="12501" xr3:uid="{00000000-0010-0000-0300-0000D5300000}" name="Column12496" dataDxfId="3907"/>
    <tableColumn id="12502" xr3:uid="{00000000-0010-0000-0300-0000D6300000}" name="Column12497" dataDxfId="3906"/>
    <tableColumn id="12503" xr3:uid="{00000000-0010-0000-0300-0000D7300000}" name="Column12498" dataDxfId="3905"/>
    <tableColumn id="12504" xr3:uid="{00000000-0010-0000-0300-0000D8300000}" name="Column12499" dataDxfId="3904"/>
    <tableColumn id="12505" xr3:uid="{00000000-0010-0000-0300-0000D9300000}" name="Column12500" dataDxfId="3903"/>
    <tableColumn id="12506" xr3:uid="{00000000-0010-0000-0300-0000DA300000}" name="Column12501" dataDxfId="3902"/>
    <tableColumn id="12507" xr3:uid="{00000000-0010-0000-0300-0000DB300000}" name="Column12502" dataDxfId="3901"/>
    <tableColumn id="12508" xr3:uid="{00000000-0010-0000-0300-0000DC300000}" name="Column12503" dataDxfId="3900"/>
    <tableColumn id="12509" xr3:uid="{00000000-0010-0000-0300-0000DD300000}" name="Column12504" dataDxfId="3899"/>
    <tableColumn id="12510" xr3:uid="{00000000-0010-0000-0300-0000DE300000}" name="Column12505" dataDxfId="3898"/>
    <tableColumn id="12511" xr3:uid="{00000000-0010-0000-0300-0000DF300000}" name="Column12506" dataDxfId="3897"/>
    <tableColumn id="12512" xr3:uid="{00000000-0010-0000-0300-0000E0300000}" name="Column12507" dataDxfId="3896"/>
    <tableColumn id="12513" xr3:uid="{00000000-0010-0000-0300-0000E1300000}" name="Column12508" dataDxfId="3895"/>
    <tableColumn id="12514" xr3:uid="{00000000-0010-0000-0300-0000E2300000}" name="Column12509" dataDxfId="3894"/>
    <tableColumn id="12515" xr3:uid="{00000000-0010-0000-0300-0000E3300000}" name="Column12510" dataDxfId="3893"/>
    <tableColumn id="12516" xr3:uid="{00000000-0010-0000-0300-0000E4300000}" name="Column12511" dataDxfId="3892"/>
    <tableColumn id="12517" xr3:uid="{00000000-0010-0000-0300-0000E5300000}" name="Column12512" dataDxfId="3891"/>
    <tableColumn id="12518" xr3:uid="{00000000-0010-0000-0300-0000E6300000}" name="Column12513" dataDxfId="3890"/>
    <tableColumn id="12519" xr3:uid="{00000000-0010-0000-0300-0000E7300000}" name="Column12514" dataDxfId="3889"/>
    <tableColumn id="12520" xr3:uid="{00000000-0010-0000-0300-0000E8300000}" name="Column12515" dataDxfId="3888"/>
    <tableColumn id="12521" xr3:uid="{00000000-0010-0000-0300-0000E9300000}" name="Column12516" dataDxfId="3887"/>
    <tableColumn id="12522" xr3:uid="{00000000-0010-0000-0300-0000EA300000}" name="Column12517" dataDxfId="3886"/>
    <tableColumn id="12523" xr3:uid="{00000000-0010-0000-0300-0000EB300000}" name="Column12518" dataDxfId="3885"/>
    <tableColumn id="12524" xr3:uid="{00000000-0010-0000-0300-0000EC300000}" name="Column12519" dataDxfId="3884"/>
    <tableColumn id="12525" xr3:uid="{00000000-0010-0000-0300-0000ED300000}" name="Column12520" dataDxfId="3883"/>
    <tableColumn id="12526" xr3:uid="{00000000-0010-0000-0300-0000EE300000}" name="Column12521" dataDxfId="3882"/>
    <tableColumn id="12527" xr3:uid="{00000000-0010-0000-0300-0000EF300000}" name="Column12522" dataDxfId="3881"/>
    <tableColumn id="12528" xr3:uid="{00000000-0010-0000-0300-0000F0300000}" name="Column12523" dataDxfId="3880"/>
    <tableColumn id="12529" xr3:uid="{00000000-0010-0000-0300-0000F1300000}" name="Column12524" dataDxfId="3879"/>
    <tableColumn id="12530" xr3:uid="{00000000-0010-0000-0300-0000F2300000}" name="Column12525" dataDxfId="3878"/>
    <tableColumn id="12531" xr3:uid="{00000000-0010-0000-0300-0000F3300000}" name="Column12526" dataDxfId="3877"/>
    <tableColumn id="12532" xr3:uid="{00000000-0010-0000-0300-0000F4300000}" name="Column12527" dataDxfId="3876"/>
    <tableColumn id="12533" xr3:uid="{00000000-0010-0000-0300-0000F5300000}" name="Column12528" dataDxfId="3875"/>
    <tableColumn id="12534" xr3:uid="{00000000-0010-0000-0300-0000F6300000}" name="Column12529" dataDxfId="3874"/>
    <tableColumn id="12535" xr3:uid="{00000000-0010-0000-0300-0000F7300000}" name="Column12530" dataDxfId="3873"/>
    <tableColumn id="12536" xr3:uid="{00000000-0010-0000-0300-0000F8300000}" name="Column12531" dataDxfId="3872"/>
    <tableColumn id="12537" xr3:uid="{00000000-0010-0000-0300-0000F9300000}" name="Column12532" dataDxfId="3871"/>
    <tableColumn id="12538" xr3:uid="{00000000-0010-0000-0300-0000FA300000}" name="Column12533" dataDxfId="3870"/>
    <tableColumn id="12539" xr3:uid="{00000000-0010-0000-0300-0000FB300000}" name="Column12534" dataDxfId="3869"/>
    <tableColumn id="12540" xr3:uid="{00000000-0010-0000-0300-0000FC300000}" name="Column12535" dataDxfId="3868"/>
    <tableColumn id="12541" xr3:uid="{00000000-0010-0000-0300-0000FD300000}" name="Column12536" dataDxfId="3867"/>
    <tableColumn id="12542" xr3:uid="{00000000-0010-0000-0300-0000FE300000}" name="Column12537" dataDxfId="3866"/>
    <tableColumn id="12543" xr3:uid="{00000000-0010-0000-0300-0000FF300000}" name="Column12538" dataDxfId="3865"/>
    <tableColumn id="12544" xr3:uid="{00000000-0010-0000-0300-000000310000}" name="Column12539" dataDxfId="3864"/>
    <tableColumn id="12545" xr3:uid="{00000000-0010-0000-0300-000001310000}" name="Column12540" dataDxfId="3863"/>
    <tableColumn id="12546" xr3:uid="{00000000-0010-0000-0300-000002310000}" name="Column12541" dataDxfId="3862"/>
    <tableColumn id="12547" xr3:uid="{00000000-0010-0000-0300-000003310000}" name="Column12542" dataDxfId="3861"/>
    <tableColumn id="12548" xr3:uid="{00000000-0010-0000-0300-000004310000}" name="Column12543" dataDxfId="3860"/>
    <tableColumn id="12549" xr3:uid="{00000000-0010-0000-0300-000005310000}" name="Column12544" dataDxfId="3859"/>
    <tableColumn id="12550" xr3:uid="{00000000-0010-0000-0300-000006310000}" name="Column12545" dataDxfId="3858"/>
    <tableColumn id="12551" xr3:uid="{00000000-0010-0000-0300-000007310000}" name="Column12546" dataDxfId="3857"/>
    <tableColumn id="12552" xr3:uid="{00000000-0010-0000-0300-000008310000}" name="Column12547" dataDxfId="3856"/>
    <tableColumn id="12553" xr3:uid="{00000000-0010-0000-0300-000009310000}" name="Column12548" dataDxfId="3855"/>
    <tableColumn id="12554" xr3:uid="{00000000-0010-0000-0300-00000A310000}" name="Column12549" dataDxfId="3854"/>
    <tableColumn id="12555" xr3:uid="{00000000-0010-0000-0300-00000B310000}" name="Column12550" dataDxfId="3853"/>
    <tableColumn id="12556" xr3:uid="{00000000-0010-0000-0300-00000C310000}" name="Column12551" dataDxfId="3852"/>
    <tableColumn id="12557" xr3:uid="{00000000-0010-0000-0300-00000D310000}" name="Column12552" dataDxfId="3851"/>
    <tableColumn id="12558" xr3:uid="{00000000-0010-0000-0300-00000E310000}" name="Column12553" dataDxfId="3850"/>
    <tableColumn id="12559" xr3:uid="{00000000-0010-0000-0300-00000F310000}" name="Column12554" dataDxfId="3849"/>
    <tableColumn id="12560" xr3:uid="{00000000-0010-0000-0300-000010310000}" name="Column12555" dataDxfId="3848"/>
    <tableColumn id="12561" xr3:uid="{00000000-0010-0000-0300-000011310000}" name="Column12556" dataDxfId="3847"/>
    <tableColumn id="12562" xr3:uid="{00000000-0010-0000-0300-000012310000}" name="Column12557" dataDxfId="3846"/>
    <tableColumn id="12563" xr3:uid="{00000000-0010-0000-0300-000013310000}" name="Column12558" dataDxfId="3845"/>
    <tableColumn id="12564" xr3:uid="{00000000-0010-0000-0300-000014310000}" name="Column12559" dataDxfId="3844"/>
    <tableColumn id="12565" xr3:uid="{00000000-0010-0000-0300-000015310000}" name="Column12560" dataDxfId="3843"/>
    <tableColumn id="12566" xr3:uid="{00000000-0010-0000-0300-000016310000}" name="Column12561" dataDxfId="3842"/>
    <tableColumn id="12567" xr3:uid="{00000000-0010-0000-0300-000017310000}" name="Column12562" dataDxfId="3841"/>
    <tableColumn id="12568" xr3:uid="{00000000-0010-0000-0300-000018310000}" name="Column12563" dataDxfId="3840"/>
    <tableColumn id="12569" xr3:uid="{00000000-0010-0000-0300-000019310000}" name="Column12564" dataDxfId="3839"/>
    <tableColumn id="12570" xr3:uid="{00000000-0010-0000-0300-00001A310000}" name="Column12565" dataDxfId="3838"/>
    <tableColumn id="12571" xr3:uid="{00000000-0010-0000-0300-00001B310000}" name="Column12566" dataDxfId="3837"/>
    <tableColumn id="12572" xr3:uid="{00000000-0010-0000-0300-00001C310000}" name="Column12567" dataDxfId="3836"/>
    <tableColumn id="12573" xr3:uid="{00000000-0010-0000-0300-00001D310000}" name="Column12568" dataDxfId="3835"/>
    <tableColumn id="12574" xr3:uid="{00000000-0010-0000-0300-00001E310000}" name="Column12569" dataDxfId="3834"/>
    <tableColumn id="12575" xr3:uid="{00000000-0010-0000-0300-00001F310000}" name="Column12570" dataDxfId="3833"/>
    <tableColumn id="12576" xr3:uid="{00000000-0010-0000-0300-000020310000}" name="Column12571" dataDxfId="3832"/>
    <tableColumn id="12577" xr3:uid="{00000000-0010-0000-0300-000021310000}" name="Column12572" dataDxfId="3831"/>
    <tableColumn id="12578" xr3:uid="{00000000-0010-0000-0300-000022310000}" name="Column12573" dataDxfId="3830"/>
    <tableColumn id="12579" xr3:uid="{00000000-0010-0000-0300-000023310000}" name="Column12574" dataDxfId="3829"/>
    <tableColumn id="12580" xr3:uid="{00000000-0010-0000-0300-000024310000}" name="Column12575" dataDxfId="3828"/>
    <tableColumn id="12581" xr3:uid="{00000000-0010-0000-0300-000025310000}" name="Column12576" dataDxfId="3827"/>
    <tableColumn id="12582" xr3:uid="{00000000-0010-0000-0300-000026310000}" name="Column12577" dataDxfId="3826"/>
    <tableColumn id="12583" xr3:uid="{00000000-0010-0000-0300-000027310000}" name="Column12578" dataDxfId="3825"/>
    <tableColumn id="12584" xr3:uid="{00000000-0010-0000-0300-000028310000}" name="Column12579" dataDxfId="3824"/>
    <tableColumn id="12585" xr3:uid="{00000000-0010-0000-0300-000029310000}" name="Column12580" dataDxfId="3823"/>
    <tableColumn id="12586" xr3:uid="{00000000-0010-0000-0300-00002A310000}" name="Column12581" dataDxfId="3822"/>
    <tableColumn id="12587" xr3:uid="{00000000-0010-0000-0300-00002B310000}" name="Column12582" dataDxfId="3821"/>
    <tableColumn id="12588" xr3:uid="{00000000-0010-0000-0300-00002C310000}" name="Column12583" dataDxfId="3820"/>
    <tableColumn id="12589" xr3:uid="{00000000-0010-0000-0300-00002D310000}" name="Column12584" dataDxfId="3819"/>
    <tableColumn id="12590" xr3:uid="{00000000-0010-0000-0300-00002E310000}" name="Column12585" dataDxfId="3818"/>
    <tableColumn id="12591" xr3:uid="{00000000-0010-0000-0300-00002F310000}" name="Column12586" dataDxfId="3817"/>
    <tableColumn id="12592" xr3:uid="{00000000-0010-0000-0300-000030310000}" name="Column12587" dataDxfId="3816"/>
    <tableColumn id="12593" xr3:uid="{00000000-0010-0000-0300-000031310000}" name="Column12588" dataDxfId="3815"/>
    <tableColumn id="12594" xr3:uid="{00000000-0010-0000-0300-000032310000}" name="Column12589" dataDxfId="3814"/>
    <tableColumn id="12595" xr3:uid="{00000000-0010-0000-0300-000033310000}" name="Column12590" dataDxfId="3813"/>
    <tableColumn id="12596" xr3:uid="{00000000-0010-0000-0300-000034310000}" name="Column12591" dataDxfId="3812"/>
    <tableColumn id="12597" xr3:uid="{00000000-0010-0000-0300-000035310000}" name="Column12592" dataDxfId="3811"/>
    <tableColumn id="12598" xr3:uid="{00000000-0010-0000-0300-000036310000}" name="Column12593" dataDxfId="3810"/>
    <tableColumn id="12599" xr3:uid="{00000000-0010-0000-0300-000037310000}" name="Column12594" dataDxfId="3809"/>
    <tableColumn id="12600" xr3:uid="{00000000-0010-0000-0300-000038310000}" name="Column12595" dataDxfId="3808"/>
    <tableColumn id="12601" xr3:uid="{00000000-0010-0000-0300-000039310000}" name="Column12596" dataDxfId="3807"/>
    <tableColumn id="12602" xr3:uid="{00000000-0010-0000-0300-00003A310000}" name="Column12597" dataDxfId="3806"/>
    <tableColumn id="12603" xr3:uid="{00000000-0010-0000-0300-00003B310000}" name="Column12598" dataDxfId="3805"/>
    <tableColumn id="12604" xr3:uid="{00000000-0010-0000-0300-00003C310000}" name="Column12599" dataDxfId="3804"/>
    <tableColumn id="12605" xr3:uid="{00000000-0010-0000-0300-00003D310000}" name="Column12600" dataDxfId="3803"/>
    <tableColumn id="12606" xr3:uid="{00000000-0010-0000-0300-00003E310000}" name="Column12601" dataDxfId="3802"/>
    <tableColumn id="12607" xr3:uid="{00000000-0010-0000-0300-00003F310000}" name="Column12602" dataDxfId="3801"/>
    <tableColumn id="12608" xr3:uid="{00000000-0010-0000-0300-000040310000}" name="Column12603" dataDxfId="3800"/>
    <tableColumn id="12609" xr3:uid="{00000000-0010-0000-0300-000041310000}" name="Column12604" dataDxfId="3799"/>
    <tableColumn id="12610" xr3:uid="{00000000-0010-0000-0300-000042310000}" name="Column12605" dataDxfId="3798"/>
    <tableColumn id="12611" xr3:uid="{00000000-0010-0000-0300-000043310000}" name="Column12606" dataDxfId="3797"/>
    <tableColumn id="12612" xr3:uid="{00000000-0010-0000-0300-000044310000}" name="Column12607" dataDxfId="3796"/>
    <tableColumn id="12613" xr3:uid="{00000000-0010-0000-0300-000045310000}" name="Column12608" dataDxfId="3795"/>
    <tableColumn id="12614" xr3:uid="{00000000-0010-0000-0300-000046310000}" name="Column12609" dataDxfId="3794"/>
    <tableColumn id="12615" xr3:uid="{00000000-0010-0000-0300-000047310000}" name="Column12610" dataDxfId="3793"/>
    <tableColumn id="12616" xr3:uid="{00000000-0010-0000-0300-000048310000}" name="Column12611" dataDxfId="3792"/>
    <tableColumn id="12617" xr3:uid="{00000000-0010-0000-0300-000049310000}" name="Column12612" dataDxfId="3791"/>
    <tableColumn id="12618" xr3:uid="{00000000-0010-0000-0300-00004A310000}" name="Column12613" dataDxfId="3790"/>
    <tableColumn id="12619" xr3:uid="{00000000-0010-0000-0300-00004B310000}" name="Column12614" dataDxfId="3789"/>
    <tableColumn id="12620" xr3:uid="{00000000-0010-0000-0300-00004C310000}" name="Column12615" dataDxfId="3788"/>
    <tableColumn id="12621" xr3:uid="{00000000-0010-0000-0300-00004D310000}" name="Column12616" dataDxfId="3787"/>
    <tableColumn id="12622" xr3:uid="{00000000-0010-0000-0300-00004E310000}" name="Column12617" dataDxfId="3786"/>
    <tableColumn id="12623" xr3:uid="{00000000-0010-0000-0300-00004F310000}" name="Column12618" dataDxfId="3785"/>
    <tableColumn id="12624" xr3:uid="{00000000-0010-0000-0300-000050310000}" name="Column12619" dataDxfId="3784"/>
    <tableColumn id="12625" xr3:uid="{00000000-0010-0000-0300-000051310000}" name="Column12620" dataDxfId="3783"/>
    <tableColumn id="12626" xr3:uid="{00000000-0010-0000-0300-000052310000}" name="Column12621" dataDxfId="3782"/>
    <tableColumn id="12627" xr3:uid="{00000000-0010-0000-0300-000053310000}" name="Column12622" dataDxfId="3781"/>
    <tableColumn id="12628" xr3:uid="{00000000-0010-0000-0300-000054310000}" name="Column12623" dataDxfId="3780"/>
    <tableColumn id="12629" xr3:uid="{00000000-0010-0000-0300-000055310000}" name="Column12624" dataDxfId="3779"/>
    <tableColumn id="12630" xr3:uid="{00000000-0010-0000-0300-000056310000}" name="Column12625" dataDxfId="3778"/>
    <tableColumn id="12631" xr3:uid="{00000000-0010-0000-0300-000057310000}" name="Column12626" dataDxfId="3777"/>
    <tableColumn id="12632" xr3:uid="{00000000-0010-0000-0300-000058310000}" name="Column12627" dataDxfId="3776"/>
    <tableColumn id="12633" xr3:uid="{00000000-0010-0000-0300-000059310000}" name="Column12628" dataDxfId="3775"/>
    <tableColumn id="12634" xr3:uid="{00000000-0010-0000-0300-00005A310000}" name="Column12629" dataDxfId="3774"/>
    <tableColumn id="12635" xr3:uid="{00000000-0010-0000-0300-00005B310000}" name="Column12630" dataDxfId="3773"/>
    <tableColumn id="12636" xr3:uid="{00000000-0010-0000-0300-00005C310000}" name="Column12631" dataDxfId="3772"/>
    <tableColumn id="12637" xr3:uid="{00000000-0010-0000-0300-00005D310000}" name="Column12632" dataDxfId="3771"/>
    <tableColumn id="12638" xr3:uid="{00000000-0010-0000-0300-00005E310000}" name="Column12633" dataDxfId="3770"/>
    <tableColumn id="12639" xr3:uid="{00000000-0010-0000-0300-00005F310000}" name="Column12634" dataDxfId="3769"/>
    <tableColumn id="12640" xr3:uid="{00000000-0010-0000-0300-000060310000}" name="Column12635" dataDxfId="3768"/>
    <tableColumn id="12641" xr3:uid="{00000000-0010-0000-0300-000061310000}" name="Column12636" dataDxfId="3767"/>
    <tableColumn id="12642" xr3:uid="{00000000-0010-0000-0300-000062310000}" name="Column12637" dataDxfId="3766"/>
    <tableColumn id="12643" xr3:uid="{00000000-0010-0000-0300-000063310000}" name="Column12638" dataDxfId="3765"/>
    <tableColumn id="12644" xr3:uid="{00000000-0010-0000-0300-000064310000}" name="Column12639" dataDxfId="3764"/>
    <tableColumn id="12645" xr3:uid="{00000000-0010-0000-0300-000065310000}" name="Column12640" dataDxfId="3763"/>
    <tableColumn id="12646" xr3:uid="{00000000-0010-0000-0300-000066310000}" name="Column12641" dataDxfId="3762"/>
    <tableColumn id="12647" xr3:uid="{00000000-0010-0000-0300-000067310000}" name="Column12642" dataDxfId="3761"/>
    <tableColumn id="12648" xr3:uid="{00000000-0010-0000-0300-000068310000}" name="Column12643" dataDxfId="3760"/>
    <tableColumn id="12649" xr3:uid="{00000000-0010-0000-0300-000069310000}" name="Column12644" dataDxfId="3759"/>
    <tableColumn id="12650" xr3:uid="{00000000-0010-0000-0300-00006A310000}" name="Column12645" dataDxfId="3758"/>
    <tableColumn id="12651" xr3:uid="{00000000-0010-0000-0300-00006B310000}" name="Column12646" dataDxfId="3757"/>
    <tableColumn id="12652" xr3:uid="{00000000-0010-0000-0300-00006C310000}" name="Column12647" dataDxfId="3756"/>
    <tableColumn id="12653" xr3:uid="{00000000-0010-0000-0300-00006D310000}" name="Column12648" dataDxfId="3755"/>
    <tableColumn id="12654" xr3:uid="{00000000-0010-0000-0300-00006E310000}" name="Column12649" dataDxfId="3754"/>
    <tableColumn id="12655" xr3:uid="{00000000-0010-0000-0300-00006F310000}" name="Column12650" dataDxfId="3753"/>
    <tableColumn id="12656" xr3:uid="{00000000-0010-0000-0300-000070310000}" name="Column12651" dataDxfId="3752"/>
    <tableColumn id="12657" xr3:uid="{00000000-0010-0000-0300-000071310000}" name="Column12652" dataDxfId="3751"/>
    <tableColumn id="12658" xr3:uid="{00000000-0010-0000-0300-000072310000}" name="Column12653" dataDxfId="3750"/>
    <tableColumn id="12659" xr3:uid="{00000000-0010-0000-0300-000073310000}" name="Column12654" dataDxfId="3749"/>
    <tableColumn id="12660" xr3:uid="{00000000-0010-0000-0300-000074310000}" name="Column12655" dataDxfId="3748"/>
    <tableColumn id="12661" xr3:uid="{00000000-0010-0000-0300-000075310000}" name="Column12656" dataDxfId="3747"/>
    <tableColumn id="12662" xr3:uid="{00000000-0010-0000-0300-000076310000}" name="Column12657" dataDxfId="3746"/>
    <tableColumn id="12663" xr3:uid="{00000000-0010-0000-0300-000077310000}" name="Column12658" dataDxfId="3745"/>
    <tableColumn id="12664" xr3:uid="{00000000-0010-0000-0300-000078310000}" name="Column12659" dataDxfId="3744"/>
    <tableColumn id="12665" xr3:uid="{00000000-0010-0000-0300-000079310000}" name="Column12660" dataDxfId="3743"/>
    <tableColumn id="12666" xr3:uid="{00000000-0010-0000-0300-00007A310000}" name="Column12661" dataDxfId="3742"/>
    <tableColumn id="12667" xr3:uid="{00000000-0010-0000-0300-00007B310000}" name="Column12662" dataDxfId="3741"/>
    <tableColumn id="12668" xr3:uid="{00000000-0010-0000-0300-00007C310000}" name="Column12663" dataDxfId="3740"/>
    <tableColumn id="12669" xr3:uid="{00000000-0010-0000-0300-00007D310000}" name="Column12664" dataDxfId="3739"/>
    <tableColumn id="12670" xr3:uid="{00000000-0010-0000-0300-00007E310000}" name="Column12665" dataDxfId="3738"/>
    <tableColumn id="12671" xr3:uid="{00000000-0010-0000-0300-00007F310000}" name="Column12666" dataDxfId="3737"/>
    <tableColumn id="12672" xr3:uid="{00000000-0010-0000-0300-000080310000}" name="Column12667" dataDxfId="3736"/>
    <tableColumn id="12673" xr3:uid="{00000000-0010-0000-0300-000081310000}" name="Column12668" dataDxfId="3735"/>
    <tableColumn id="12674" xr3:uid="{00000000-0010-0000-0300-000082310000}" name="Column12669" dataDxfId="3734"/>
    <tableColumn id="12675" xr3:uid="{00000000-0010-0000-0300-000083310000}" name="Column12670" dataDxfId="3733"/>
    <tableColumn id="12676" xr3:uid="{00000000-0010-0000-0300-000084310000}" name="Column12671" dataDxfId="3732"/>
    <tableColumn id="12677" xr3:uid="{00000000-0010-0000-0300-000085310000}" name="Column12672" dataDxfId="3731"/>
    <tableColumn id="12678" xr3:uid="{00000000-0010-0000-0300-000086310000}" name="Column12673" dataDxfId="3730"/>
    <tableColumn id="12679" xr3:uid="{00000000-0010-0000-0300-000087310000}" name="Column12674" dataDxfId="3729"/>
    <tableColumn id="12680" xr3:uid="{00000000-0010-0000-0300-000088310000}" name="Column12675" dataDxfId="3728"/>
    <tableColumn id="12681" xr3:uid="{00000000-0010-0000-0300-000089310000}" name="Column12676" dataDxfId="3727"/>
    <tableColumn id="12682" xr3:uid="{00000000-0010-0000-0300-00008A310000}" name="Column12677" dataDxfId="3726"/>
    <tableColumn id="12683" xr3:uid="{00000000-0010-0000-0300-00008B310000}" name="Column12678" dataDxfId="3725"/>
    <tableColumn id="12684" xr3:uid="{00000000-0010-0000-0300-00008C310000}" name="Column12679" dataDxfId="3724"/>
    <tableColumn id="12685" xr3:uid="{00000000-0010-0000-0300-00008D310000}" name="Column12680" dataDxfId="3723"/>
    <tableColumn id="12686" xr3:uid="{00000000-0010-0000-0300-00008E310000}" name="Column12681" dataDxfId="3722"/>
    <tableColumn id="12687" xr3:uid="{00000000-0010-0000-0300-00008F310000}" name="Column12682" dataDxfId="3721"/>
    <tableColumn id="12688" xr3:uid="{00000000-0010-0000-0300-000090310000}" name="Column12683" dataDxfId="3720"/>
    <tableColumn id="12689" xr3:uid="{00000000-0010-0000-0300-000091310000}" name="Column12684" dataDxfId="3719"/>
    <tableColumn id="12690" xr3:uid="{00000000-0010-0000-0300-000092310000}" name="Column12685" dataDxfId="3718"/>
    <tableColumn id="12691" xr3:uid="{00000000-0010-0000-0300-000093310000}" name="Column12686" dataDxfId="3717"/>
    <tableColumn id="12692" xr3:uid="{00000000-0010-0000-0300-000094310000}" name="Column12687" dataDxfId="3716"/>
    <tableColumn id="12693" xr3:uid="{00000000-0010-0000-0300-000095310000}" name="Column12688" dataDxfId="3715"/>
    <tableColumn id="12694" xr3:uid="{00000000-0010-0000-0300-000096310000}" name="Column12689" dataDxfId="3714"/>
    <tableColumn id="12695" xr3:uid="{00000000-0010-0000-0300-000097310000}" name="Column12690" dataDxfId="3713"/>
    <tableColumn id="12696" xr3:uid="{00000000-0010-0000-0300-000098310000}" name="Column12691" dataDxfId="3712"/>
    <tableColumn id="12697" xr3:uid="{00000000-0010-0000-0300-000099310000}" name="Column12692" dataDxfId="3711"/>
    <tableColumn id="12698" xr3:uid="{00000000-0010-0000-0300-00009A310000}" name="Column12693" dataDxfId="3710"/>
    <tableColumn id="12699" xr3:uid="{00000000-0010-0000-0300-00009B310000}" name="Column12694" dataDxfId="3709"/>
    <tableColumn id="12700" xr3:uid="{00000000-0010-0000-0300-00009C310000}" name="Column12695" dataDxfId="3708"/>
    <tableColumn id="12701" xr3:uid="{00000000-0010-0000-0300-00009D310000}" name="Column12696" dataDxfId="3707"/>
    <tableColumn id="12702" xr3:uid="{00000000-0010-0000-0300-00009E310000}" name="Column12697" dataDxfId="3706"/>
    <tableColumn id="12703" xr3:uid="{00000000-0010-0000-0300-00009F310000}" name="Column12698" dataDxfId="3705"/>
    <tableColumn id="12704" xr3:uid="{00000000-0010-0000-0300-0000A0310000}" name="Column12699" dataDxfId="3704"/>
    <tableColumn id="12705" xr3:uid="{00000000-0010-0000-0300-0000A1310000}" name="Column12700" dataDxfId="3703"/>
    <tableColumn id="12706" xr3:uid="{00000000-0010-0000-0300-0000A2310000}" name="Column12701" dataDxfId="3702"/>
    <tableColumn id="12707" xr3:uid="{00000000-0010-0000-0300-0000A3310000}" name="Column12702" dataDxfId="3701"/>
    <tableColumn id="12708" xr3:uid="{00000000-0010-0000-0300-0000A4310000}" name="Column12703" dataDxfId="3700"/>
    <tableColumn id="12709" xr3:uid="{00000000-0010-0000-0300-0000A5310000}" name="Column12704" dataDxfId="3699"/>
    <tableColumn id="12710" xr3:uid="{00000000-0010-0000-0300-0000A6310000}" name="Column12705" dataDxfId="3698"/>
    <tableColumn id="12711" xr3:uid="{00000000-0010-0000-0300-0000A7310000}" name="Column12706" dataDxfId="3697"/>
    <tableColumn id="12712" xr3:uid="{00000000-0010-0000-0300-0000A8310000}" name="Column12707" dataDxfId="3696"/>
    <tableColumn id="12713" xr3:uid="{00000000-0010-0000-0300-0000A9310000}" name="Column12708" dataDxfId="3695"/>
    <tableColumn id="12714" xr3:uid="{00000000-0010-0000-0300-0000AA310000}" name="Column12709" dataDxfId="3694"/>
    <tableColumn id="12715" xr3:uid="{00000000-0010-0000-0300-0000AB310000}" name="Column12710" dataDxfId="3693"/>
    <tableColumn id="12716" xr3:uid="{00000000-0010-0000-0300-0000AC310000}" name="Column12711" dataDxfId="3692"/>
    <tableColumn id="12717" xr3:uid="{00000000-0010-0000-0300-0000AD310000}" name="Column12712" dataDxfId="3691"/>
    <tableColumn id="12718" xr3:uid="{00000000-0010-0000-0300-0000AE310000}" name="Column12713" dataDxfId="3690"/>
    <tableColumn id="12719" xr3:uid="{00000000-0010-0000-0300-0000AF310000}" name="Column12714" dataDxfId="3689"/>
    <tableColumn id="12720" xr3:uid="{00000000-0010-0000-0300-0000B0310000}" name="Column12715" dataDxfId="3688"/>
    <tableColumn id="12721" xr3:uid="{00000000-0010-0000-0300-0000B1310000}" name="Column12716" dataDxfId="3687"/>
    <tableColumn id="12722" xr3:uid="{00000000-0010-0000-0300-0000B2310000}" name="Column12717" dataDxfId="3686"/>
    <tableColumn id="12723" xr3:uid="{00000000-0010-0000-0300-0000B3310000}" name="Column12718" dataDxfId="3685"/>
    <tableColumn id="12724" xr3:uid="{00000000-0010-0000-0300-0000B4310000}" name="Column12719" dataDxfId="3684"/>
    <tableColumn id="12725" xr3:uid="{00000000-0010-0000-0300-0000B5310000}" name="Column12720" dataDxfId="3683"/>
    <tableColumn id="12726" xr3:uid="{00000000-0010-0000-0300-0000B6310000}" name="Column12721" dataDxfId="3682"/>
    <tableColumn id="12727" xr3:uid="{00000000-0010-0000-0300-0000B7310000}" name="Column12722" dataDxfId="3681"/>
    <tableColumn id="12728" xr3:uid="{00000000-0010-0000-0300-0000B8310000}" name="Column12723" dataDxfId="3680"/>
    <tableColumn id="12729" xr3:uid="{00000000-0010-0000-0300-0000B9310000}" name="Column12724" dataDxfId="3679"/>
    <tableColumn id="12730" xr3:uid="{00000000-0010-0000-0300-0000BA310000}" name="Column12725" dataDxfId="3678"/>
    <tableColumn id="12731" xr3:uid="{00000000-0010-0000-0300-0000BB310000}" name="Column12726" dataDxfId="3677"/>
    <tableColumn id="12732" xr3:uid="{00000000-0010-0000-0300-0000BC310000}" name="Column12727" dataDxfId="3676"/>
    <tableColumn id="12733" xr3:uid="{00000000-0010-0000-0300-0000BD310000}" name="Column12728" dataDxfId="3675"/>
    <tableColumn id="12734" xr3:uid="{00000000-0010-0000-0300-0000BE310000}" name="Column12729" dataDxfId="3674"/>
    <tableColumn id="12735" xr3:uid="{00000000-0010-0000-0300-0000BF310000}" name="Column12730" dataDxfId="3673"/>
    <tableColumn id="12736" xr3:uid="{00000000-0010-0000-0300-0000C0310000}" name="Column12731" dataDxfId="3672"/>
    <tableColumn id="12737" xr3:uid="{00000000-0010-0000-0300-0000C1310000}" name="Column12732" dataDxfId="3671"/>
    <tableColumn id="12738" xr3:uid="{00000000-0010-0000-0300-0000C2310000}" name="Column12733" dataDxfId="3670"/>
    <tableColumn id="12739" xr3:uid="{00000000-0010-0000-0300-0000C3310000}" name="Column12734" dataDxfId="3669"/>
    <tableColumn id="12740" xr3:uid="{00000000-0010-0000-0300-0000C4310000}" name="Column12735" dataDxfId="3668"/>
    <tableColumn id="12741" xr3:uid="{00000000-0010-0000-0300-0000C5310000}" name="Column12736" dataDxfId="3667"/>
    <tableColumn id="12742" xr3:uid="{00000000-0010-0000-0300-0000C6310000}" name="Column12737" dataDxfId="3666"/>
    <tableColumn id="12743" xr3:uid="{00000000-0010-0000-0300-0000C7310000}" name="Column12738" dataDxfId="3665"/>
    <tableColumn id="12744" xr3:uid="{00000000-0010-0000-0300-0000C8310000}" name="Column12739" dataDxfId="3664"/>
    <tableColumn id="12745" xr3:uid="{00000000-0010-0000-0300-0000C9310000}" name="Column12740" dataDxfId="3663"/>
    <tableColumn id="12746" xr3:uid="{00000000-0010-0000-0300-0000CA310000}" name="Column12741" dataDxfId="3662"/>
    <tableColumn id="12747" xr3:uid="{00000000-0010-0000-0300-0000CB310000}" name="Column12742" dataDxfId="3661"/>
    <tableColumn id="12748" xr3:uid="{00000000-0010-0000-0300-0000CC310000}" name="Column12743" dataDxfId="3660"/>
    <tableColumn id="12749" xr3:uid="{00000000-0010-0000-0300-0000CD310000}" name="Column12744" dataDxfId="3659"/>
    <tableColumn id="12750" xr3:uid="{00000000-0010-0000-0300-0000CE310000}" name="Column12745" dataDxfId="3658"/>
    <tableColumn id="12751" xr3:uid="{00000000-0010-0000-0300-0000CF310000}" name="Column12746" dataDxfId="3657"/>
    <tableColumn id="12752" xr3:uid="{00000000-0010-0000-0300-0000D0310000}" name="Column12747" dataDxfId="3656"/>
    <tableColumn id="12753" xr3:uid="{00000000-0010-0000-0300-0000D1310000}" name="Column12748" dataDxfId="3655"/>
    <tableColumn id="12754" xr3:uid="{00000000-0010-0000-0300-0000D2310000}" name="Column12749" dataDxfId="3654"/>
    <tableColumn id="12755" xr3:uid="{00000000-0010-0000-0300-0000D3310000}" name="Column12750" dataDxfId="3653"/>
    <tableColumn id="12756" xr3:uid="{00000000-0010-0000-0300-0000D4310000}" name="Column12751" dataDxfId="3652"/>
    <tableColumn id="12757" xr3:uid="{00000000-0010-0000-0300-0000D5310000}" name="Column12752" dataDxfId="3651"/>
    <tableColumn id="12758" xr3:uid="{00000000-0010-0000-0300-0000D6310000}" name="Column12753" dataDxfId="3650"/>
    <tableColumn id="12759" xr3:uid="{00000000-0010-0000-0300-0000D7310000}" name="Column12754" dataDxfId="3649"/>
    <tableColumn id="12760" xr3:uid="{00000000-0010-0000-0300-0000D8310000}" name="Column12755" dataDxfId="3648"/>
    <tableColumn id="12761" xr3:uid="{00000000-0010-0000-0300-0000D9310000}" name="Column12756" dataDxfId="3647"/>
    <tableColumn id="12762" xr3:uid="{00000000-0010-0000-0300-0000DA310000}" name="Column12757" dataDxfId="3646"/>
    <tableColumn id="12763" xr3:uid="{00000000-0010-0000-0300-0000DB310000}" name="Column12758" dataDxfId="3645"/>
    <tableColumn id="12764" xr3:uid="{00000000-0010-0000-0300-0000DC310000}" name="Column12759" dataDxfId="3644"/>
    <tableColumn id="12765" xr3:uid="{00000000-0010-0000-0300-0000DD310000}" name="Column12760" dataDxfId="3643"/>
    <tableColumn id="12766" xr3:uid="{00000000-0010-0000-0300-0000DE310000}" name="Column12761" dataDxfId="3642"/>
    <tableColumn id="12767" xr3:uid="{00000000-0010-0000-0300-0000DF310000}" name="Column12762" dataDxfId="3641"/>
    <tableColumn id="12768" xr3:uid="{00000000-0010-0000-0300-0000E0310000}" name="Column12763" dataDxfId="3640"/>
    <tableColumn id="12769" xr3:uid="{00000000-0010-0000-0300-0000E1310000}" name="Column12764" dataDxfId="3639"/>
    <tableColumn id="12770" xr3:uid="{00000000-0010-0000-0300-0000E2310000}" name="Column12765" dataDxfId="3638"/>
    <tableColumn id="12771" xr3:uid="{00000000-0010-0000-0300-0000E3310000}" name="Column12766" dataDxfId="3637"/>
    <tableColumn id="12772" xr3:uid="{00000000-0010-0000-0300-0000E4310000}" name="Column12767" dataDxfId="3636"/>
    <tableColumn id="12773" xr3:uid="{00000000-0010-0000-0300-0000E5310000}" name="Column12768" dataDxfId="3635"/>
    <tableColumn id="12774" xr3:uid="{00000000-0010-0000-0300-0000E6310000}" name="Column12769" dataDxfId="3634"/>
    <tableColumn id="12775" xr3:uid="{00000000-0010-0000-0300-0000E7310000}" name="Column12770" dataDxfId="3633"/>
    <tableColumn id="12776" xr3:uid="{00000000-0010-0000-0300-0000E8310000}" name="Column12771" dataDxfId="3632"/>
    <tableColumn id="12777" xr3:uid="{00000000-0010-0000-0300-0000E9310000}" name="Column12772" dataDxfId="3631"/>
    <tableColumn id="12778" xr3:uid="{00000000-0010-0000-0300-0000EA310000}" name="Column12773" dataDxfId="3630"/>
    <tableColumn id="12779" xr3:uid="{00000000-0010-0000-0300-0000EB310000}" name="Column12774" dataDxfId="3629"/>
    <tableColumn id="12780" xr3:uid="{00000000-0010-0000-0300-0000EC310000}" name="Column12775" dataDxfId="3628"/>
    <tableColumn id="12781" xr3:uid="{00000000-0010-0000-0300-0000ED310000}" name="Column12776" dataDxfId="3627"/>
    <tableColumn id="12782" xr3:uid="{00000000-0010-0000-0300-0000EE310000}" name="Column12777" dataDxfId="3626"/>
    <tableColumn id="12783" xr3:uid="{00000000-0010-0000-0300-0000EF310000}" name="Column12778" dataDxfId="3625"/>
    <tableColumn id="12784" xr3:uid="{00000000-0010-0000-0300-0000F0310000}" name="Column12779" dataDxfId="3624"/>
    <tableColumn id="12785" xr3:uid="{00000000-0010-0000-0300-0000F1310000}" name="Column12780" dataDxfId="3623"/>
    <tableColumn id="12786" xr3:uid="{00000000-0010-0000-0300-0000F2310000}" name="Column12781" dataDxfId="3622"/>
    <tableColumn id="12787" xr3:uid="{00000000-0010-0000-0300-0000F3310000}" name="Column12782" dataDxfId="3621"/>
    <tableColumn id="12788" xr3:uid="{00000000-0010-0000-0300-0000F4310000}" name="Column12783" dataDxfId="3620"/>
    <tableColumn id="12789" xr3:uid="{00000000-0010-0000-0300-0000F5310000}" name="Column12784" dataDxfId="3619"/>
    <tableColumn id="12790" xr3:uid="{00000000-0010-0000-0300-0000F6310000}" name="Column12785" dataDxfId="3618"/>
    <tableColumn id="12791" xr3:uid="{00000000-0010-0000-0300-0000F7310000}" name="Column12786" dataDxfId="3617"/>
    <tableColumn id="12792" xr3:uid="{00000000-0010-0000-0300-0000F8310000}" name="Column12787" dataDxfId="3616"/>
    <tableColumn id="12793" xr3:uid="{00000000-0010-0000-0300-0000F9310000}" name="Column12788" dataDxfId="3615"/>
    <tableColumn id="12794" xr3:uid="{00000000-0010-0000-0300-0000FA310000}" name="Column12789" dataDxfId="3614"/>
    <tableColumn id="12795" xr3:uid="{00000000-0010-0000-0300-0000FB310000}" name="Column12790" dataDxfId="3613"/>
    <tableColumn id="12796" xr3:uid="{00000000-0010-0000-0300-0000FC310000}" name="Column12791" dataDxfId="3612"/>
    <tableColumn id="12797" xr3:uid="{00000000-0010-0000-0300-0000FD310000}" name="Column12792" dataDxfId="3611"/>
    <tableColumn id="12798" xr3:uid="{00000000-0010-0000-0300-0000FE310000}" name="Column12793" dataDxfId="3610"/>
    <tableColumn id="12799" xr3:uid="{00000000-0010-0000-0300-0000FF310000}" name="Column12794" dataDxfId="3609"/>
    <tableColumn id="12800" xr3:uid="{00000000-0010-0000-0300-000000320000}" name="Column12795" dataDxfId="3608"/>
    <tableColumn id="12801" xr3:uid="{00000000-0010-0000-0300-000001320000}" name="Column12796" dataDxfId="3607"/>
    <tableColumn id="12802" xr3:uid="{00000000-0010-0000-0300-000002320000}" name="Column12797" dataDxfId="3606"/>
    <tableColumn id="12803" xr3:uid="{00000000-0010-0000-0300-000003320000}" name="Column12798" dataDxfId="3605"/>
    <tableColumn id="12804" xr3:uid="{00000000-0010-0000-0300-000004320000}" name="Column12799" dataDxfId="3604"/>
    <tableColumn id="12805" xr3:uid="{00000000-0010-0000-0300-000005320000}" name="Column12800" dataDxfId="3603"/>
    <tableColumn id="12806" xr3:uid="{00000000-0010-0000-0300-000006320000}" name="Column12801" dataDxfId="3602"/>
    <tableColumn id="12807" xr3:uid="{00000000-0010-0000-0300-000007320000}" name="Column12802" dataDxfId="3601"/>
    <tableColumn id="12808" xr3:uid="{00000000-0010-0000-0300-000008320000}" name="Column12803" dataDxfId="3600"/>
    <tableColumn id="12809" xr3:uid="{00000000-0010-0000-0300-000009320000}" name="Column12804" dataDxfId="3599"/>
    <tableColumn id="12810" xr3:uid="{00000000-0010-0000-0300-00000A320000}" name="Column12805" dataDxfId="3598"/>
    <tableColumn id="12811" xr3:uid="{00000000-0010-0000-0300-00000B320000}" name="Column12806" dataDxfId="3597"/>
    <tableColumn id="12812" xr3:uid="{00000000-0010-0000-0300-00000C320000}" name="Column12807" dataDxfId="3596"/>
    <tableColumn id="12813" xr3:uid="{00000000-0010-0000-0300-00000D320000}" name="Column12808" dataDxfId="3595"/>
    <tableColumn id="12814" xr3:uid="{00000000-0010-0000-0300-00000E320000}" name="Column12809" dataDxfId="3594"/>
    <tableColumn id="12815" xr3:uid="{00000000-0010-0000-0300-00000F320000}" name="Column12810" dataDxfId="3593"/>
    <tableColumn id="12816" xr3:uid="{00000000-0010-0000-0300-000010320000}" name="Column12811" dataDxfId="3592"/>
    <tableColumn id="12817" xr3:uid="{00000000-0010-0000-0300-000011320000}" name="Column12812" dataDxfId="3591"/>
    <tableColumn id="12818" xr3:uid="{00000000-0010-0000-0300-000012320000}" name="Column12813" dataDxfId="3590"/>
    <tableColumn id="12819" xr3:uid="{00000000-0010-0000-0300-000013320000}" name="Column12814" dataDxfId="3589"/>
    <tableColumn id="12820" xr3:uid="{00000000-0010-0000-0300-000014320000}" name="Column12815" dataDxfId="3588"/>
    <tableColumn id="12821" xr3:uid="{00000000-0010-0000-0300-000015320000}" name="Column12816" dataDxfId="3587"/>
    <tableColumn id="12822" xr3:uid="{00000000-0010-0000-0300-000016320000}" name="Column12817" dataDxfId="3586"/>
    <tableColumn id="12823" xr3:uid="{00000000-0010-0000-0300-000017320000}" name="Column12818" dataDxfId="3585"/>
    <tableColumn id="12824" xr3:uid="{00000000-0010-0000-0300-000018320000}" name="Column12819" dataDxfId="3584"/>
    <tableColumn id="12825" xr3:uid="{00000000-0010-0000-0300-000019320000}" name="Column12820" dataDxfId="3583"/>
    <tableColumn id="12826" xr3:uid="{00000000-0010-0000-0300-00001A320000}" name="Column12821" dataDxfId="3582"/>
    <tableColumn id="12827" xr3:uid="{00000000-0010-0000-0300-00001B320000}" name="Column12822" dataDxfId="3581"/>
    <tableColumn id="12828" xr3:uid="{00000000-0010-0000-0300-00001C320000}" name="Column12823" dataDxfId="3580"/>
    <tableColumn id="12829" xr3:uid="{00000000-0010-0000-0300-00001D320000}" name="Column12824" dataDxfId="3579"/>
    <tableColumn id="12830" xr3:uid="{00000000-0010-0000-0300-00001E320000}" name="Column12825" dataDxfId="3578"/>
    <tableColumn id="12831" xr3:uid="{00000000-0010-0000-0300-00001F320000}" name="Column12826" dataDxfId="3577"/>
    <tableColumn id="12832" xr3:uid="{00000000-0010-0000-0300-000020320000}" name="Column12827" dataDxfId="3576"/>
    <tableColumn id="12833" xr3:uid="{00000000-0010-0000-0300-000021320000}" name="Column12828" dataDxfId="3575"/>
    <tableColumn id="12834" xr3:uid="{00000000-0010-0000-0300-000022320000}" name="Column12829" dataDxfId="3574"/>
    <tableColumn id="12835" xr3:uid="{00000000-0010-0000-0300-000023320000}" name="Column12830" dataDxfId="3573"/>
    <tableColumn id="12836" xr3:uid="{00000000-0010-0000-0300-000024320000}" name="Column12831" dataDxfId="3572"/>
    <tableColumn id="12837" xr3:uid="{00000000-0010-0000-0300-000025320000}" name="Column12832" dataDxfId="3571"/>
    <tableColumn id="12838" xr3:uid="{00000000-0010-0000-0300-000026320000}" name="Column12833" dataDxfId="3570"/>
    <tableColumn id="12839" xr3:uid="{00000000-0010-0000-0300-000027320000}" name="Column12834" dataDxfId="3569"/>
    <tableColumn id="12840" xr3:uid="{00000000-0010-0000-0300-000028320000}" name="Column12835" dataDxfId="3568"/>
    <tableColumn id="12841" xr3:uid="{00000000-0010-0000-0300-000029320000}" name="Column12836" dataDxfId="3567"/>
    <tableColumn id="12842" xr3:uid="{00000000-0010-0000-0300-00002A320000}" name="Column12837" dataDxfId="3566"/>
    <tableColumn id="12843" xr3:uid="{00000000-0010-0000-0300-00002B320000}" name="Column12838" dataDxfId="3565"/>
    <tableColumn id="12844" xr3:uid="{00000000-0010-0000-0300-00002C320000}" name="Column12839" dataDxfId="3564"/>
    <tableColumn id="12845" xr3:uid="{00000000-0010-0000-0300-00002D320000}" name="Column12840" dataDxfId="3563"/>
    <tableColumn id="12846" xr3:uid="{00000000-0010-0000-0300-00002E320000}" name="Column12841" dataDxfId="3562"/>
    <tableColumn id="12847" xr3:uid="{00000000-0010-0000-0300-00002F320000}" name="Column12842" dataDxfId="3561"/>
    <tableColumn id="12848" xr3:uid="{00000000-0010-0000-0300-000030320000}" name="Column12843" dataDxfId="3560"/>
    <tableColumn id="12849" xr3:uid="{00000000-0010-0000-0300-000031320000}" name="Column12844" dataDxfId="3559"/>
    <tableColumn id="12850" xr3:uid="{00000000-0010-0000-0300-000032320000}" name="Column12845" dataDxfId="3558"/>
    <tableColumn id="12851" xr3:uid="{00000000-0010-0000-0300-000033320000}" name="Column12846" dataDxfId="3557"/>
    <tableColumn id="12852" xr3:uid="{00000000-0010-0000-0300-000034320000}" name="Column12847" dataDxfId="3556"/>
    <tableColumn id="12853" xr3:uid="{00000000-0010-0000-0300-000035320000}" name="Column12848" dataDxfId="3555"/>
    <tableColumn id="12854" xr3:uid="{00000000-0010-0000-0300-000036320000}" name="Column12849" dataDxfId="3554"/>
    <tableColumn id="12855" xr3:uid="{00000000-0010-0000-0300-000037320000}" name="Column12850" dataDxfId="3553"/>
    <tableColumn id="12856" xr3:uid="{00000000-0010-0000-0300-000038320000}" name="Column12851" dataDxfId="3552"/>
    <tableColumn id="12857" xr3:uid="{00000000-0010-0000-0300-000039320000}" name="Column12852" dataDxfId="3551"/>
    <tableColumn id="12858" xr3:uid="{00000000-0010-0000-0300-00003A320000}" name="Column12853" dataDxfId="3550"/>
    <tableColumn id="12859" xr3:uid="{00000000-0010-0000-0300-00003B320000}" name="Column12854" dataDxfId="3549"/>
    <tableColumn id="12860" xr3:uid="{00000000-0010-0000-0300-00003C320000}" name="Column12855" dataDxfId="3548"/>
    <tableColumn id="12861" xr3:uid="{00000000-0010-0000-0300-00003D320000}" name="Column12856" dataDxfId="3547"/>
    <tableColumn id="12862" xr3:uid="{00000000-0010-0000-0300-00003E320000}" name="Column12857" dataDxfId="3546"/>
    <tableColumn id="12863" xr3:uid="{00000000-0010-0000-0300-00003F320000}" name="Column12858" dataDxfId="3545"/>
    <tableColumn id="12864" xr3:uid="{00000000-0010-0000-0300-000040320000}" name="Column12859" dataDxfId="3544"/>
    <tableColumn id="12865" xr3:uid="{00000000-0010-0000-0300-000041320000}" name="Column12860" dataDxfId="3543"/>
    <tableColumn id="12866" xr3:uid="{00000000-0010-0000-0300-000042320000}" name="Column12861" dataDxfId="3542"/>
    <tableColumn id="12867" xr3:uid="{00000000-0010-0000-0300-000043320000}" name="Column12862" dataDxfId="3541"/>
    <tableColumn id="12868" xr3:uid="{00000000-0010-0000-0300-000044320000}" name="Column12863" dataDxfId="3540"/>
    <tableColumn id="12869" xr3:uid="{00000000-0010-0000-0300-000045320000}" name="Column12864" dataDxfId="3539"/>
    <tableColumn id="12870" xr3:uid="{00000000-0010-0000-0300-000046320000}" name="Column12865" dataDxfId="3538"/>
    <tableColumn id="12871" xr3:uid="{00000000-0010-0000-0300-000047320000}" name="Column12866" dataDxfId="3537"/>
    <tableColumn id="12872" xr3:uid="{00000000-0010-0000-0300-000048320000}" name="Column12867" dataDxfId="3536"/>
    <tableColumn id="12873" xr3:uid="{00000000-0010-0000-0300-000049320000}" name="Column12868" dataDxfId="3535"/>
    <tableColumn id="12874" xr3:uid="{00000000-0010-0000-0300-00004A320000}" name="Column12869" dataDxfId="3534"/>
    <tableColumn id="12875" xr3:uid="{00000000-0010-0000-0300-00004B320000}" name="Column12870" dataDxfId="3533"/>
    <tableColumn id="12876" xr3:uid="{00000000-0010-0000-0300-00004C320000}" name="Column12871" dataDxfId="3532"/>
    <tableColumn id="12877" xr3:uid="{00000000-0010-0000-0300-00004D320000}" name="Column12872" dataDxfId="3531"/>
    <tableColumn id="12878" xr3:uid="{00000000-0010-0000-0300-00004E320000}" name="Column12873" dataDxfId="3530"/>
    <tableColumn id="12879" xr3:uid="{00000000-0010-0000-0300-00004F320000}" name="Column12874" dataDxfId="3529"/>
    <tableColumn id="12880" xr3:uid="{00000000-0010-0000-0300-000050320000}" name="Column12875" dataDxfId="3528"/>
    <tableColumn id="12881" xr3:uid="{00000000-0010-0000-0300-000051320000}" name="Column12876" dataDxfId="3527"/>
    <tableColumn id="12882" xr3:uid="{00000000-0010-0000-0300-000052320000}" name="Column12877" dataDxfId="3526"/>
    <tableColumn id="12883" xr3:uid="{00000000-0010-0000-0300-000053320000}" name="Column12878" dataDxfId="3525"/>
    <tableColumn id="12884" xr3:uid="{00000000-0010-0000-0300-000054320000}" name="Column12879" dataDxfId="3524"/>
    <tableColumn id="12885" xr3:uid="{00000000-0010-0000-0300-000055320000}" name="Column12880" dataDxfId="3523"/>
    <tableColumn id="12886" xr3:uid="{00000000-0010-0000-0300-000056320000}" name="Column12881" dataDxfId="3522"/>
    <tableColumn id="12887" xr3:uid="{00000000-0010-0000-0300-000057320000}" name="Column12882" dataDxfId="3521"/>
    <tableColumn id="12888" xr3:uid="{00000000-0010-0000-0300-000058320000}" name="Column12883" dataDxfId="3520"/>
    <tableColumn id="12889" xr3:uid="{00000000-0010-0000-0300-000059320000}" name="Column12884" dataDxfId="3519"/>
    <tableColumn id="12890" xr3:uid="{00000000-0010-0000-0300-00005A320000}" name="Column12885" dataDxfId="3518"/>
    <tableColumn id="12891" xr3:uid="{00000000-0010-0000-0300-00005B320000}" name="Column12886" dataDxfId="3517"/>
    <tableColumn id="12892" xr3:uid="{00000000-0010-0000-0300-00005C320000}" name="Column12887" dataDxfId="3516"/>
    <tableColumn id="12893" xr3:uid="{00000000-0010-0000-0300-00005D320000}" name="Column12888" dataDxfId="3515"/>
    <tableColumn id="12894" xr3:uid="{00000000-0010-0000-0300-00005E320000}" name="Column12889" dataDxfId="3514"/>
    <tableColumn id="12895" xr3:uid="{00000000-0010-0000-0300-00005F320000}" name="Column12890" dataDxfId="3513"/>
    <tableColumn id="12896" xr3:uid="{00000000-0010-0000-0300-000060320000}" name="Column12891" dataDxfId="3512"/>
    <tableColumn id="12897" xr3:uid="{00000000-0010-0000-0300-000061320000}" name="Column12892" dataDxfId="3511"/>
    <tableColumn id="12898" xr3:uid="{00000000-0010-0000-0300-000062320000}" name="Column12893" dataDxfId="3510"/>
    <tableColumn id="12899" xr3:uid="{00000000-0010-0000-0300-000063320000}" name="Column12894" dataDxfId="3509"/>
    <tableColumn id="12900" xr3:uid="{00000000-0010-0000-0300-000064320000}" name="Column12895" dataDxfId="3508"/>
    <tableColumn id="12901" xr3:uid="{00000000-0010-0000-0300-000065320000}" name="Column12896" dataDxfId="3507"/>
    <tableColumn id="12902" xr3:uid="{00000000-0010-0000-0300-000066320000}" name="Column12897" dataDxfId="3506"/>
    <tableColumn id="12903" xr3:uid="{00000000-0010-0000-0300-000067320000}" name="Column12898" dataDxfId="3505"/>
    <tableColumn id="12904" xr3:uid="{00000000-0010-0000-0300-000068320000}" name="Column12899" dataDxfId="3504"/>
    <tableColumn id="12905" xr3:uid="{00000000-0010-0000-0300-000069320000}" name="Column12900" dataDxfId="3503"/>
    <tableColumn id="12906" xr3:uid="{00000000-0010-0000-0300-00006A320000}" name="Column12901" dataDxfId="3502"/>
    <tableColumn id="12907" xr3:uid="{00000000-0010-0000-0300-00006B320000}" name="Column12902" dataDxfId="3501"/>
    <tableColumn id="12908" xr3:uid="{00000000-0010-0000-0300-00006C320000}" name="Column12903" dataDxfId="3500"/>
    <tableColumn id="12909" xr3:uid="{00000000-0010-0000-0300-00006D320000}" name="Column12904" dataDxfId="3499"/>
    <tableColumn id="12910" xr3:uid="{00000000-0010-0000-0300-00006E320000}" name="Column12905" dataDxfId="3498"/>
    <tableColumn id="12911" xr3:uid="{00000000-0010-0000-0300-00006F320000}" name="Column12906" dataDxfId="3497"/>
    <tableColumn id="12912" xr3:uid="{00000000-0010-0000-0300-000070320000}" name="Column12907" dataDxfId="3496"/>
    <tableColumn id="12913" xr3:uid="{00000000-0010-0000-0300-000071320000}" name="Column12908" dataDxfId="3495"/>
    <tableColumn id="12914" xr3:uid="{00000000-0010-0000-0300-000072320000}" name="Column12909" dataDxfId="3494"/>
    <tableColumn id="12915" xr3:uid="{00000000-0010-0000-0300-000073320000}" name="Column12910" dataDxfId="3493"/>
    <tableColumn id="12916" xr3:uid="{00000000-0010-0000-0300-000074320000}" name="Column12911" dataDxfId="3492"/>
    <tableColumn id="12917" xr3:uid="{00000000-0010-0000-0300-000075320000}" name="Column12912" dataDxfId="3491"/>
    <tableColumn id="12918" xr3:uid="{00000000-0010-0000-0300-000076320000}" name="Column12913" dataDxfId="3490"/>
    <tableColumn id="12919" xr3:uid="{00000000-0010-0000-0300-000077320000}" name="Column12914" dataDxfId="3489"/>
    <tableColumn id="12920" xr3:uid="{00000000-0010-0000-0300-000078320000}" name="Column12915" dataDxfId="3488"/>
    <tableColumn id="12921" xr3:uid="{00000000-0010-0000-0300-000079320000}" name="Column12916" dataDxfId="3487"/>
    <tableColumn id="12922" xr3:uid="{00000000-0010-0000-0300-00007A320000}" name="Column12917" dataDxfId="3486"/>
    <tableColumn id="12923" xr3:uid="{00000000-0010-0000-0300-00007B320000}" name="Column12918" dataDxfId="3485"/>
    <tableColumn id="12924" xr3:uid="{00000000-0010-0000-0300-00007C320000}" name="Column12919" dataDxfId="3484"/>
    <tableColumn id="12925" xr3:uid="{00000000-0010-0000-0300-00007D320000}" name="Column12920" dataDxfId="3483"/>
    <tableColumn id="12926" xr3:uid="{00000000-0010-0000-0300-00007E320000}" name="Column12921" dataDxfId="3482"/>
    <tableColumn id="12927" xr3:uid="{00000000-0010-0000-0300-00007F320000}" name="Column12922" dataDxfId="3481"/>
    <tableColumn id="12928" xr3:uid="{00000000-0010-0000-0300-000080320000}" name="Column12923" dataDxfId="3480"/>
    <tableColumn id="12929" xr3:uid="{00000000-0010-0000-0300-000081320000}" name="Column12924" dataDxfId="3479"/>
    <tableColumn id="12930" xr3:uid="{00000000-0010-0000-0300-000082320000}" name="Column12925" dataDxfId="3478"/>
    <tableColumn id="12931" xr3:uid="{00000000-0010-0000-0300-000083320000}" name="Column12926" dataDxfId="3477"/>
    <tableColumn id="12932" xr3:uid="{00000000-0010-0000-0300-000084320000}" name="Column12927" dataDxfId="3476"/>
    <tableColumn id="12933" xr3:uid="{00000000-0010-0000-0300-000085320000}" name="Column12928" dataDxfId="3475"/>
    <tableColumn id="12934" xr3:uid="{00000000-0010-0000-0300-000086320000}" name="Column12929" dataDxfId="3474"/>
    <tableColumn id="12935" xr3:uid="{00000000-0010-0000-0300-000087320000}" name="Column12930" dataDxfId="3473"/>
    <tableColumn id="12936" xr3:uid="{00000000-0010-0000-0300-000088320000}" name="Column12931" dataDxfId="3472"/>
    <tableColumn id="12937" xr3:uid="{00000000-0010-0000-0300-000089320000}" name="Column12932" dataDxfId="3471"/>
    <tableColumn id="12938" xr3:uid="{00000000-0010-0000-0300-00008A320000}" name="Column12933" dataDxfId="3470"/>
    <tableColumn id="12939" xr3:uid="{00000000-0010-0000-0300-00008B320000}" name="Column12934" dataDxfId="3469"/>
    <tableColumn id="12940" xr3:uid="{00000000-0010-0000-0300-00008C320000}" name="Column12935" dataDxfId="3468"/>
    <tableColumn id="12941" xr3:uid="{00000000-0010-0000-0300-00008D320000}" name="Column12936" dataDxfId="3467"/>
    <tableColumn id="12942" xr3:uid="{00000000-0010-0000-0300-00008E320000}" name="Column12937" dataDxfId="3466"/>
    <tableColumn id="12943" xr3:uid="{00000000-0010-0000-0300-00008F320000}" name="Column12938" dataDxfId="3465"/>
    <tableColumn id="12944" xr3:uid="{00000000-0010-0000-0300-000090320000}" name="Column12939" dataDxfId="3464"/>
    <tableColumn id="12945" xr3:uid="{00000000-0010-0000-0300-000091320000}" name="Column12940" dataDxfId="3463"/>
    <tableColumn id="12946" xr3:uid="{00000000-0010-0000-0300-000092320000}" name="Column12941" dataDxfId="3462"/>
    <tableColumn id="12947" xr3:uid="{00000000-0010-0000-0300-000093320000}" name="Column12942" dataDxfId="3461"/>
    <tableColumn id="12948" xr3:uid="{00000000-0010-0000-0300-000094320000}" name="Column12943" dataDxfId="3460"/>
    <tableColumn id="12949" xr3:uid="{00000000-0010-0000-0300-000095320000}" name="Column12944" dataDxfId="3459"/>
    <tableColumn id="12950" xr3:uid="{00000000-0010-0000-0300-000096320000}" name="Column12945" dataDxfId="3458"/>
    <tableColumn id="12951" xr3:uid="{00000000-0010-0000-0300-000097320000}" name="Column12946" dataDxfId="3457"/>
    <tableColumn id="12952" xr3:uid="{00000000-0010-0000-0300-000098320000}" name="Column12947" dataDxfId="3456"/>
    <tableColumn id="12953" xr3:uid="{00000000-0010-0000-0300-000099320000}" name="Column12948" dataDxfId="3455"/>
    <tableColumn id="12954" xr3:uid="{00000000-0010-0000-0300-00009A320000}" name="Column12949" dataDxfId="3454"/>
    <tableColumn id="12955" xr3:uid="{00000000-0010-0000-0300-00009B320000}" name="Column12950" dataDxfId="3453"/>
    <tableColumn id="12956" xr3:uid="{00000000-0010-0000-0300-00009C320000}" name="Column12951" dataDxfId="3452"/>
    <tableColumn id="12957" xr3:uid="{00000000-0010-0000-0300-00009D320000}" name="Column12952" dataDxfId="3451"/>
    <tableColumn id="12958" xr3:uid="{00000000-0010-0000-0300-00009E320000}" name="Column12953" dataDxfId="3450"/>
    <tableColumn id="12959" xr3:uid="{00000000-0010-0000-0300-00009F320000}" name="Column12954" dataDxfId="3449"/>
    <tableColumn id="12960" xr3:uid="{00000000-0010-0000-0300-0000A0320000}" name="Column12955" dataDxfId="3448"/>
    <tableColumn id="12961" xr3:uid="{00000000-0010-0000-0300-0000A1320000}" name="Column12956" dataDxfId="3447"/>
    <tableColumn id="12962" xr3:uid="{00000000-0010-0000-0300-0000A2320000}" name="Column12957" dataDxfId="3446"/>
    <tableColumn id="12963" xr3:uid="{00000000-0010-0000-0300-0000A3320000}" name="Column12958" dataDxfId="3445"/>
    <tableColumn id="12964" xr3:uid="{00000000-0010-0000-0300-0000A4320000}" name="Column12959" dataDxfId="3444"/>
    <tableColumn id="12965" xr3:uid="{00000000-0010-0000-0300-0000A5320000}" name="Column12960" dataDxfId="3443"/>
    <tableColumn id="12966" xr3:uid="{00000000-0010-0000-0300-0000A6320000}" name="Column12961" dataDxfId="3442"/>
    <tableColumn id="12967" xr3:uid="{00000000-0010-0000-0300-0000A7320000}" name="Column12962" dataDxfId="3441"/>
    <tableColumn id="12968" xr3:uid="{00000000-0010-0000-0300-0000A8320000}" name="Column12963" dataDxfId="3440"/>
    <tableColumn id="12969" xr3:uid="{00000000-0010-0000-0300-0000A9320000}" name="Column12964" dataDxfId="3439"/>
    <tableColumn id="12970" xr3:uid="{00000000-0010-0000-0300-0000AA320000}" name="Column12965" dataDxfId="3438"/>
    <tableColumn id="12971" xr3:uid="{00000000-0010-0000-0300-0000AB320000}" name="Column12966" dataDxfId="3437"/>
    <tableColumn id="12972" xr3:uid="{00000000-0010-0000-0300-0000AC320000}" name="Column12967" dataDxfId="3436"/>
    <tableColumn id="12973" xr3:uid="{00000000-0010-0000-0300-0000AD320000}" name="Column12968" dataDxfId="3435"/>
    <tableColumn id="12974" xr3:uid="{00000000-0010-0000-0300-0000AE320000}" name="Column12969" dataDxfId="3434"/>
    <tableColumn id="12975" xr3:uid="{00000000-0010-0000-0300-0000AF320000}" name="Column12970" dataDxfId="3433"/>
    <tableColumn id="12976" xr3:uid="{00000000-0010-0000-0300-0000B0320000}" name="Column12971" dataDxfId="3432"/>
    <tableColumn id="12977" xr3:uid="{00000000-0010-0000-0300-0000B1320000}" name="Column12972" dataDxfId="3431"/>
    <tableColumn id="12978" xr3:uid="{00000000-0010-0000-0300-0000B2320000}" name="Column12973" dataDxfId="3430"/>
    <tableColumn id="12979" xr3:uid="{00000000-0010-0000-0300-0000B3320000}" name="Column12974" dataDxfId="3429"/>
    <tableColumn id="12980" xr3:uid="{00000000-0010-0000-0300-0000B4320000}" name="Column12975" dataDxfId="3428"/>
    <tableColumn id="12981" xr3:uid="{00000000-0010-0000-0300-0000B5320000}" name="Column12976" dataDxfId="3427"/>
    <tableColumn id="12982" xr3:uid="{00000000-0010-0000-0300-0000B6320000}" name="Column12977" dataDxfId="3426"/>
    <tableColumn id="12983" xr3:uid="{00000000-0010-0000-0300-0000B7320000}" name="Column12978" dataDxfId="3425"/>
    <tableColumn id="12984" xr3:uid="{00000000-0010-0000-0300-0000B8320000}" name="Column12979" dataDxfId="3424"/>
    <tableColumn id="12985" xr3:uid="{00000000-0010-0000-0300-0000B9320000}" name="Column12980" dataDxfId="3423"/>
    <tableColumn id="12986" xr3:uid="{00000000-0010-0000-0300-0000BA320000}" name="Column12981" dataDxfId="3422"/>
    <tableColumn id="12987" xr3:uid="{00000000-0010-0000-0300-0000BB320000}" name="Column12982" dataDxfId="3421"/>
    <tableColumn id="12988" xr3:uid="{00000000-0010-0000-0300-0000BC320000}" name="Column12983" dataDxfId="3420"/>
    <tableColumn id="12989" xr3:uid="{00000000-0010-0000-0300-0000BD320000}" name="Column12984" dataDxfId="3419"/>
    <tableColumn id="12990" xr3:uid="{00000000-0010-0000-0300-0000BE320000}" name="Column12985" dataDxfId="3418"/>
    <tableColumn id="12991" xr3:uid="{00000000-0010-0000-0300-0000BF320000}" name="Column12986" dataDxfId="3417"/>
    <tableColumn id="12992" xr3:uid="{00000000-0010-0000-0300-0000C0320000}" name="Column12987" dataDxfId="3416"/>
    <tableColumn id="12993" xr3:uid="{00000000-0010-0000-0300-0000C1320000}" name="Column12988" dataDxfId="3415"/>
    <tableColumn id="12994" xr3:uid="{00000000-0010-0000-0300-0000C2320000}" name="Column12989" dataDxfId="3414"/>
    <tableColumn id="12995" xr3:uid="{00000000-0010-0000-0300-0000C3320000}" name="Column12990" dataDxfId="3413"/>
    <tableColumn id="12996" xr3:uid="{00000000-0010-0000-0300-0000C4320000}" name="Column12991" dataDxfId="3412"/>
    <tableColumn id="12997" xr3:uid="{00000000-0010-0000-0300-0000C5320000}" name="Column12992" dataDxfId="3411"/>
    <tableColumn id="12998" xr3:uid="{00000000-0010-0000-0300-0000C6320000}" name="Column12993" dataDxfId="3410"/>
    <tableColumn id="12999" xr3:uid="{00000000-0010-0000-0300-0000C7320000}" name="Column12994" dataDxfId="3409"/>
    <tableColumn id="13000" xr3:uid="{00000000-0010-0000-0300-0000C8320000}" name="Column12995" dataDxfId="3408"/>
    <tableColumn id="13001" xr3:uid="{00000000-0010-0000-0300-0000C9320000}" name="Column12996" dataDxfId="3407"/>
    <tableColumn id="13002" xr3:uid="{00000000-0010-0000-0300-0000CA320000}" name="Column12997" dataDxfId="3406"/>
    <tableColumn id="13003" xr3:uid="{00000000-0010-0000-0300-0000CB320000}" name="Column12998" dataDxfId="3405"/>
    <tableColumn id="13004" xr3:uid="{00000000-0010-0000-0300-0000CC320000}" name="Column12999" dataDxfId="3404"/>
    <tableColumn id="13005" xr3:uid="{00000000-0010-0000-0300-0000CD320000}" name="Column13000" dataDxfId="3403"/>
    <tableColumn id="13006" xr3:uid="{00000000-0010-0000-0300-0000CE320000}" name="Column13001" dataDxfId="3402"/>
    <tableColumn id="13007" xr3:uid="{00000000-0010-0000-0300-0000CF320000}" name="Column13002" dataDxfId="3401"/>
    <tableColumn id="13008" xr3:uid="{00000000-0010-0000-0300-0000D0320000}" name="Column13003" dataDxfId="3400"/>
    <tableColumn id="13009" xr3:uid="{00000000-0010-0000-0300-0000D1320000}" name="Column13004" dataDxfId="3399"/>
    <tableColumn id="13010" xr3:uid="{00000000-0010-0000-0300-0000D2320000}" name="Column13005" dataDxfId="3398"/>
    <tableColumn id="13011" xr3:uid="{00000000-0010-0000-0300-0000D3320000}" name="Column13006" dataDxfId="3397"/>
    <tableColumn id="13012" xr3:uid="{00000000-0010-0000-0300-0000D4320000}" name="Column13007" dataDxfId="3396"/>
    <tableColumn id="13013" xr3:uid="{00000000-0010-0000-0300-0000D5320000}" name="Column13008" dataDxfId="3395"/>
    <tableColumn id="13014" xr3:uid="{00000000-0010-0000-0300-0000D6320000}" name="Column13009" dataDxfId="3394"/>
    <tableColumn id="13015" xr3:uid="{00000000-0010-0000-0300-0000D7320000}" name="Column13010" dataDxfId="3393"/>
    <tableColumn id="13016" xr3:uid="{00000000-0010-0000-0300-0000D8320000}" name="Column13011" dataDxfId="3392"/>
    <tableColumn id="13017" xr3:uid="{00000000-0010-0000-0300-0000D9320000}" name="Column13012" dataDxfId="3391"/>
    <tableColumn id="13018" xr3:uid="{00000000-0010-0000-0300-0000DA320000}" name="Column13013" dataDxfId="3390"/>
    <tableColumn id="13019" xr3:uid="{00000000-0010-0000-0300-0000DB320000}" name="Column13014" dataDxfId="3389"/>
    <tableColumn id="13020" xr3:uid="{00000000-0010-0000-0300-0000DC320000}" name="Column13015" dataDxfId="3388"/>
    <tableColumn id="13021" xr3:uid="{00000000-0010-0000-0300-0000DD320000}" name="Column13016" dataDxfId="3387"/>
    <tableColumn id="13022" xr3:uid="{00000000-0010-0000-0300-0000DE320000}" name="Column13017" dataDxfId="3386"/>
    <tableColumn id="13023" xr3:uid="{00000000-0010-0000-0300-0000DF320000}" name="Column13018" dataDxfId="3385"/>
    <tableColumn id="13024" xr3:uid="{00000000-0010-0000-0300-0000E0320000}" name="Column13019" dataDxfId="3384"/>
    <tableColumn id="13025" xr3:uid="{00000000-0010-0000-0300-0000E1320000}" name="Column13020" dataDxfId="3383"/>
    <tableColumn id="13026" xr3:uid="{00000000-0010-0000-0300-0000E2320000}" name="Column13021" dataDxfId="3382"/>
    <tableColumn id="13027" xr3:uid="{00000000-0010-0000-0300-0000E3320000}" name="Column13022" dataDxfId="3381"/>
    <tableColumn id="13028" xr3:uid="{00000000-0010-0000-0300-0000E4320000}" name="Column13023" dataDxfId="3380"/>
    <tableColumn id="13029" xr3:uid="{00000000-0010-0000-0300-0000E5320000}" name="Column13024" dataDxfId="3379"/>
    <tableColumn id="13030" xr3:uid="{00000000-0010-0000-0300-0000E6320000}" name="Column13025" dataDxfId="3378"/>
    <tableColumn id="13031" xr3:uid="{00000000-0010-0000-0300-0000E7320000}" name="Column13026" dataDxfId="3377"/>
    <tableColumn id="13032" xr3:uid="{00000000-0010-0000-0300-0000E8320000}" name="Column13027" dataDxfId="3376"/>
    <tableColumn id="13033" xr3:uid="{00000000-0010-0000-0300-0000E9320000}" name="Column13028" dataDxfId="3375"/>
    <tableColumn id="13034" xr3:uid="{00000000-0010-0000-0300-0000EA320000}" name="Column13029" dataDxfId="3374"/>
    <tableColumn id="13035" xr3:uid="{00000000-0010-0000-0300-0000EB320000}" name="Column13030" dataDxfId="3373"/>
    <tableColumn id="13036" xr3:uid="{00000000-0010-0000-0300-0000EC320000}" name="Column13031" dataDxfId="3372"/>
    <tableColumn id="13037" xr3:uid="{00000000-0010-0000-0300-0000ED320000}" name="Column13032" dataDxfId="3371"/>
    <tableColumn id="13038" xr3:uid="{00000000-0010-0000-0300-0000EE320000}" name="Column13033" dataDxfId="3370"/>
    <tableColumn id="13039" xr3:uid="{00000000-0010-0000-0300-0000EF320000}" name="Column13034" dataDxfId="3369"/>
    <tableColumn id="13040" xr3:uid="{00000000-0010-0000-0300-0000F0320000}" name="Column13035" dataDxfId="3368"/>
    <tableColumn id="13041" xr3:uid="{00000000-0010-0000-0300-0000F1320000}" name="Column13036" dataDxfId="3367"/>
    <tableColumn id="13042" xr3:uid="{00000000-0010-0000-0300-0000F2320000}" name="Column13037" dataDxfId="3366"/>
    <tableColumn id="13043" xr3:uid="{00000000-0010-0000-0300-0000F3320000}" name="Column13038" dataDxfId="3365"/>
    <tableColumn id="13044" xr3:uid="{00000000-0010-0000-0300-0000F4320000}" name="Column13039" dataDxfId="3364"/>
    <tableColumn id="13045" xr3:uid="{00000000-0010-0000-0300-0000F5320000}" name="Column13040" dataDxfId="3363"/>
    <tableColumn id="13046" xr3:uid="{00000000-0010-0000-0300-0000F6320000}" name="Column13041" dataDxfId="3362"/>
    <tableColumn id="13047" xr3:uid="{00000000-0010-0000-0300-0000F7320000}" name="Column13042" dataDxfId="3361"/>
    <tableColumn id="13048" xr3:uid="{00000000-0010-0000-0300-0000F8320000}" name="Column13043" dataDxfId="3360"/>
    <tableColumn id="13049" xr3:uid="{00000000-0010-0000-0300-0000F9320000}" name="Column13044" dataDxfId="3359"/>
    <tableColumn id="13050" xr3:uid="{00000000-0010-0000-0300-0000FA320000}" name="Column13045" dataDxfId="3358"/>
    <tableColumn id="13051" xr3:uid="{00000000-0010-0000-0300-0000FB320000}" name="Column13046" dataDxfId="3357"/>
    <tableColumn id="13052" xr3:uid="{00000000-0010-0000-0300-0000FC320000}" name="Column13047" dataDxfId="3356"/>
    <tableColumn id="13053" xr3:uid="{00000000-0010-0000-0300-0000FD320000}" name="Column13048" dataDxfId="3355"/>
    <tableColumn id="13054" xr3:uid="{00000000-0010-0000-0300-0000FE320000}" name="Column13049" dataDxfId="3354"/>
    <tableColumn id="13055" xr3:uid="{00000000-0010-0000-0300-0000FF320000}" name="Column13050" dataDxfId="3353"/>
    <tableColumn id="13056" xr3:uid="{00000000-0010-0000-0300-000000330000}" name="Column13051" dataDxfId="3352"/>
    <tableColumn id="13057" xr3:uid="{00000000-0010-0000-0300-000001330000}" name="Column13052" dataDxfId="3351"/>
    <tableColumn id="13058" xr3:uid="{00000000-0010-0000-0300-000002330000}" name="Column13053" dataDxfId="3350"/>
    <tableColumn id="13059" xr3:uid="{00000000-0010-0000-0300-000003330000}" name="Column13054" dataDxfId="3349"/>
    <tableColumn id="13060" xr3:uid="{00000000-0010-0000-0300-000004330000}" name="Column13055" dataDxfId="3348"/>
    <tableColumn id="13061" xr3:uid="{00000000-0010-0000-0300-000005330000}" name="Column13056" dataDxfId="3347"/>
    <tableColumn id="13062" xr3:uid="{00000000-0010-0000-0300-000006330000}" name="Column13057" dataDxfId="3346"/>
    <tableColumn id="13063" xr3:uid="{00000000-0010-0000-0300-000007330000}" name="Column13058" dataDxfId="3345"/>
    <tableColumn id="13064" xr3:uid="{00000000-0010-0000-0300-000008330000}" name="Column13059" dataDxfId="3344"/>
    <tableColumn id="13065" xr3:uid="{00000000-0010-0000-0300-000009330000}" name="Column13060" dataDxfId="3343"/>
    <tableColumn id="13066" xr3:uid="{00000000-0010-0000-0300-00000A330000}" name="Column13061" dataDxfId="3342"/>
    <tableColumn id="13067" xr3:uid="{00000000-0010-0000-0300-00000B330000}" name="Column13062" dataDxfId="3341"/>
    <tableColumn id="13068" xr3:uid="{00000000-0010-0000-0300-00000C330000}" name="Column13063" dataDxfId="3340"/>
    <tableColumn id="13069" xr3:uid="{00000000-0010-0000-0300-00000D330000}" name="Column13064" dataDxfId="3339"/>
    <tableColumn id="13070" xr3:uid="{00000000-0010-0000-0300-00000E330000}" name="Column13065" dataDxfId="3338"/>
    <tableColumn id="13071" xr3:uid="{00000000-0010-0000-0300-00000F330000}" name="Column13066" dataDxfId="3337"/>
    <tableColumn id="13072" xr3:uid="{00000000-0010-0000-0300-000010330000}" name="Column13067" dataDxfId="3336"/>
    <tableColumn id="13073" xr3:uid="{00000000-0010-0000-0300-000011330000}" name="Column13068" dataDxfId="3335"/>
    <tableColumn id="13074" xr3:uid="{00000000-0010-0000-0300-000012330000}" name="Column13069" dataDxfId="3334"/>
    <tableColumn id="13075" xr3:uid="{00000000-0010-0000-0300-000013330000}" name="Column13070" dataDxfId="3333"/>
    <tableColumn id="13076" xr3:uid="{00000000-0010-0000-0300-000014330000}" name="Column13071" dataDxfId="3332"/>
    <tableColumn id="13077" xr3:uid="{00000000-0010-0000-0300-000015330000}" name="Column13072" dataDxfId="3331"/>
    <tableColumn id="13078" xr3:uid="{00000000-0010-0000-0300-000016330000}" name="Column13073" dataDxfId="3330"/>
    <tableColumn id="13079" xr3:uid="{00000000-0010-0000-0300-000017330000}" name="Column13074" dataDxfId="3329"/>
    <tableColumn id="13080" xr3:uid="{00000000-0010-0000-0300-000018330000}" name="Column13075" dataDxfId="3328"/>
    <tableColumn id="13081" xr3:uid="{00000000-0010-0000-0300-000019330000}" name="Column13076" dataDxfId="3327"/>
    <tableColumn id="13082" xr3:uid="{00000000-0010-0000-0300-00001A330000}" name="Column13077" dataDxfId="3326"/>
    <tableColumn id="13083" xr3:uid="{00000000-0010-0000-0300-00001B330000}" name="Column13078" dataDxfId="3325"/>
    <tableColumn id="13084" xr3:uid="{00000000-0010-0000-0300-00001C330000}" name="Column13079" dataDxfId="3324"/>
    <tableColumn id="13085" xr3:uid="{00000000-0010-0000-0300-00001D330000}" name="Column13080" dataDxfId="3323"/>
    <tableColumn id="13086" xr3:uid="{00000000-0010-0000-0300-00001E330000}" name="Column13081" dataDxfId="3322"/>
    <tableColumn id="13087" xr3:uid="{00000000-0010-0000-0300-00001F330000}" name="Column13082" dataDxfId="3321"/>
    <tableColumn id="13088" xr3:uid="{00000000-0010-0000-0300-000020330000}" name="Column13083" dataDxfId="3320"/>
    <tableColumn id="13089" xr3:uid="{00000000-0010-0000-0300-000021330000}" name="Column13084" dataDxfId="3319"/>
    <tableColumn id="13090" xr3:uid="{00000000-0010-0000-0300-000022330000}" name="Column13085" dataDxfId="3318"/>
    <tableColumn id="13091" xr3:uid="{00000000-0010-0000-0300-000023330000}" name="Column13086" dataDxfId="3317"/>
    <tableColumn id="13092" xr3:uid="{00000000-0010-0000-0300-000024330000}" name="Column13087" dataDxfId="3316"/>
    <tableColumn id="13093" xr3:uid="{00000000-0010-0000-0300-000025330000}" name="Column13088" dataDxfId="3315"/>
    <tableColumn id="13094" xr3:uid="{00000000-0010-0000-0300-000026330000}" name="Column13089" dataDxfId="3314"/>
    <tableColumn id="13095" xr3:uid="{00000000-0010-0000-0300-000027330000}" name="Column13090" dataDxfId="3313"/>
    <tableColumn id="13096" xr3:uid="{00000000-0010-0000-0300-000028330000}" name="Column13091" dataDxfId="3312"/>
    <tableColumn id="13097" xr3:uid="{00000000-0010-0000-0300-000029330000}" name="Column13092" dataDxfId="3311"/>
    <tableColumn id="13098" xr3:uid="{00000000-0010-0000-0300-00002A330000}" name="Column13093" dataDxfId="3310"/>
    <tableColumn id="13099" xr3:uid="{00000000-0010-0000-0300-00002B330000}" name="Column13094" dataDxfId="3309"/>
    <tableColumn id="13100" xr3:uid="{00000000-0010-0000-0300-00002C330000}" name="Column13095" dataDxfId="3308"/>
    <tableColumn id="13101" xr3:uid="{00000000-0010-0000-0300-00002D330000}" name="Column13096" dataDxfId="3307"/>
    <tableColumn id="13102" xr3:uid="{00000000-0010-0000-0300-00002E330000}" name="Column13097" dataDxfId="3306"/>
    <tableColumn id="13103" xr3:uid="{00000000-0010-0000-0300-00002F330000}" name="Column13098" dataDxfId="3305"/>
    <tableColumn id="13104" xr3:uid="{00000000-0010-0000-0300-000030330000}" name="Column13099" dataDxfId="3304"/>
    <tableColumn id="13105" xr3:uid="{00000000-0010-0000-0300-000031330000}" name="Column13100" dataDxfId="3303"/>
    <tableColumn id="13106" xr3:uid="{00000000-0010-0000-0300-000032330000}" name="Column13101" dataDxfId="3302"/>
    <tableColumn id="13107" xr3:uid="{00000000-0010-0000-0300-000033330000}" name="Column13102" dataDxfId="3301"/>
    <tableColumn id="13108" xr3:uid="{00000000-0010-0000-0300-000034330000}" name="Column13103" dataDxfId="3300"/>
    <tableColumn id="13109" xr3:uid="{00000000-0010-0000-0300-000035330000}" name="Column13104" dataDxfId="3299"/>
    <tableColumn id="13110" xr3:uid="{00000000-0010-0000-0300-000036330000}" name="Column13105" dataDxfId="3298"/>
    <tableColumn id="13111" xr3:uid="{00000000-0010-0000-0300-000037330000}" name="Column13106" dataDxfId="3297"/>
    <tableColumn id="13112" xr3:uid="{00000000-0010-0000-0300-000038330000}" name="Column13107" dataDxfId="3296"/>
    <tableColumn id="13113" xr3:uid="{00000000-0010-0000-0300-000039330000}" name="Column13108" dataDxfId="3295"/>
    <tableColumn id="13114" xr3:uid="{00000000-0010-0000-0300-00003A330000}" name="Column13109" dataDxfId="3294"/>
    <tableColumn id="13115" xr3:uid="{00000000-0010-0000-0300-00003B330000}" name="Column13110" dataDxfId="3293"/>
    <tableColumn id="13116" xr3:uid="{00000000-0010-0000-0300-00003C330000}" name="Column13111" dataDxfId="3292"/>
    <tableColumn id="13117" xr3:uid="{00000000-0010-0000-0300-00003D330000}" name="Column13112" dataDxfId="3291"/>
    <tableColumn id="13118" xr3:uid="{00000000-0010-0000-0300-00003E330000}" name="Column13113" dataDxfId="3290"/>
    <tableColumn id="13119" xr3:uid="{00000000-0010-0000-0300-00003F330000}" name="Column13114" dataDxfId="3289"/>
    <tableColumn id="13120" xr3:uid="{00000000-0010-0000-0300-000040330000}" name="Column13115" dataDxfId="3288"/>
    <tableColumn id="13121" xr3:uid="{00000000-0010-0000-0300-000041330000}" name="Column13116" dataDxfId="3287"/>
    <tableColumn id="13122" xr3:uid="{00000000-0010-0000-0300-000042330000}" name="Column13117" dataDxfId="3286"/>
    <tableColumn id="13123" xr3:uid="{00000000-0010-0000-0300-000043330000}" name="Column13118" dataDxfId="3285"/>
    <tableColumn id="13124" xr3:uid="{00000000-0010-0000-0300-000044330000}" name="Column13119" dataDxfId="3284"/>
    <tableColumn id="13125" xr3:uid="{00000000-0010-0000-0300-000045330000}" name="Column13120" dataDxfId="3283"/>
    <tableColumn id="13126" xr3:uid="{00000000-0010-0000-0300-000046330000}" name="Column13121" dataDxfId="3282"/>
    <tableColumn id="13127" xr3:uid="{00000000-0010-0000-0300-000047330000}" name="Column13122" dataDxfId="3281"/>
    <tableColumn id="13128" xr3:uid="{00000000-0010-0000-0300-000048330000}" name="Column13123" dataDxfId="3280"/>
    <tableColumn id="13129" xr3:uid="{00000000-0010-0000-0300-000049330000}" name="Column13124" dataDxfId="3279"/>
    <tableColumn id="13130" xr3:uid="{00000000-0010-0000-0300-00004A330000}" name="Column13125" dataDxfId="3278"/>
    <tableColumn id="13131" xr3:uid="{00000000-0010-0000-0300-00004B330000}" name="Column13126" dataDxfId="3277"/>
    <tableColumn id="13132" xr3:uid="{00000000-0010-0000-0300-00004C330000}" name="Column13127" dataDxfId="3276"/>
    <tableColumn id="13133" xr3:uid="{00000000-0010-0000-0300-00004D330000}" name="Column13128" dataDxfId="3275"/>
    <tableColumn id="13134" xr3:uid="{00000000-0010-0000-0300-00004E330000}" name="Column13129" dataDxfId="3274"/>
    <tableColumn id="13135" xr3:uid="{00000000-0010-0000-0300-00004F330000}" name="Column13130" dataDxfId="3273"/>
    <tableColumn id="13136" xr3:uid="{00000000-0010-0000-0300-000050330000}" name="Column13131" dataDxfId="3272"/>
    <tableColumn id="13137" xr3:uid="{00000000-0010-0000-0300-000051330000}" name="Column13132" dataDxfId="3271"/>
    <tableColumn id="13138" xr3:uid="{00000000-0010-0000-0300-000052330000}" name="Column13133" dataDxfId="3270"/>
    <tableColumn id="13139" xr3:uid="{00000000-0010-0000-0300-000053330000}" name="Column13134" dataDxfId="3269"/>
    <tableColumn id="13140" xr3:uid="{00000000-0010-0000-0300-000054330000}" name="Column13135" dataDxfId="3268"/>
    <tableColumn id="13141" xr3:uid="{00000000-0010-0000-0300-000055330000}" name="Column13136" dataDxfId="3267"/>
    <tableColumn id="13142" xr3:uid="{00000000-0010-0000-0300-000056330000}" name="Column13137" dataDxfId="3266"/>
    <tableColumn id="13143" xr3:uid="{00000000-0010-0000-0300-000057330000}" name="Column13138" dataDxfId="3265"/>
    <tableColumn id="13144" xr3:uid="{00000000-0010-0000-0300-000058330000}" name="Column13139" dataDxfId="3264"/>
    <tableColumn id="13145" xr3:uid="{00000000-0010-0000-0300-000059330000}" name="Column13140" dataDxfId="3263"/>
    <tableColumn id="13146" xr3:uid="{00000000-0010-0000-0300-00005A330000}" name="Column13141" dataDxfId="3262"/>
    <tableColumn id="13147" xr3:uid="{00000000-0010-0000-0300-00005B330000}" name="Column13142" dataDxfId="3261"/>
    <tableColumn id="13148" xr3:uid="{00000000-0010-0000-0300-00005C330000}" name="Column13143" dataDxfId="3260"/>
    <tableColumn id="13149" xr3:uid="{00000000-0010-0000-0300-00005D330000}" name="Column13144" dataDxfId="3259"/>
    <tableColumn id="13150" xr3:uid="{00000000-0010-0000-0300-00005E330000}" name="Column13145" dataDxfId="3258"/>
    <tableColumn id="13151" xr3:uid="{00000000-0010-0000-0300-00005F330000}" name="Column13146" dataDxfId="3257"/>
    <tableColumn id="13152" xr3:uid="{00000000-0010-0000-0300-000060330000}" name="Column13147" dataDxfId="3256"/>
    <tableColumn id="13153" xr3:uid="{00000000-0010-0000-0300-000061330000}" name="Column13148" dataDxfId="3255"/>
    <tableColumn id="13154" xr3:uid="{00000000-0010-0000-0300-000062330000}" name="Column13149" dataDxfId="3254"/>
    <tableColumn id="13155" xr3:uid="{00000000-0010-0000-0300-000063330000}" name="Column13150" dataDxfId="3253"/>
    <tableColumn id="13156" xr3:uid="{00000000-0010-0000-0300-000064330000}" name="Column13151" dataDxfId="3252"/>
    <tableColumn id="13157" xr3:uid="{00000000-0010-0000-0300-000065330000}" name="Column13152" dataDxfId="3251"/>
    <tableColumn id="13158" xr3:uid="{00000000-0010-0000-0300-000066330000}" name="Column13153" dataDxfId="3250"/>
    <tableColumn id="13159" xr3:uid="{00000000-0010-0000-0300-000067330000}" name="Column13154" dataDxfId="3249"/>
    <tableColumn id="13160" xr3:uid="{00000000-0010-0000-0300-000068330000}" name="Column13155" dataDxfId="3248"/>
    <tableColumn id="13161" xr3:uid="{00000000-0010-0000-0300-000069330000}" name="Column13156" dataDxfId="3247"/>
    <tableColumn id="13162" xr3:uid="{00000000-0010-0000-0300-00006A330000}" name="Column13157" dataDxfId="3246"/>
    <tableColumn id="13163" xr3:uid="{00000000-0010-0000-0300-00006B330000}" name="Column13158" dataDxfId="3245"/>
    <tableColumn id="13164" xr3:uid="{00000000-0010-0000-0300-00006C330000}" name="Column13159" dataDxfId="3244"/>
    <tableColumn id="13165" xr3:uid="{00000000-0010-0000-0300-00006D330000}" name="Column13160" dataDxfId="3243"/>
    <tableColumn id="13166" xr3:uid="{00000000-0010-0000-0300-00006E330000}" name="Column13161" dataDxfId="3242"/>
    <tableColumn id="13167" xr3:uid="{00000000-0010-0000-0300-00006F330000}" name="Column13162" dataDxfId="3241"/>
    <tableColumn id="13168" xr3:uid="{00000000-0010-0000-0300-000070330000}" name="Column13163" dataDxfId="3240"/>
    <tableColumn id="13169" xr3:uid="{00000000-0010-0000-0300-000071330000}" name="Column13164" dataDxfId="3239"/>
    <tableColumn id="13170" xr3:uid="{00000000-0010-0000-0300-000072330000}" name="Column13165" dataDxfId="3238"/>
    <tableColumn id="13171" xr3:uid="{00000000-0010-0000-0300-000073330000}" name="Column13166" dataDxfId="3237"/>
    <tableColumn id="13172" xr3:uid="{00000000-0010-0000-0300-000074330000}" name="Column13167" dataDxfId="3236"/>
    <tableColumn id="13173" xr3:uid="{00000000-0010-0000-0300-000075330000}" name="Column13168" dataDxfId="3235"/>
    <tableColumn id="13174" xr3:uid="{00000000-0010-0000-0300-000076330000}" name="Column13169" dataDxfId="3234"/>
    <tableColumn id="13175" xr3:uid="{00000000-0010-0000-0300-000077330000}" name="Column13170" dataDxfId="3233"/>
    <tableColumn id="13176" xr3:uid="{00000000-0010-0000-0300-000078330000}" name="Column13171" dataDxfId="3232"/>
    <tableColumn id="13177" xr3:uid="{00000000-0010-0000-0300-000079330000}" name="Column13172" dataDxfId="3231"/>
    <tableColumn id="13178" xr3:uid="{00000000-0010-0000-0300-00007A330000}" name="Column13173" dataDxfId="3230"/>
    <tableColumn id="13179" xr3:uid="{00000000-0010-0000-0300-00007B330000}" name="Column13174" dataDxfId="3229"/>
    <tableColumn id="13180" xr3:uid="{00000000-0010-0000-0300-00007C330000}" name="Column13175" dataDxfId="3228"/>
    <tableColumn id="13181" xr3:uid="{00000000-0010-0000-0300-00007D330000}" name="Column13176" dataDxfId="3227"/>
    <tableColumn id="13182" xr3:uid="{00000000-0010-0000-0300-00007E330000}" name="Column13177" dataDxfId="3226"/>
    <tableColumn id="13183" xr3:uid="{00000000-0010-0000-0300-00007F330000}" name="Column13178" dataDxfId="3225"/>
    <tableColumn id="13184" xr3:uid="{00000000-0010-0000-0300-000080330000}" name="Column13179" dataDxfId="3224"/>
    <tableColumn id="13185" xr3:uid="{00000000-0010-0000-0300-000081330000}" name="Column13180" dataDxfId="3223"/>
    <tableColumn id="13186" xr3:uid="{00000000-0010-0000-0300-000082330000}" name="Column13181" dataDxfId="3222"/>
    <tableColumn id="13187" xr3:uid="{00000000-0010-0000-0300-000083330000}" name="Column13182" dataDxfId="3221"/>
    <tableColumn id="13188" xr3:uid="{00000000-0010-0000-0300-000084330000}" name="Column13183" dataDxfId="3220"/>
    <tableColumn id="13189" xr3:uid="{00000000-0010-0000-0300-000085330000}" name="Column13184" dataDxfId="3219"/>
    <tableColumn id="13190" xr3:uid="{00000000-0010-0000-0300-000086330000}" name="Column13185" dataDxfId="3218"/>
    <tableColumn id="13191" xr3:uid="{00000000-0010-0000-0300-000087330000}" name="Column13186" dataDxfId="3217"/>
    <tableColumn id="13192" xr3:uid="{00000000-0010-0000-0300-000088330000}" name="Column13187" dataDxfId="3216"/>
    <tableColumn id="13193" xr3:uid="{00000000-0010-0000-0300-000089330000}" name="Column13188" dataDxfId="3215"/>
    <tableColumn id="13194" xr3:uid="{00000000-0010-0000-0300-00008A330000}" name="Column13189" dataDxfId="3214"/>
    <tableColumn id="13195" xr3:uid="{00000000-0010-0000-0300-00008B330000}" name="Column13190" dataDxfId="3213"/>
    <tableColumn id="13196" xr3:uid="{00000000-0010-0000-0300-00008C330000}" name="Column13191" dataDxfId="3212"/>
    <tableColumn id="13197" xr3:uid="{00000000-0010-0000-0300-00008D330000}" name="Column13192" dataDxfId="3211"/>
    <tableColumn id="13198" xr3:uid="{00000000-0010-0000-0300-00008E330000}" name="Column13193" dataDxfId="3210"/>
    <tableColumn id="13199" xr3:uid="{00000000-0010-0000-0300-00008F330000}" name="Column13194" dataDxfId="3209"/>
    <tableColumn id="13200" xr3:uid="{00000000-0010-0000-0300-000090330000}" name="Column13195" dataDxfId="3208"/>
    <tableColumn id="13201" xr3:uid="{00000000-0010-0000-0300-000091330000}" name="Column13196" dataDxfId="3207"/>
    <tableColumn id="13202" xr3:uid="{00000000-0010-0000-0300-000092330000}" name="Column13197" dataDxfId="3206"/>
    <tableColumn id="13203" xr3:uid="{00000000-0010-0000-0300-000093330000}" name="Column13198" dataDxfId="3205"/>
    <tableColumn id="13204" xr3:uid="{00000000-0010-0000-0300-000094330000}" name="Column13199" dataDxfId="3204"/>
    <tableColumn id="13205" xr3:uid="{00000000-0010-0000-0300-000095330000}" name="Column13200" dataDxfId="3203"/>
    <tableColumn id="13206" xr3:uid="{00000000-0010-0000-0300-000096330000}" name="Column13201" dataDxfId="3202"/>
    <tableColumn id="13207" xr3:uid="{00000000-0010-0000-0300-000097330000}" name="Column13202" dataDxfId="3201"/>
    <tableColumn id="13208" xr3:uid="{00000000-0010-0000-0300-000098330000}" name="Column13203" dataDxfId="3200"/>
    <tableColumn id="13209" xr3:uid="{00000000-0010-0000-0300-000099330000}" name="Column13204" dataDxfId="3199"/>
    <tableColumn id="13210" xr3:uid="{00000000-0010-0000-0300-00009A330000}" name="Column13205" dataDxfId="3198"/>
    <tableColumn id="13211" xr3:uid="{00000000-0010-0000-0300-00009B330000}" name="Column13206" dataDxfId="3197"/>
    <tableColumn id="13212" xr3:uid="{00000000-0010-0000-0300-00009C330000}" name="Column13207" dataDxfId="3196"/>
    <tableColumn id="13213" xr3:uid="{00000000-0010-0000-0300-00009D330000}" name="Column13208" dataDxfId="3195"/>
    <tableColumn id="13214" xr3:uid="{00000000-0010-0000-0300-00009E330000}" name="Column13209" dataDxfId="3194"/>
    <tableColumn id="13215" xr3:uid="{00000000-0010-0000-0300-00009F330000}" name="Column13210" dataDxfId="3193"/>
    <tableColumn id="13216" xr3:uid="{00000000-0010-0000-0300-0000A0330000}" name="Column13211" dataDxfId="3192"/>
    <tableColumn id="13217" xr3:uid="{00000000-0010-0000-0300-0000A1330000}" name="Column13212" dataDxfId="3191"/>
    <tableColumn id="13218" xr3:uid="{00000000-0010-0000-0300-0000A2330000}" name="Column13213" dataDxfId="3190"/>
    <tableColumn id="13219" xr3:uid="{00000000-0010-0000-0300-0000A3330000}" name="Column13214" dataDxfId="3189"/>
    <tableColumn id="13220" xr3:uid="{00000000-0010-0000-0300-0000A4330000}" name="Column13215" dataDxfId="3188"/>
    <tableColumn id="13221" xr3:uid="{00000000-0010-0000-0300-0000A5330000}" name="Column13216" dataDxfId="3187"/>
    <tableColumn id="13222" xr3:uid="{00000000-0010-0000-0300-0000A6330000}" name="Column13217" dataDxfId="3186"/>
    <tableColumn id="13223" xr3:uid="{00000000-0010-0000-0300-0000A7330000}" name="Column13218" dataDxfId="3185"/>
    <tableColumn id="13224" xr3:uid="{00000000-0010-0000-0300-0000A8330000}" name="Column13219" dataDxfId="3184"/>
    <tableColumn id="13225" xr3:uid="{00000000-0010-0000-0300-0000A9330000}" name="Column13220" dataDxfId="3183"/>
    <tableColumn id="13226" xr3:uid="{00000000-0010-0000-0300-0000AA330000}" name="Column13221" dataDxfId="3182"/>
    <tableColumn id="13227" xr3:uid="{00000000-0010-0000-0300-0000AB330000}" name="Column13222" dataDxfId="3181"/>
    <tableColumn id="13228" xr3:uid="{00000000-0010-0000-0300-0000AC330000}" name="Column13223" dataDxfId="3180"/>
    <tableColumn id="13229" xr3:uid="{00000000-0010-0000-0300-0000AD330000}" name="Column13224" dataDxfId="3179"/>
    <tableColumn id="13230" xr3:uid="{00000000-0010-0000-0300-0000AE330000}" name="Column13225" dataDxfId="3178"/>
    <tableColumn id="13231" xr3:uid="{00000000-0010-0000-0300-0000AF330000}" name="Column13226" dataDxfId="3177"/>
    <tableColumn id="13232" xr3:uid="{00000000-0010-0000-0300-0000B0330000}" name="Column13227" dataDxfId="3176"/>
    <tableColumn id="13233" xr3:uid="{00000000-0010-0000-0300-0000B1330000}" name="Column13228" dataDxfId="3175"/>
    <tableColumn id="13234" xr3:uid="{00000000-0010-0000-0300-0000B2330000}" name="Column13229" dataDxfId="3174"/>
    <tableColumn id="13235" xr3:uid="{00000000-0010-0000-0300-0000B3330000}" name="Column13230" dataDxfId="3173"/>
    <tableColumn id="13236" xr3:uid="{00000000-0010-0000-0300-0000B4330000}" name="Column13231" dataDxfId="3172"/>
    <tableColumn id="13237" xr3:uid="{00000000-0010-0000-0300-0000B5330000}" name="Column13232" dataDxfId="3171"/>
    <tableColumn id="13238" xr3:uid="{00000000-0010-0000-0300-0000B6330000}" name="Column13233" dataDxfId="3170"/>
    <tableColumn id="13239" xr3:uid="{00000000-0010-0000-0300-0000B7330000}" name="Column13234" dataDxfId="3169"/>
    <tableColumn id="13240" xr3:uid="{00000000-0010-0000-0300-0000B8330000}" name="Column13235" dataDxfId="3168"/>
    <tableColumn id="13241" xr3:uid="{00000000-0010-0000-0300-0000B9330000}" name="Column13236" dataDxfId="3167"/>
    <tableColumn id="13242" xr3:uid="{00000000-0010-0000-0300-0000BA330000}" name="Column13237" dataDxfId="3166"/>
    <tableColumn id="13243" xr3:uid="{00000000-0010-0000-0300-0000BB330000}" name="Column13238" dataDxfId="3165"/>
    <tableColumn id="13244" xr3:uid="{00000000-0010-0000-0300-0000BC330000}" name="Column13239" dataDxfId="3164"/>
    <tableColumn id="13245" xr3:uid="{00000000-0010-0000-0300-0000BD330000}" name="Column13240" dataDxfId="3163"/>
    <tableColumn id="13246" xr3:uid="{00000000-0010-0000-0300-0000BE330000}" name="Column13241" dataDxfId="3162"/>
    <tableColumn id="13247" xr3:uid="{00000000-0010-0000-0300-0000BF330000}" name="Column13242" dataDxfId="3161"/>
    <tableColumn id="13248" xr3:uid="{00000000-0010-0000-0300-0000C0330000}" name="Column13243" dataDxfId="3160"/>
    <tableColumn id="13249" xr3:uid="{00000000-0010-0000-0300-0000C1330000}" name="Column13244" dataDxfId="3159"/>
    <tableColumn id="13250" xr3:uid="{00000000-0010-0000-0300-0000C2330000}" name="Column13245" dataDxfId="3158"/>
    <tableColumn id="13251" xr3:uid="{00000000-0010-0000-0300-0000C3330000}" name="Column13246" dataDxfId="3157"/>
    <tableColumn id="13252" xr3:uid="{00000000-0010-0000-0300-0000C4330000}" name="Column13247" dataDxfId="3156"/>
    <tableColumn id="13253" xr3:uid="{00000000-0010-0000-0300-0000C5330000}" name="Column13248" dataDxfId="3155"/>
    <tableColumn id="13254" xr3:uid="{00000000-0010-0000-0300-0000C6330000}" name="Column13249" dataDxfId="3154"/>
    <tableColumn id="13255" xr3:uid="{00000000-0010-0000-0300-0000C7330000}" name="Column13250" dataDxfId="3153"/>
    <tableColumn id="13256" xr3:uid="{00000000-0010-0000-0300-0000C8330000}" name="Column13251" dataDxfId="3152"/>
    <tableColumn id="13257" xr3:uid="{00000000-0010-0000-0300-0000C9330000}" name="Column13252" dataDxfId="3151"/>
    <tableColumn id="13258" xr3:uid="{00000000-0010-0000-0300-0000CA330000}" name="Column13253" dataDxfId="3150"/>
    <tableColumn id="13259" xr3:uid="{00000000-0010-0000-0300-0000CB330000}" name="Column13254" dataDxfId="3149"/>
    <tableColumn id="13260" xr3:uid="{00000000-0010-0000-0300-0000CC330000}" name="Column13255" dataDxfId="3148"/>
    <tableColumn id="13261" xr3:uid="{00000000-0010-0000-0300-0000CD330000}" name="Column13256" dataDxfId="3147"/>
    <tableColumn id="13262" xr3:uid="{00000000-0010-0000-0300-0000CE330000}" name="Column13257" dataDxfId="3146"/>
    <tableColumn id="13263" xr3:uid="{00000000-0010-0000-0300-0000CF330000}" name="Column13258" dataDxfId="3145"/>
    <tableColumn id="13264" xr3:uid="{00000000-0010-0000-0300-0000D0330000}" name="Column13259" dataDxfId="3144"/>
    <tableColumn id="13265" xr3:uid="{00000000-0010-0000-0300-0000D1330000}" name="Column13260" dataDxfId="3143"/>
    <tableColumn id="13266" xr3:uid="{00000000-0010-0000-0300-0000D2330000}" name="Column13261" dataDxfId="3142"/>
    <tableColumn id="13267" xr3:uid="{00000000-0010-0000-0300-0000D3330000}" name="Column13262" dataDxfId="3141"/>
    <tableColumn id="13268" xr3:uid="{00000000-0010-0000-0300-0000D4330000}" name="Column13263" dataDxfId="3140"/>
    <tableColumn id="13269" xr3:uid="{00000000-0010-0000-0300-0000D5330000}" name="Column13264" dataDxfId="3139"/>
    <tableColumn id="13270" xr3:uid="{00000000-0010-0000-0300-0000D6330000}" name="Column13265" dataDxfId="3138"/>
    <tableColumn id="13271" xr3:uid="{00000000-0010-0000-0300-0000D7330000}" name="Column13266" dataDxfId="3137"/>
    <tableColumn id="13272" xr3:uid="{00000000-0010-0000-0300-0000D8330000}" name="Column13267" dataDxfId="3136"/>
    <tableColumn id="13273" xr3:uid="{00000000-0010-0000-0300-0000D9330000}" name="Column13268" dataDxfId="3135"/>
    <tableColumn id="13274" xr3:uid="{00000000-0010-0000-0300-0000DA330000}" name="Column13269" dataDxfId="3134"/>
    <tableColumn id="13275" xr3:uid="{00000000-0010-0000-0300-0000DB330000}" name="Column13270" dataDxfId="3133"/>
    <tableColumn id="13276" xr3:uid="{00000000-0010-0000-0300-0000DC330000}" name="Column13271" dataDxfId="3132"/>
    <tableColumn id="13277" xr3:uid="{00000000-0010-0000-0300-0000DD330000}" name="Column13272" dataDxfId="3131"/>
    <tableColumn id="13278" xr3:uid="{00000000-0010-0000-0300-0000DE330000}" name="Column13273" dataDxfId="3130"/>
    <tableColumn id="13279" xr3:uid="{00000000-0010-0000-0300-0000DF330000}" name="Column13274" dataDxfId="3129"/>
    <tableColumn id="13280" xr3:uid="{00000000-0010-0000-0300-0000E0330000}" name="Column13275" dataDxfId="3128"/>
    <tableColumn id="13281" xr3:uid="{00000000-0010-0000-0300-0000E1330000}" name="Column13276" dataDxfId="3127"/>
    <tableColumn id="13282" xr3:uid="{00000000-0010-0000-0300-0000E2330000}" name="Column13277" dataDxfId="3126"/>
    <tableColumn id="13283" xr3:uid="{00000000-0010-0000-0300-0000E3330000}" name="Column13278" dataDxfId="3125"/>
    <tableColumn id="13284" xr3:uid="{00000000-0010-0000-0300-0000E4330000}" name="Column13279" dataDxfId="3124"/>
    <tableColumn id="13285" xr3:uid="{00000000-0010-0000-0300-0000E5330000}" name="Column13280" dataDxfId="3123"/>
    <tableColumn id="13286" xr3:uid="{00000000-0010-0000-0300-0000E6330000}" name="Column13281" dataDxfId="3122"/>
    <tableColumn id="13287" xr3:uid="{00000000-0010-0000-0300-0000E7330000}" name="Column13282" dataDxfId="3121"/>
    <tableColumn id="13288" xr3:uid="{00000000-0010-0000-0300-0000E8330000}" name="Column13283" dataDxfId="3120"/>
    <tableColumn id="13289" xr3:uid="{00000000-0010-0000-0300-0000E9330000}" name="Column13284" dataDxfId="3119"/>
    <tableColumn id="13290" xr3:uid="{00000000-0010-0000-0300-0000EA330000}" name="Column13285" dataDxfId="3118"/>
    <tableColumn id="13291" xr3:uid="{00000000-0010-0000-0300-0000EB330000}" name="Column13286" dataDxfId="3117"/>
    <tableColumn id="13292" xr3:uid="{00000000-0010-0000-0300-0000EC330000}" name="Column13287" dataDxfId="3116"/>
    <tableColumn id="13293" xr3:uid="{00000000-0010-0000-0300-0000ED330000}" name="Column13288" dataDxfId="3115"/>
    <tableColumn id="13294" xr3:uid="{00000000-0010-0000-0300-0000EE330000}" name="Column13289" dataDxfId="3114"/>
    <tableColumn id="13295" xr3:uid="{00000000-0010-0000-0300-0000EF330000}" name="Column13290" dataDxfId="3113"/>
    <tableColumn id="13296" xr3:uid="{00000000-0010-0000-0300-0000F0330000}" name="Column13291" dataDxfId="3112"/>
    <tableColumn id="13297" xr3:uid="{00000000-0010-0000-0300-0000F1330000}" name="Column13292" dataDxfId="3111"/>
    <tableColumn id="13298" xr3:uid="{00000000-0010-0000-0300-0000F2330000}" name="Column13293" dataDxfId="3110"/>
    <tableColumn id="13299" xr3:uid="{00000000-0010-0000-0300-0000F3330000}" name="Column13294" dataDxfId="3109"/>
    <tableColumn id="13300" xr3:uid="{00000000-0010-0000-0300-0000F4330000}" name="Column13295" dataDxfId="3108"/>
    <tableColumn id="13301" xr3:uid="{00000000-0010-0000-0300-0000F5330000}" name="Column13296" dataDxfId="3107"/>
    <tableColumn id="13302" xr3:uid="{00000000-0010-0000-0300-0000F6330000}" name="Column13297" dataDxfId="3106"/>
    <tableColumn id="13303" xr3:uid="{00000000-0010-0000-0300-0000F7330000}" name="Column13298" dataDxfId="3105"/>
    <tableColumn id="13304" xr3:uid="{00000000-0010-0000-0300-0000F8330000}" name="Column13299" dataDxfId="3104"/>
    <tableColumn id="13305" xr3:uid="{00000000-0010-0000-0300-0000F9330000}" name="Column13300" dataDxfId="3103"/>
    <tableColumn id="13306" xr3:uid="{00000000-0010-0000-0300-0000FA330000}" name="Column13301" dataDxfId="3102"/>
    <tableColumn id="13307" xr3:uid="{00000000-0010-0000-0300-0000FB330000}" name="Column13302" dataDxfId="3101"/>
    <tableColumn id="13308" xr3:uid="{00000000-0010-0000-0300-0000FC330000}" name="Column13303" dataDxfId="3100"/>
    <tableColumn id="13309" xr3:uid="{00000000-0010-0000-0300-0000FD330000}" name="Column13304" dataDxfId="3099"/>
    <tableColumn id="13310" xr3:uid="{00000000-0010-0000-0300-0000FE330000}" name="Column13305" dataDxfId="3098"/>
    <tableColumn id="13311" xr3:uid="{00000000-0010-0000-0300-0000FF330000}" name="Column13306" dataDxfId="3097"/>
    <tableColumn id="13312" xr3:uid="{00000000-0010-0000-0300-000000340000}" name="Column13307" dataDxfId="3096"/>
    <tableColumn id="13313" xr3:uid="{00000000-0010-0000-0300-000001340000}" name="Column13308" dataDxfId="3095"/>
    <tableColumn id="13314" xr3:uid="{00000000-0010-0000-0300-000002340000}" name="Column13309" dataDxfId="3094"/>
    <tableColumn id="13315" xr3:uid="{00000000-0010-0000-0300-000003340000}" name="Column13310" dataDxfId="3093"/>
    <tableColumn id="13316" xr3:uid="{00000000-0010-0000-0300-000004340000}" name="Column13311" dataDxfId="3092"/>
    <tableColumn id="13317" xr3:uid="{00000000-0010-0000-0300-000005340000}" name="Column13312" dataDxfId="3091"/>
    <tableColumn id="13318" xr3:uid="{00000000-0010-0000-0300-000006340000}" name="Column13313" dataDxfId="3090"/>
    <tableColumn id="13319" xr3:uid="{00000000-0010-0000-0300-000007340000}" name="Column13314" dataDxfId="3089"/>
    <tableColumn id="13320" xr3:uid="{00000000-0010-0000-0300-000008340000}" name="Column13315" dataDxfId="3088"/>
    <tableColumn id="13321" xr3:uid="{00000000-0010-0000-0300-000009340000}" name="Column13316" dataDxfId="3087"/>
    <tableColumn id="13322" xr3:uid="{00000000-0010-0000-0300-00000A340000}" name="Column13317" dataDxfId="3086"/>
    <tableColumn id="13323" xr3:uid="{00000000-0010-0000-0300-00000B340000}" name="Column13318" dataDxfId="3085"/>
    <tableColumn id="13324" xr3:uid="{00000000-0010-0000-0300-00000C340000}" name="Column13319" dataDxfId="3084"/>
    <tableColumn id="13325" xr3:uid="{00000000-0010-0000-0300-00000D340000}" name="Column13320" dataDxfId="3083"/>
    <tableColumn id="13326" xr3:uid="{00000000-0010-0000-0300-00000E340000}" name="Column13321" dataDxfId="3082"/>
    <tableColumn id="13327" xr3:uid="{00000000-0010-0000-0300-00000F340000}" name="Column13322" dataDxfId="3081"/>
    <tableColumn id="13328" xr3:uid="{00000000-0010-0000-0300-000010340000}" name="Column13323" dataDxfId="3080"/>
    <tableColumn id="13329" xr3:uid="{00000000-0010-0000-0300-000011340000}" name="Column13324" dataDxfId="3079"/>
    <tableColumn id="13330" xr3:uid="{00000000-0010-0000-0300-000012340000}" name="Column13325" dataDxfId="3078"/>
    <tableColumn id="13331" xr3:uid="{00000000-0010-0000-0300-000013340000}" name="Column13326" dataDxfId="3077"/>
    <tableColumn id="13332" xr3:uid="{00000000-0010-0000-0300-000014340000}" name="Column13327" dataDxfId="3076"/>
    <tableColumn id="13333" xr3:uid="{00000000-0010-0000-0300-000015340000}" name="Column13328" dataDxfId="3075"/>
    <tableColumn id="13334" xr3:uid="{00000000-0010-0000-0300-000016340000}" name="Column13329" dataDxfId="3074"/>
    <tableColumn id="13335" xr3:uid="{00000000-0010-0000-0300-000017340000}" name="Column13330" dataDxfId="3073"/>
    <tableColumn id="13336" xr3:uid="{00000000-0010-0000-0300-000018340000}" name="Column13331" dataDxfId="3072"/>
    <tableColumn id="13337" xr3:uid="{00000000-0010-0000-0300-000019340000}" name="Column13332" dataDxfId="3071"/>
    <tableColumn id="13338" xr3:uid="{00000000-0010-0000-0300-00001A340000}" name="Column13333" dataDxfId="3070"/>
    <tableColumn id="13339" xr3:uid="{00000000-0010-0000-0300-00001B340000}" name="Column13334" dataDxfId="3069"/>
    <tableColumn id="13340" xr3:uid="{00000000-0010-0000-0300-00001C340000}" name="Column13335" dataDxfId="3068"/>
    <tableColumn id="13341" xr3:uid="{00000000-0010-0000-0300-00001D340000}" name="Column13336" dataDxfId="3067"/>
    <tableColumn id="13342" xr3:uid="{00000000-0010-0000-0300-00001E340000}" name="Column13337" dataDxfId="3066"/>
    <tableColumn id="13343" xr3:uid="{00000000-0010-0000-0300-00001F340000}" name="Column13338" dataDxfId="3065"/>
    <tableColumn id="13344" xr3:uid="{00000000-0010-0000-0300-000020340000}" name="Column13339" dataDxfId="3064"/>
    <tableColumn id="13345" xr3:uid="{00000000-0010-0000-0300-000021340000}" name="Column13340" dataDxfId="3063"/>
    <tableColumn id="13346" xr3:uid="{00000000-0010-0000-0300-000022340000}" name="Column13341" dataDxfId="3062"/>
    <tableColumn id="13347" xr3:uid="{00000000-0010-0000-0300-000023340000}" name="Column13342" dataDxfId="3061"/>
    <tableColumn id="13348" xr3:uid="{00000000-0010-0000-0300-000024340000}" name="Column13343" dataDxfId="3060"/>
    <tableColumn id="13349" xr3:uid="{00000000-0010-0000-0300-000025340000}" name="Column13344" dataDxfId="3059"/>
    <tableColumn id="13350" xr3:uid="{00000000-0010-0000-0300-000026340000}" name="Column13345" dataDxfId="3058"/>
    <tableColumn id="13351" xr3:uid="{00000000-0010-0000-0300-000027340000}" name="Column13346" dataDxfId="3057"/>
    <tableColumn id="13352" xr3:uid="{00000000-0010-0000-0300-000028340000}" name="Column13347" dataDxfId="3056"/>
    <tableColumn id="13353" xr3:uid="{00000000-0010-0000-0300-000029340000}" name="Column13348" dataDxfId="3055"/>
    <tableColumn id="13354" xr3:uid="{00000000-0010-0000-0300-00002A340000}" name="Column13349" dataDxfId="3054"/>
    <tableColumn id="13355" xr3:uid="{00000000-0010-0000-0300-00002B340000}" name="Column13350" dataDxfId="3053"/>
    <tableColumn id="13356" xr3:uid="{00000000-0010-0000-0300-00002C340000}" name="Column13351" dataDxfId="3052"/>
    <tableColumn id="13357" xr3:uid="{00000000-0010-0000-0300-00002D340000}" name="Column13352" dataDxfId="3051"/>
    <tableColumn id="13358" xr3:uid="{00000000-0010-0000-0300-00002E340000}" name="Column13353" dataDxfId="3050"/>
    <tableColumn id="13359" xr3:uid="{00000000-0010-0000-0300-00002F340000}" name="Column13354" dataDxfId="3049"/>
    <tableColumn id="13360" xr3:uid="{00000000-0010-0000-0300-000030340000}" name="Column13355" dataDxfId="3048"/>
    <tableColumn id="13361" xr3:uid="{00000000-0010-0000-0300-000031340000}" name="Column13356" dataDxfId="3047"/>
    <tableColumn id="13362" xr3:uid="{00000000-0010-0000-0300-000032340000}" name="Column13357" dataDxfId="3046"/>
    <tableColumn id="13363" xr3:uid="{00000000-0010-0000-0300-000033340000}" name="Column13358" dataDxfId="3045"/>
    <tableColumn id="13364" xr3:uid="{00000000-0010-0000-0300-000034340000}" name="Column13359" dataDxfId="3044"/>
    <tableColumn id="13365" xr3:uid="{00000000-0010-0000-0300-000035340000}" name="Column13360" dataDxfId="3043"/>
    <tableColumn id="13366" xr3:uid="{00000000-0010-0000-0300-000036340000}" name="Column13361" dataDxfId="3042"/>
    <tableColumn id="13367" xr3:uid="{00000000-0010-0000-0300-000037340000}" name="Column13362" dataDxfId="3041"/>
    <tableColumn id="13368" xr3:uid="{00000000-0010-0000-0300-000038340000}" name="Column13363" dataDxfId="3040"/>
    <tableColumn id="13369" xr3:uid="{00000000-0010-0000-0300-000039340000}" name="Column13364" dataDxfId="3039"/>
    <tableColumn id="13370" xr3:uid="{00000000-0010-0000-0300-00003A340000}" name="Column13365" dataDxfId="3038"/>
    <tableColumn id="13371" xr3:uid="{00000000-0010-0000-0300-00003B340000}" name="Column13366" dataDxfId="3037"/>
    <tableColumn id="13372" xr3:uid="{00000000-0010-0000-0300-00003C340000}" name="Column13367" dataDxfId="3036"/>
    <tableColumn id="13373" xr3:uid="{00000000-0010-0000-0300-00003D340000}" name="Column13368" dataDxfId="3035"/>
    <tableColumn id="13374" xr3:uid="{00000000-0010-0000-0300-00003E340000}" name="Column13369" dataDxfId="3034"/>
    <tableColumn id="13375" xr3:uid="{00000000-0010-0000-0300-00003F340000}" name="Column13370" dataDxfId="3033"/>
    <tableColumn id="13376" xr3:uid="{00000000-0010-0000-0300-000040340000}" name="Column13371" dataDxfId="3032"/>
    <tableColumn id="13377" xr3:uid="{00000000-0010-0000-0300-000041340000}" name="Column13372" dataDxfId="3031"/>
    <tableColumn id="13378" xr3:uid="{00000000-0010-0000-0300-000042340000}" name="Column13373" dataDxfId="3030"/>
    <tableColumn id="13379" xr3:uid="{00000000-0010-0000-0300-000043340000}" name="Column13374" dataDxfId="3029"/>
    <tableColumn id="13380" xr3:uid="{00000000-0010-0000-0300-000044340000}" name="Column13375" dataDxfId="3028"/>
    <tableColumn id="13381" xr3:uid="{00000000-0010-0000-0300-000045340000}" name="Column13376" dataDxfId="3027"/>
    <tableColumn id="13382" xr3:uid="{00000000-0010-0000-0300-000046340000}" name="Column13377" dataDxfId="3026"/>
    <tableColumn id="13383" xr3:uid="{00000000-0010-0000-0300-000047340000}" name="Column13378" dataDxfId="3025"/>
    <tableColumn id="13384" xr3:uid="{00000000-0010-0000-0300-000048340000}" name="Column13379" dataDxfId="3024"/>
    <tableColumn id="13385" xr3:uid="{00000000-0010-0000-0300-000049340000}" name="Column13380" dataDxfId="3023"/>
    <tableColumn id="13386" xr3:uid="{00000000-0010-0000-0300-00004A340000}" name="Column13381" dataDxfId="3022"/>
    <tableColumn id="13387" xr3:uid="{00000000-0010-0000-0300-00004B340000}" name="Column13382" dataDxfId="3021"/>
    <tableColumn id="13388" xr3:uid="{00000000-0010-0000-0300-00004C340000}" name="Column13383" dataDxfId="3020"/>
    <tableColumn id="13389" xr3:uid="{00000000-0010-0000-0300-00004D340000}" name="Column13384" dataDxfId="3019"/>
    <tableColumn id="13390" xr3:uid="{00000000-0010-0000-0300-00004E340000}" name="Column13385" dataDxfId="3018"/>
    <tableColumn id="13391" xr3:uid="{00000000-0010-0000-0300-00004F340000}" name="Column13386" dataDxfId="3017"/>
    <tableColumn id="13392" xr3:uid="{00000000-0010-0000-0300-000050340000}" name="Column13387" dataDxfId="3016"/>
    <tableColumn id="13393" xr3:uid="{00000000-0010-0000-0300-000051340000}" name="Column13388" dataDxfId="3015"/>
    <tableColumn id="13394" xr3:uid="{00000000-0010-0000-0300-000052340000}" name="Column13389" dataDxfId="3014"/>
    <tableColumn id="13395" xr3:uid="{00000000-0010-0000-0300-000053340000}" name="Column13390" dataDxfId="3013"/>
    <tableColumn id="13396" xr3:uid="{00000000-0010-0000-0300-000054340000}" name="Column13391" dataDxfId="3012"/>
    <tableColumn id="13397" xr3:uid="{00000000-0010-0000-0300-000055340000}" name="Column13392" dataDxfId="3011"/>
    <tableColumn id="13398" xr3:uid="{00000000-0010-0000-0300-000056340000}" name="Column13393" dataDxfId="3010"/>
    <tableColumn id="13399" xr3:uid="{00000000-0010-0000-0300-000057340000}" name="Column13394" dataDxfId="3009"/>
    <tableColumn id="13400" xr3:uid="{00000000-0010-0000-0300-000058340000}" name="Column13395" dataDxfId="3008"/>
    <tableColumn id="13401" xr3:uid="{00000000-0010-0000-0300-000059340000}" name="Column13396" dataDxfId="3007"/>
    <tableColumn id="13402" xr3:uid="{00000000-0010-0000-0300-00005A340000}" name="Column13397" dataDxfId="3006"/>
    <tableColumn id="13403" xr3:uid="{00000000-0010-0000-0300-00005B340000}" name="Column13398" dataDxfId="3005"/>
    <tableColumn id="13404" xr3:uid="{00000000-0010-0000-0300-00005C340000}" name="Column13399" dataDxfId="3004"/>
    <tableColumn id="13405" xr3:uid="{00000000-0010-0000-0300-00005D340000}" name="Column13400" dataDxfId="3003"/>
    <tableColumn id="13406" xr3:uid="{00000000-0010-0000-0300-00005E340000}" name="Column13401" dataDxfId="3002"/>
    <tableColumn id="13407" xr3:uid="{00000000-0010-0000-0300-00005F340000}" name="Column13402" dataDxfId="3001"/>
    <tableColumn id="13408" xr3:uid="{00000000-0010-0000-0300-000060340000}" name="Column13403" dataDxfId="3000"/>
    <tableColumn id="13409" xr3:uid="{00000000-0010-0000-0300-000061340000}" name="Column13404" dataDxfId="2999"/>
    <tableColumn id="13410" xr3:uid="{00000000-0010-0000-0300-000062340000}" name="Column13405" dataDxfId="2998"/>
    <tableColumn id="13411" xr3:uid="{00000000-0010-0000-0300-000063340000}" name="Column13406" dataDxfId="2997"/>
    <tableColumn id="13412" xr3:uid="{00000000-0010-0000-0300-000064340000}" name="Column13407" dataDxfId="2996"/>
    <tableColumn id="13413" xr3:uid="{00000000-0010-0000-0300-000065340000}" name="Column13408" dataDxfId="2995"/>
    <tableColumn id="13414" xr3:uid="{00000000-0010-0000-0300-000066340000}" name="Column13409" dataDxfId="2994"/>
    <tableColumn id="13415" xr3:uid="{00000000-0010-0000-0300-000067340000}" name="Column13410" dataDxfId="2993"/>
    <tableColumn id="13416" xr3:uid="{00000000-0010-0000-0300-000068340000}" name="Column13411" dataDxfId="2992"/>
    <tableColumn id="13417" xr3:uid="{00000000-0010-0000-0300-000069340000}" name="Column13412" dataDxfId="2991"/>
    <tableColumn id="13418" xr3:uid="{00000000-0010-0000-0300-00006A340000}" name="Column13413" dataDxfId="2990"/>
    <tableColumn id="13419" xr3:uid="{00000000-0010-0000-0300-00006B340000}" name="Column13414" dataDxfId="2989"/>
    <tableColumn id="13420" xr3:uid="{00000000-0010-0000-0300-00006C340000}" name="Column13415" dataDxfId="2988"/>
    <tableColumn id="13421" xr3:uid="{00000000-0010-0000-0300-00006D340000}" name="Column13416" dataDxfId="2987"/>
    <tableColumn id="13422" xr3:uid="{00000000-0010-0000-0300-00006E340000}" name="Column13417" dataDxfId="2986"/>
    <tableColumn id="13423" xr3:uid="{00000000-0010-0000-0300-00006F340000}" name="Column13418" dataDxfId="2985"/>
    <tableColumn id="13424" xr3:uid="{00000000-0010-0000-0300-000070340000}" name="Column13419" dataDxfId="2984"/>
    <tableColumn id="13425" xr3:uid="{00000000-0010-0000-0300-000071340000}" name="Column13420" dataDxfId="2983"/>
    <tableColumn id="13426" xr3:uid="{00000000-0010-0000-0300-000072340000}" name="Column13421" dataDxfId="2982"/>
    <tableColumn id="13427" xr3:uid="{00000000-0010-0000-0300-000073340000}" name="Column13422" dataDxfId="2981"/>
    <tableColumn id="13428" xr3:uid="{00000000-0010-0000-0300-000074340000}" name="Column13423" dataDxfId="2980"/>
    <tableColumn id="13429" xr3:uid="{00000000-0010-0000-0300-000075340000}" name="Column13424" dataDxfId="2979"/>
    <tableColumn id="13430" xr3:uid="{00000000-0010-0000-0300-000076340000}" name="Column13425" dataDxfId="2978"/>
    <tableColumn id="13431" xr3:uid="{00000000-0010-0000-0300-000077340000}" name="Column13426" dataDxfId="2977"/>
    <tableColumn id="13432" xr3:uid="{00000000-0010-0000-0300-000078340000}" name="Column13427" dataDxfId="2976"/>
    <tableColumn id="13433" xr3:uid="{00000000-0010-0000-0300-000079340000}" name="Column13428" dataDxfId="2975"/>
    <tableColumn id="13434" xr3:uid="{00000000-0010-0000-0300-00007A340000}" name="Column13429" dataDxfId="2974"/>
    <tableColumn id="13435" xr3:uid="{00000000-0010-0000-0300-00007B340000}" name="Column13430" dataDxfId="2973"/>
    <tableColumn id="13436" xr3:uid="{00000000-0010-0000-0300-00007C340000}" name="Column13431" dataDxfId="2972"/>
    <tableColumn id="13437" xr3:uid="{00000000-0010-0000-0300-00007D340000}" name="Column13432" dataDxfId="2971"/>
    <tableColumn id="13438" xr3:uid="{00000000-0010-0000-0300-00007E340000}" name="Column13433" dataDxfId="2970"/>
    <tableColumn id="13439" xr3:uid="{00000000-0010-0000-0300-00007F340000}" name="Column13434" dataDxfId="2969"/>
    <tableColumn id="13440" xr3:uid="{00000000-0010-0000-0300-000080340000}" name="Column13435" dataDxfId="2968"/>
    <tableColumn id="13441" xr3:uid="{00000000-0010-0000-0300-000081340000}" name="Column13436" dataDxfId="2967"/>
    <tableColumn id="13442" xr3:uid="{00000000-0010-0000-0300-000082340000}" name="Column13437" dataDxfId="2966"/>
    <tableColumn id="13443" xr3:uid="{00000000-0010-0000-0300-000083340000}" name="Column13438" dataDxfId="2965"/>
    <tableColumn id="13444" xr3:uid="{00000000-0010-0000-0300-000084340000}" name="Column13439" dataDxfId="2964"/>
    <tableColumn id="13445" xr3:uid="{00000000-0010-0000-0300-000085340000}" name="Column13440" dataDxfId="2963"/>
    <tableColumn id="13446" xr3:uid="{00000000-0010-0000-0300-000086340000}" name="Column13441" dataDxfId="2962"/>
    <tableColumn id="13447" xr3:uid="{00000000-0010-0000-0300-000087340000}" name="Column13442" dataDxfId="2961"/>
    <tableColumn id="13448" xr3:uid="{00000000-0010-0000-0300-000088340000}" name="Column13443" dataDxfId="2960"/>
    <tableColumn id="13449" xr3:uid="{00000000-0010-0000-0300-000089340000}" name="Column13444" dataDxfId="2959"/>
    <tableColumn id="13450" xr3:uid="{00000000-0010-0000-0300-00008A340000}" name="Column13445" dataDxfId="2958"/>
    <tableColumn id="13451" xr3:uid="{00000000-0010-0000-0300-00008B340000}" name="Column13446" dataDxfId="2957"/>
    <tableColumn id="13452" xr3:uid="{00000000-0010-0000-0300-00008C340000}" name="Column13447" dataDxfId="2956"/>
    <tableColumn id="13453" xr3:uid="{00000000-0010-0000-0300-00008D340000}" name="Column13448" dataDxfId="2955"/>
    <tableColumn id="13454" xr3:uid="{00000000-0010-0000-0300-00008E340000}" name="Column13449" dataDxfId="2954"/>
    <tableColumn id="13455" xr3:uid="{00000000-0010-0000-0300-00008F340000}" name="Column13450" dataDxfId="2953"/>
    <tableColumn id="13456" xr3:uid="{00000000-0010-0000-0300-000090340000}" name="Column13451" dataDxfId="2952"/>
    <tableColumn id="13457" xr3:uid="{00000000-0010-0000-0300-000091340000}" name="Column13452" dataDxfId="2951"/>
    <tableColumn id="13458" xr3:uid="{00000000-0010-0000-0300-000092340000}" name="Column13453" dataDxfId="2950"/>
    <tableColumn id="13459" xr3:uid="{00000000-0010-0000-0300-000093340000}" name="Column13454" dataDxfId="2949"/>
    <tableColumn id="13460" xr3:uid="{00000000-0010-0000-0300-000094340000}" name="Column13455" dataDxfId="2948"/>
    <tableColumn id="13461" xr3:uid="{00000000-0010-0000-0300-000095340000}" name="Column13456" dataDxfId="2947"/>
    <tableColumn id="13462" xr3:uid="{00000000-0010-0000-0300-000096340000}" name="Column13457" dataDxfId="2946"/>
    <tableColumn id="13463" xr3:uid="{00000000-0010-0000-0300-000097340000}" name="Column13458" dataDxfId="2945"/>
    <tableColumn id="13464" xr3:uid="{00000000-0010-0000-0300-000098340000}" name="Column13459" dataDxfId="2944"/>
    <tableColumn id="13465" xr3:uid="{00000000-0010-0000-0300-000099340000}" name="Column13460" dataDxfId="2943"/>
    <tableColumn id="13466" xr3:uid="{00000000-0010-0000-0300-00009A340000}" name="Column13461" dataDxfId="2942"/>
    <tableColumn id="13467" xr3:uid="{00000000-0010-0000-0300-00009B340000}" name="Column13462" dataDxfId="2941"/>
    <tableColumn id="13468" xr3:uid="{00000000-0010-0000-0300-00009C340000}" name="Column13463" dataDxfId="2940"/>
    <tableColumn id="13469" xr3:uid="{00000000-0010-0000-0300-00009D340000}" name="Column13464" dataDxfId="2939"/>
    <tableColumn id="13470" xr3:uid="{00000000-0010-0000-0300-00009E340000}" name="Column13465" dataDxfId="2938"/>
    <tableColumn id="13471" xr3:uid="{00000000-0010-0000-0300-00009F340000}" name="Column13466" dataDxfId="2937"/>
    <tableColumn id="13472" xr3:uid="{00000000-0010-0000-0300-0000A0340000}" name="Column13467" dataDxfId="2936"/>
    <tableColumn id="13473" xr3:uid="{00000000-0010-0000-0300-0000A1340000}" name="Column13468" dataDxfId="2935"/>
    <tableColumn id="13474" xr3:uid="{00000000-0010-0000-0300-0000A2340000}" name="Column13469" dataDxfId="2934"/>
    <tableColumn id="13475" xr3:uid="{00000000-0010-0000-0300-0000A3340000}" name="Column13470" dataDxfId="2933"/>
    <tableColumn id="13476" xr3:uid="{00000000-0010-0000-0300-0000A4340000}" name="Column13471" dataDxfId="2932"/>
    <tableColumn id="13477" xr3:uid="{00000000-0010-0000-0300-0000A5340000}" name="Column13472" dataDxfId="2931"/>
    <tableColumn id="13478" xr3:uid="{00000000-0010-0000-0300-0000A6340000}" name="Column13473" dataDxfId="2930"/>
    <tableColumn id="13479" xr3:uid="{00000000-0010-0000-0300-0000A7340000}" name="Column13474" dataDxfId="2929"/>
    <tableColumn id="13480" xr3:uid="{00000000-0010-0000-0300-0000A8340000}" name="Column13475" dataDxfId="2928"/>
    <tableColumn id="13481" xr3:uid="{00000000-0010-0000-0300-0000A9340000}" name="Column13476" dataDxfId="2927"/>
    <tableColumn id="13482" xr3:uid="{00000000-0010-0000-0300-0000AA340000}" name="Column13477" dataDxfId="2926"/>
    <tableColumn id="13483" xr3:uid="{00000000-0010-0000-0300-0000AB340000}" name="Column13478" dataDxfId="2925"/>
    <tableColumn id="13484" xr3:uid="{00000000-0010-0000-0300-0000AC340000}" name="Column13479" dataDxfId="2924"/>
    <tableColumn id="13485" xr3:uid="{00000000-0010-0000-0300-0000AD340000}" name="Column13480" dataDxfId="2923"/>
    <tableColumn id="13486" xr3:uid="{00000000-0010-0000-0300-0000AE340000}" name="Column13481" dataDxfId="2922"/>
    <tableColumn id="13487" xr3:uid="{00000000-0010-0000-0300-0000AF340000}" name="Column13482" dataDxfId="2921"/>
    <tableColumn id="13488" xr3:uid="{00000000-0010-0000-0300-0000B0340000}" name="Column13483" dataDxfId="2920"/>
    <tableColumn id="13489" xr3:uid="{00000000-0010-0000-0300-0000B1340000}" name="Column13484" dataDxfId="2919"/>
    <tableColumn id="13490" xr3:uid="{00000000-0010-0000-0300-0000B2340000}" name="Column13485" dataDxfId="2918"/>
    <tableColumn id="13491" xr3:uid="{00000000-0010-0000-0300-0000B3340000}" name="Column13486" dataDxfId="2917"/>
    <tableColumn id="13492" xr3:uid="{00000000-0010-0000-0300-0000B4340000}" name="Column13487" dataDxfId="2916"/>
    <tableColumn id="13493" xr3:uid="{00000000-0010-0000-0300-0000B5340000}" name="Column13488" dataDxfId="2915"/>
    <tableColumn id="13494" xr3:uid="{00000000-0010-0000-0300-0000B6340000}" name="Column13489" dataDxfId="2914"/>
    <tableColumn id="13495" xr3:uid="{00000000-0010-0000-0300-0000B7340000}" name="Column13490" dataDxfId="2913"/>
    <tableColumn id="13496" xr3:uid="{00000000-0010-0000-0300-0000B8340000}" name="Column13491" dataDxfId="2912"/>
    <tableColumn id="13497" xr3:uid="{00000000-0010-0000-0300-0000B9340000}" name="Column13492" dataDxfId="2911"/>
    <tableColumn id="13498" xr3:uid="{00000000-0010-0000-0300-0000BA340000}" name="Column13493" dataDxfId="2910"/>
    <tableColumn id="13499" xr3:uid="{00000000-0010-0000-0300-0000BB340000}" name="Column13494" dataDxfId="2909"/>
    <tableColumn id="13500" xr3:uid="{00000000-0010-0000-0300-0000BC340000}" name="Column13495" dataDxfId="2908"/>
    <tableColumn id="13501" xr3:uid="{00000000-0010-0000-0300-0000BD340000}" name="Column13496" dataDxfId="2907"/>
    <tableColumn id="13502" xr3:uid="{00000000-0010-0000-0300-0000BE340000}" name="Column13497" dataDxfId="2906"/>
    <tableColumn id="13503" xr3:uid="{00000000-0010-0000-0300-0000BF340000}" name="Column13498" dataDxfId="2905"/>
    <tableColumn id="13504" xr3:uid="{00000000-0010-0000-0300-0000C0340000}" name="Column13499" dataDxfId="2904"/>
    <tableColumn id="13505" xr3:uid="{00000000-0010-0000-0300-0000C1340000}" name="Column13500" dataDxfId="2903"/>
    <tableColumn id="13506" xr3:uid="{00000000-0010-0000-0300-0000C2340000}" name="Column13501" dataDxfId="2902"/>
    <tableColumn id="13507" xr3:uid="{00000000-0010-0000-0300-0000C3340000}" name="Column13502" dataDxfId="2901"/>
    <tableColumn id="13508" xr3:uid="{00000000-0010-0000-0300-0000C4340000}" name="Column13503" dataDxfId="2900"/>
    <tableColumn id="13509" xr3:uid="{00000000-0010-0000-0300-0000C5340000}" name="Column13504" dataDxfId="2899"/>
    <tableColumn id="13510" xr3:uid="{00000000-0010-0000-0300-0000C6340000}" name="Column13505" dataDxfId="2898"/>
    <tableColumn id="13511" xr3:uid="{00000000-0010-0000-0300-0000C7340000}" name="Column13506" dataDxfId="2897"/>
    <tableColumn id="13512" xr3:uid="{00000000-0010-0000-0300-0000C8340000}" name="Column13507" dataDxfId="2896"/>
    <tableColumn id="13513" xr3:uid="{00000000-0010-0000-0300-0000C9340000}" name="Column13508" dataDxfId="2895"/>
    <tableColumn id="13514" xr3:uid="{00000000-0010-0000-0300-0000CA340000}" name="Column13509" dataDxfId="2894"/>
    <tableColumn id="13515" xr3:uid="{00000000-0010-0000-0300-0000CB340000}" name="Column13510" dataDxfId="2893"/>
    <tableColumn id="13516" xr3:uid="{00000000-0010-0000-0300-0000CC340000}" name="Column13511" dataDxfId="2892"/>
    <tableColumn id="13517" xr3:uid="{00000000-0010-0000-0300-0000CD340000}" name="Column13512" dataDxfId="2891"/>
    <tableColumn id="13518" xr3:uid="{00000000-0010-0000-0300-0000CE340000}" name="Column13513" dataDxfId="2890"/>
    <tableColumn id="13519" xr3:uid="{00000000-0010-0000-0300-0000CF340000}" name="Column13514" dataDxfId="2889"/>
    <tableColumn id="13520" xr3:uid="{00000000-0010-0000-0300-0000D0340000}" name="Column13515" dataDxfId="2888"/>
    <tableColumn id="13521" xr3:uid="{00000000-0010-0000-0300-0000D1340000}" name="Column13516" dataDxfId="2887"/>
    <tableColumn id="13522" xr3:uid="{00000000-0010-0000-0300-0000D2340000}" name="Column13517" dataDxfId="2886"/>
    <tableColumn id="13523" xr3:uid="{00000000-0010-0000-0300-0000D3340000}" name="Column13518" dataDxfId="2885"/>
    <tableColumn id="13524" xr3:uid="{00000000-0010-0000-0300-0000D4340000}" name="Column13519" dataDxfId="2884"/>
    <tableColumn id="13525" xr3:uid="{00000000-0010-0000-0300-0000D5340000}" name="Column13520" dataDxfId="2883"/>
    <tableColumn id="13526" xr3:uid="{00000000-0010-0000-0300-0000D6340000}" name="Column13521" dataDxfId="2882"/>
    <tableColumn id="13527" xr3:uid="{00000000-0010-0000-0300-0000D7340000}" name="Column13522" dataDxfId="2881"/>
    <tableColumn id="13528" xr3:uid="{00000000-0010-0000-0300-0000D8340000}" name="Column13523" dataDxfId="2880"/>
    <tableColumn id="13529" xr3:uid="{00000000-0010-0000-0300-0000D9340000}" name="Column13524" dataDxfId="2879"/>
    <tableColumn id="13530" xr3:uid="{00000000-0010-0000-0300-0000DA340000}" name="Column13525" dataDxfId="2878"/>
    <tableColumn id="13531" xr3:uid="{00000000-0010-0000-0300-0000DB340000}" name="Column13526" dataDxfId="2877"/>
    <tableColumn id="13532" xr3:uid="{00000000-0010-0000-0300-0000DC340000}" name="Column13527" dataDxfId="2876"/>
    <tableColumn id="13533" xr3:uid="{00000000-0010-0000-0300-0000DD340000}" name="Column13528" dataDxfId="2875"/>
    <tableColumn id="13534" xr3:uid="{00000000-0010-0000-0300-0000DE340000}" name="Column13529" dataDxfId="2874"/>
    <tableColumn id="13535" xr3:uid="{00000000-0010-0000-0300-0000DF340000}" name="Column13530" dataDxfId="2873"/>
    <tableColumn id="13536" xr3:uid="{00000000-0010-0000-0300-0000E0340000}" name="Column13531" dataDxfId="2872"/>
    <tableColumn id="13537" xr3:uid="{00000000-0010-0000-0300-0000E1340000}" name="Column13532" dataDxfId="2871"/>
    <tableColumn id="13538" xr3:uid="{00000000-0010-0000-0300-0000E2340000}" name="Column13533" dataDxfId="2870"/>
    <tableColumn id="13539" xr3:uid="{00000000-0010-0000-0300-0000E3340000}" name="Column13534" dataDxfId="2869"/>
    <tableColumn id="13540" xr3:uid="{00000000-0010-0000-0300-0000E4340000}" name="Column13535" dataDxfId="2868"/>
    <tableColumn id="13541" xr3:uid="{00000000-0010-0000-0300-0000E5340000}" name="Column13536" dataDxfId="2867"/>
    <tableColumn id="13542" xr3:uid="{00000000-0010-0000-0300-0000E6340000}" name="Column13537" dataDxfId="2866"/>
    <tableColumn id="13543" xr3:uid="{00000000-0010-0000-0300-0000E7340000}" name="Column13538" dataDxfId="2865"/>
    <tableColumn id="13544" xr3:uid="{00000000-0010-0000-0300-0000E8340000}" name="Column13539" dataDxfId="2864"/>
    <tableColumn id="13545" xr3:uid="{00000000-0010-0000-0300-0000E9340000}" name="Column13540" dataDxfId="2863"/>
    <tableColumn id="13546" xr3:uid="{00000000-0010-0000-0300-0000EA340000}" name="Column13541" dataDxfId="2862"/>
    <tableColumn id="13547" xr3:uid="{00000000-0010-0000-0300-0000EB340000}" name="Column13542" dataDxfId="2861"/>
    <tableColumn id="13548" xr3:uid="{00000000-0010-0000-0300-0000EC340000}" name="Column13543" dataDxfId="2860"/>
    <tableColumn id="13549" xr3:uid="{00000000-0010-0000-0300-0000ED340000}" name="Column13544" dataDxfId="2859"/>
    <tableColumn id="13550" xr3:uid="{00000000-0010-0000-0300-0000EE340000}" name="Column13545" dataDxfId="2858"/>
    <tableColumn id="13551" xr3:uid="{00000000-0010-0000-0300-0000EF340000}" name="Column13546" dataDxfId="2857"/>
    <tableColumn id="13552" xr3:uid="{00000000-0010-0000-0300-0000F0340000}" name="Column13547" dataDxfId="2856"/>
    <tableColumn id="13553" xr3:uid="{00000000-0010-0000-0300-0000F1340000}" name="Column13548" dataDxfId="2855"/>
    <tableColumn id="13554" xr3:uid="{00000000-0010-0000-0300-0000F2340000}" name="Column13549" dataDxfId="2854"/>
    <tableColumn id="13555" xr3:uid="{00000000-0010-0000-0300-0000F3340000}" name="Column13550" dataDxfId="2853"/>
    <tableColumn id="13556" xr3:uid="{00000000-0010-0000-0300-0000F4340000}" name="Column13551" dataDxfId="2852"/>
    <tableColumn id="13557" xr3:uid="{00000000-0010-0000-0300-0000F5340000}" name="Column13552" dataDxfId="2851"/>
    <tableColumn id="13558" xr3:uid="{00000000-0010-0000-0300-0000F6340000}" name="Column13553" dataDxfId="2850"/>
    <tableColumn id="13559" xr3:uid="{00000000-0010-0000-0300-0000F7340000}" name="Column13554" dataDxfId="2849"/>
    <tableColumn id="13560" xr3:uid="{00000000-0010-0000-0300-0000F8340000}" name="Column13555" dataDxfId="2848"/>
    <tableColumn id="13561" xr3:uid="{00000000-0010-0000-0300-0000F9340000}" name="Column13556" dataDxfId="2847"/>
    <tableColumn id="13562" xr3:uid="{00000000-0010-0000-0300-0000FA340000}" name="Column13557" dataDxfId="2846"/>
    <tableColumn id="13563" xr3:uid="{00000000-0010-0000-0300-0000FB340000}" name="Column13558" dataDxfId="2845"/>
    <tableColumn id="13564" xr3:uid="{00000000-0010-0000-0300-0000FC340000}" name="Column13559" dataDxfId="2844"/>
    <tableColumn id="13565" xr3:uid="{00000000-0010-0000-0300-0000FD340000}" name="Column13560" dataDxfId="2843"/>
    <tableColumn id="13566" xr3:uid="{00000000-0010-0000-0300-0000FE340000}" name="Column13561" dataDxfId="2842"/>
    <tableColumn id="13567" xr3:uid="{00000000-0010-0000-0300-0000FF340000}" name="Column13562" dataDxfId="2841"/>
    <tableColumn id="13568" xr3:uid="{00000000-0010-0000-0300-000000350000}" name="Column13563" dataDxfId="2840"/>
    <tableColumn id="13569" xr3:uid="{00000000-0010-0000-0300-000001350000}" name="Column13564" dataDxfId="2839"/>
    <tableColumn id="13570" xr3:uid="{00000000-0010-0000-0300-000002350000}" name="Column13565" dataDxfId="2838"/>
    <tableColumn id="13571" xr3:uid="{00000000-0010-0000-0300-000003350000}" name="Column13566" dataDxfId="2837"/>
    <tableColumn id="13572" xr3:uid="{00000000-0010-0000-0300-000004350000}" name="Column13567" dataDxfId="2836"/>
    <tableColumn id="13573" xr3:uid="{00000000-0010-0000-0300-000005350000}" name="Column13568" dataDxfId="2835"/>
    <tableColumn id="13574" xr3:uid="{00000000-0010-0000-0300-000006350000}" name="Column13569" dataDxfId="2834"/>
    <tableColumn id="13575" xr3:uid="{00000000-0010-0000-0300-000007350000}" name="Column13570" dataDxfId="2833"/>
    <tableColumn id="13576" xr3:uid="{00000000-0010-0000-0300-000008350000}" name="Column13571" dataDxfId="2832"/>
    <tableColumn id="13577" xr3:uid="{00000000-0010-0000-0300-000009350000}" name="Column13572" dataDxfId="2831"/>
    <tableColumn id="13578" xr3:uid="{00000000-0010-0000-0300-00000A350000}" name="Column13573" dataDxfId="2830"/>
    <tableColumn id="13579" xr3:uid="{00000000-0010-0000-0300-00000B350000}" name="Column13574" dataDxfId="2829"/>
    <tableColumn id="13580" xr3:uid="{00000000-0010-0000-0300-00000C350000}" name="Column13575" dataDxfId="2828"/>
    <tableColumn id="13581" xr3:uid="{00000000-0010-0000-0300-00000D350000}" name="Column13576" dataDxfId="2827"/>
    <tableColumn id="13582" xr3:uid="{00000000-0010-0000-0300-00000E350000}" name="Column13577" dataDxfId="2826"/>
    <tableColumn id="13583" xr3:uid="{00000000-0010-0000-0300-00000F350000}" name="Column13578" dataDxfId="2825"/>
    <tableColumn id="13584" xr3:uid="{00000000-0010-0000-0300-000010350000}" name="Column13579" dataDxfId="2824"/>
    <tableColumn id="13585" xr3:uid="{00000000-0010-0000-0300-000011350000}" name="Column13580" dataDxfId="2823"/>
    <tableColumn id="13586" xr3:uid="{00000000-0010-0000-0300-000012350000}" name="Column13581" dataDxfId="2822"/>
    <tableColumn id="13587" xr3:uid="{00000000-0010-0000-0300-000013350000}" name="Column13582" dataDxfId="2821"/>
    <tableColumn id="13588" xr3:uid="{00000000-0010-0000-0300-000014350000}" name="Column13583" dataDxfId="2820"/>
    <tableColumn id="13589" xr3:uid="{00000000-0010-0000-0300-000015350000}" name="Column13584" dataDxfId="2819"/>
    <tableColumn id="13590" xr3:uid="{00000000-0010-0000-0300-000016350000}" name="Column13585" dataDxfId="2818"/>
    <tableColumn id="13591" xr3:uid="{00000000-0010-0000-0300-000017350000}" name="Column13586" dataDxfId="2817"/>
    <tableColumn id="13592" xr3:uid="{00000000-0010-0000-0300-000018350000}" name="Column13587" dataDxfId="2816"/>
    <tableColumn id="13593" xr3:uid="{00000000-0010-0000-0300-000019350000}" name="Column13588" dataDxfId="2815"/>
    <tableColumn id="13594" xr3:uid="{00000000-0010-0000-0300-00001A350000}" name="Column13589" dataDxfId="2814"/>
    <tableColumn id="13595" xr3:uid="{00000000-0010-0000-0300-00001B350000}" name="Column13590" dataDxfId="2813"/>
    <tableColumn id="13596" xr3:uid="{00000000-0010-0000-0300-00001C350000}" name="Column13591" dataDxfId="2812"/>
    <tableColumn id="13597" xr3:uid="{00000000-0010-0000-0300-00001D350000}" name="Column13592" dataDxfId="2811"/>
    <tableColumn id="13598" xr3:uid="{00000000-0010-0000-0300-00001E350000}" name="Column13593" dataDxfId="2810"/>
    <tableColumn id="13599" xr3:uid="{00000000-0010-0000-0300-00001F350000}" name="Column13594" dataDxfId="2809"/>
    <tableColumn id="13600" xr3:uid="{00000000-0010-0000-0300-000020350000}" name="Column13595" dataDxfId="2808"/>
    <tableColumn id="13601" xr3:uid="{00000000-0010-0000-0300-000021350000}" name="Column13596" dataDxfId="2807"/>
    <tableColumn id="13602" xr3:uid="{00000000-0010-0000-0300-000022350000}" name="Column13597" dataDxfId="2806"/>
    <tableColumn id="13603" xr3:uid="{00000000-0010-0000-0300-000023350000}" name="Column13598" dataDxfId="2805"/>
    <tableColumn id="13604" xr3:uid="{00000000-0010-0000-0300-000024350000}" name="Column13599" dataDxfId="2804"/>
    <tableColumn id="13605" xr3:uid="{00000000-0010-0000-0300-000025350000}" name="Column13600" dataDxfId="2803"/>
    <tableColumn id="13606" xr3:uid="{00000000-0010-0000-0300-000026350000}" name="Column13601" dataDxfId="2802"/>
    <tableColumn id="13607" xr3:uid="{00000000-0010-0000-0300-000027350000}" name="Column13602" dataDxfId="2801"/>
    <tableColumn id="13608" xr3:uid="{00000000-0010-0000-0300-000028350000}" name="Column13603" dataDxfId="2800"/>
    <tableColumn id="13609" xr3:uid="{00000000-0010-0000-0300-000029350000}" name="Column13604" dataDxfId="2799"/>
    <tableColumn id="13610" xr3:uid="{00000000-0010-0000-0300-00002A350000}" name="Column13605" dataDxfId="2798"/>
    <tableColumn id="13611" xr3:uid="{00000000-0010-0000-0300-00002B350000}" name="Column13606" dataDxfId="2797"/>
    <tableColumn id="13612" xr3:uid="{00000000-0010-0000-0300-00002C350000}" name="Column13607" dataDxfId="2796"/>
    <tableColumn id="13613" xr3:uid="{00000000-0010-0000-0300-00002D350000}" name="Column13608" dataDxfId="2795"/>
    <tableColumn id="13614" xr3:uid="{00000000-0010-0000-0300-00002E350000}" name="Column13609" dataDxfId="2794"/>
    <tableColumn id="13615" xr3:uid="{00000000-0010-0000-0300-00002F350000}" name="Column13610" dataDxfId="2793"/>
    <tableColumn id="13616" xr3:uid="{00000000-0010-0000-0300-000030350000}" name="Column13611" dataDxfId="2792"/>
    <tableColumn id="13617" xr3:uid="{00000000-0010-0000-0300-000031350000}" name="Column13612" dataDxfId="2791"/>
    <tableColumn id="13618" xr3:uid="{00000000-0010-0000-0300-000032350000}" name="Column13613" dataDxfId="2790"/>
    <tableColumn id="13619" xr3:uid="{00000000-0010-0000-0300-000033350000}" name="Column13614" dataDxfId="2789"/>
    <tableColumn id="13620" xr3:uid="{00000000-0010-0000-0300-000034350000}" name="Column13615" dataDxfId="2788"/>
    <tableColumn id="13621" xr3:uid="{00000000-0010-0000-0300-000035350000}" name="Column13616" dataDxfId="2787"/>
    <tableColumn id="13622" xr3:uid="{00000000-0010-0000-0300-000036350000}" name="Column13617" dataDxfId="2786"/>
    <tableColumn id="13623" xr3:uid="{00000000-0010-0000-0300-000037350000}" name="Column13618" dataDxfId="2785"/>
    <tableColumn id="13624" xr3:uid="{00000000-0010-0000-0300-000038350000}" name="Column13619" dataDxfId="2784"/>
    <tableColumn id="13625" xr3:uid="{00000000-0010-0000-0300-000039350000}" name="Column13620" dataDxfId="2783"/>
    <tableColumn id="13626" xr3:uid="{00000000-0010-0000-0300-00003A350000}" name="Column13621" dataDxfId="2782"/>
    <tableColumn id="13627" xr3:uid="{00000000-0010-0000-0300-00003B350000}" name="Column13622" dataDxfId="2781"/>
    <tableColumn id="13628" xr3:uid="{00000000-0010-0000-0300-00003C350000}" name="Column13623" dataDxfId="2780"/>
    <tableColumn id="13629" xr3:uid="{00000000-0010-0000-0300-00003D350000}" name="Column13624" dataDxfId="2779"/>
    <tableColumn id="13630" xr3:uid="{00000000-0010-0000-0300-00003E350000}" name="Column13625" dataDxfId="2778"/>
    <tableColumn id="13631" xr3:uid="{00000000-0010-0000-0300-00003F350000}" name="Column13626" dataDxfId="2777"/>
    <tableColumn id="13632" xr3:uid="{00000000-0010-0000-0300-000040350000}" name="Column13627" dataDxfId="2776"/>
    <tableColumn id="13633" xr3:uid="{00000000-0010-0000-0300-000041350000}" name="Column13628" dataDxfId="2775"/>
    <tableColumn id="13634" xr3:uid="{00000000-0010-0000-0300-000042350000}" name="Column13629" dataDxfId="2774"/>
    <tableColumn id="13635" xr3:uid="{00000000-0010-0000-0300-000043350000}" name="Column13630" dataDxfId="2773"/>
    <tableColumn id="13636" xr3:uid="{00000000-0010-0000-0300-000044350000}" name="Column13631" dataDxfId="2772"/>
    <tableColumn id="13637" xr3:uid="{00000000-0010-0000-0300-000045350000}" name="Column13632" dataDxfId="2771"/>
    <tableColumn id="13638" xr3:uid="{00000000-0010-0000-0300-000046350000}" name="Column13633" dataDxfId="2770"/>
    <tableColumn id="13639" xr3:uid="{00000000-0010-0000-0300-000047350000}" name="Column13634" dataDxfId="2769"/>
    <tableColumn id="13640" xr3:uid="{00000000-0010-0000-0300-000048350000}" name="Column13635" dataDxfId="2768"/>
    <tableColumn id="13641" xr3:uid="{00000000-0010-0000-0300-000049350000}" name="Column13636" dataDxfId="2767"/>
    <tableColumn id="13642" xr3:uid="{00000000-0010-0000-0300-00004A350000}" name="Column13637" dataDxfId="2766"/>
    <tableColumn id="13643" xr3:uid="{00000000-0010-0000-0300-00004B350000}" name="Column13638" dataDxfId="2765"/>
    <tableColumn id="13644" xr3:uid="{00000000-0010-0000-0300-00004C350000}" name="Column13639" dataDxfId="2764"/>
    <tableColumn id="13645" xr3:uid="{00000000-0010-0000-0300-00004D350000}" name="Column13640" dataDxfId="2763"/>
    <tableColumn id="13646" xr3:uid="{00000000-0010-0000-0300-00004E350000}" name="Column13641" dataDxfId="2762"/>
    <tableColumn id="13647" xr3:uid="{00000000-0010-0000-0300-00004F350000}" name="Column13642" dataDxfId="2761"/>
    <tableColumn id="13648" xr3:uid="{00000000-0010-0000-0300-000050350000}" name="Column13643" dataDxfId="2760"/>
    <tableColumn id="13649" xr3:uid="{00000000-0010-0000-0300-000051350000}" name="Column13644" dataDxfId="2759"/>
    <tableColumn id="13650" xr3:uid="{00000000-0010-0000-0300-000052350000}" name="Column13645" dataDxfId="2758"/>
    <tableColumn id="13651" xr3:uid="{00000000-0010-0000-0300-000053350000}" name="Column13646" dataDxfId="2757"/>
    <tableColumn id="13652" xr3:uid="{00000000-0010-0000-0300-000054350000}" name="Column13647" dataDxfId="2756"/>
    <tableColumn id="13653" xr3:uid="{00000000-0010-0000-0300-000055350000}" name="Column13648" dataDxfId="2755"/>
    <tableColumn id="13654" xr3:uid="{00000000-0010-0000-0300-000056350000}" name="Column13649" dataDxfId="2754"/>
    <tableColumn id="13655" xr3:uid="{00000000-0010-0000-0300-000057350000}" name="Column13650" dataDxfId="2753"/>
    <tableColumn id="13656" xr3:uid="{00000000-0010-0000-0300-000058350000}" name="Column13651" dataDxfId="2752"/>
    <tableColumn id="13657" xr3:uid="{00000000-0010-0000-0300-000059350000}" name="Column13652" dataDxfId="2751"/>
    <tableColumn id="13658" xr3:uid="{00000000-0010-0000-0300-00005A350000}" name="Column13653" dataDxfId="2750"/>
    <tableColumn id="13659" xr3:uid="{00000000-0010-0000-0300-00005B350000}" name="Column13654" dataDxfId="2749"/>
    <tableColumn id="13660" xr3:uid="{00000000-0010-0000-0300-00005C350000}" name="Column13655" dataDxfId="2748"/>
    <tableColumn id="13661" xr3:uid="{00000000-0010-0000-0300-00005D350000}" name="Column13656" dataDxfId="2747"/>
    <tableColumn id="13662" xr3:uid="{00000000-0010-0000-0300-00005E350000}" name="Column13657" dataDxfId="2746"/>
    <tableColumn id="13663" xr3:uid="{00000000-0010-0000-0300-00005F350000}" name="Column13658" dataDxfId="2745"/>
    <tableColumn id="13664" xr3:uid="{00000000-0010-0000-0300-000060350000}" name="Column13659" dataDxfId="2744"/>
    <tableColumn id="13665" xr3:uid="{00000000-0010-0000-0300-000061350000}" name="Column13660" dataDxfId="2743"/>
    <tableColumn id="13666" xr3:uid="{00000000-0010-0000-0300-000062350000}" name="Column13661" dataDxfId="2742"/>
    <tableColumn id="13667" xr3:uid="{00000000-0010-0000-0300-000063350000}" name="Column13662" dataDxfId="2741"/>
    <tableColumn id="13668" xr3:uid="{00000000-0010-0000-0300-000064350000}" name="Column13663" dataDxfId="2740"/>
    <tableColumn id="13669" xr3:uid="{00000000-0010-0000-0300-000065350000}" name="Column13664" dataDxfId="2739"/>
    <tableColumn id="13670" xr3:uid="{00000000-0010-0000-0300-000066350000}" name="Column13665" dataDxfId="2738"/>
    <tableColumn id="13671" xr3:uid="{00000000-0010-0000-0300-000067350000}" name="Column13666" dataDxfId="2737"/>
    <tableColumn id="13672" xr3:uid="{00000000-0010-0000-0300-000068350000}" name="Column13667" dataDxfId="2736"/>
    <tableColumn id="13673" xr3:uid="{00000000-0010-0000-0300-000069350000}" name="Column13668" dataDxfId="2735"/>
    <tableColumn id="13674" xr3:uid="{00000000-0010-0000-0300-00006A350000}" name="Column13669" dataDxfId="2734"/>
    <tableColumn id="13675" xr3:uid="{00000000-0010-0000-0300-00006B350000}" name="Column13670" dataDxfId="2733"/>
    <tableColumn id="13676" xr3:uid="{00000000-0010-0000-0300-00006C350000}" name="Column13671" dataDxfId="2732"/>
    <tableColumn id="13677" xr3:uid="{00000000-0010-0000-0300-00006D350000}" name="Column13672" dataDxfId="2731"/>
    <tableColumn id="13678" xr3:uid="{00000000-0010-0000-0300-00006E350000}" name="Column13673" dataDxfId="2730"/>
    <tableColumn id="13679" xr3:uid="{00000000-0010-0000-0300-00006F350000}" name="Column13674" dataDxfId="2729"/>
    <tableColumn id="13680" xr3:uid="{00000000-0010-0000-0300-000070350000}" name="Column13675" dataDxfId="2728"/>
    <tableColumn id="13681" xr3:uid="{00000000-0010-0000-0300-000071350000}" name="Column13676" dataDxfId="2727"/>
    <tableColumn id="13682" xr3:uid="{00000000-0010-0000-0300-000072350000}" name="Column13677" dataDxfId="2726"/>
    <tableColumn id="13683" xr3:uid="{00000000-0010-0000-0300-000073350000}" name="Column13678" dataDxfId="2725"/>
    <tableColumn id="13684" xr3:uid="{00000000-0010-0000-0300-000074350000}" name="Column13679" dataDxfId="2724"/>
    <tableColumn id="13685" xr3:uid="{00000000-0010-0000-0300-000075350000}" name="Column13680" dataDxfId="2723"/>
    <tableColumn id="13686" xr3:uid="{00000000-0010-0000-0300-000076350000}" name="Column13681" dataDxfId="2722"/>
    <tableColumn id="13687" xr3:uid="{00000000-0010-0000-0300-000077350000}" name="Column13682" dataDxfId="2721"/>
    <tableColumn id="13688" xr3:uid="{00000000-0010-0000-0300-000078350000}" name="Column13683" dataDxfId="2720"/>
    <tableColumn id="13689" xr3:uid="{00000000-0010-0000-0300-000079350000}" name="Column13684" dataDxfId="2719"/>
    <tableColumn id="13690" xr3:uid="{00000000-0010-0000-0300-00007A350000}" name="Column13685" dataDxfId="2718"/>
    <tableColumn id="13691" xr3:uid="{00000000-0010-0000-0300-00007B350000}" name="Column13686" dataDxfId="2717"/>
    <tableColumn id="13692" xr3:uid="{00000000-0010-0000-0300-00007C350000}" name="Column13687" dataDxfId="2716"/>
    <tableColumn id="13693" xr3:uid="{00000000-0010-0000-0300-00007D350000}" name="Column13688" dataDxfId="2715"/>
    <tableColumn id="13694" xr3:uid="{00000000-0010-0000-0300-00007E350000}" name="Column13689" dataDxfId="2714"/>
    <tableColumn id="13695" xr3:uid="{00000000-0010-0000-0300-00007F350000}" name="Column13690" dataDxfId="2713"/>
    <tableColumn id="13696" xr3:uid="{00000000-0010-0000-0300-000080350000}" name="Column13691" dataDxfId="2712"/>
    <tableColumn id="13697" xr3:uid="{00000000-0010-0000-0300-000081350000}" name="Column13692" dataDxfId="2711"/>
    <tableColumn id="13698" xr3:uid="{00000000-0010-0000-0300-000082350000}" name="Column13693" dataDxfId="2710"/>
    <tableColumn id="13699" xr3:uid="{00000000-0010-0000-0300-000083350000}" name="Column13694" dataDxfId="2709"/>
    <tableColumn id="13700" xr3:uid="{00000000-0010-0000-0300-000084350000}" name="Column13695" dataDxfId="2708"/>
    <tableColumn id="13701" xr3:uid="{00000000-0010-0000-0300-000085350000}" name="Column13696" dataDxfId="2707"/>
    <tableColumn id="13702" xr3:uid="{00000000-0010-0000-0300-000086350000}" name="Column13697" dataDxfId="2706"/>
    <tableColumn id="13703" xr3:uid="{00000000-0010-0000-0300-000087350000}" name="Column13698" dataDxfId="2705"/>
    <tableColumn id="13704" xr3:uid="{00000000-0010-0000-0300-000088350000}" name="Column13699" dataDxfId="2704"/>
    <tableColumn id="13705" xr3:uid="{00000000-0010-0000-0300-000089350000}" name="Column13700" dataDxfId="2703"/>
    <tableColumn id="13706" xr3:uid="{00000000-0010-0000-0300-00008A350000}" name="Column13701" dataDxfId="2702"/>
    <tableColumn id="13707" xr3:uid="{00000000-0010-0000-0300-00008B350000}" name="Column13702" dataDxfId="2701"/>
    <tableColumn id="13708" xr3:uid="{00000000-0010-0000-0300-00008C350000}" name="Column13703" dataDxfId="2700"/>
    <tableColumn id="13709" xr3:uid="{00000000-0010-0000-0300-00008D350000}" name="Column13704" dataDxfId="2699"/>
    <tableColumn id="13710" xr3:uid="{00000000-0010-0000-0300-00008E350000}" name="Column13705" dataDxfId="2698"/>
    <tableColumn id="13711" xr3:uid="{00000000-0010-0000-0300-00008F350000}" name="Column13706" dataDxfId="2697"/>
    <tableColumn id="13712" xr3:uid="{00000000-0010-0000-0300-000090350000}" name="Column13707" dataDxfId="2696"/>
    <tableColumn id="13713" xr3:uid="{00000000-0010-0000-0300-000091350000}" name="Column13708" dataDxfId="2695"/>
    <tableColumn id="13714" xr3:uid="{00000000-0010-0000-0300-000092350000}" name="Column13709" dataDxfId="2694"/>
    <tableColumn id="13715" xr3:uid="{00000000-0010-0000-0300-000093350000}" name="Column13710" dataDxfId="2693"/>
    <tableColumn id="13716" xr3:uid="{00000000-0010-0000-0300-000094350000}" name="Column13711" dataDxfId="2692"/>
    <tableColumn id="13717" xr3:uid="{00000000-0010-0000-0300-000095350000}" name="Column13712" dataDxfId="2691"/>
    <tableColumn id="13718" xr3:uid="{00000000-0010-0000-0300-000096350000}" name="Column13713" dataDxfId="2690"/>
    <tableColumn id="13719" xr3:uid="{00000000-0010-0000-0300-000097350000}" name="Column13714" dataDxfId="2689"/>
    <tableColumn id="13720" xr3:uid="{00000000-0010-0000-0300-000098350000}" name="Column13715" dataDxfId="2688"/>
    <tableColumn id="13721" xr3:uid="{00000000-0010-0000-0300-000099350000}" name="Column13716" dataDxfId="2687"/>
    <tableColumn id="13722" xr3:uid="{00000000-0010-0000-0300-00009A350000}" name="Column13717" dataDxfId="2686"/>
    <tableColumn id="13723" xr3:uid="{00000000-0010-0000-0300-00009B350000}" name="Column13718" dataDxfId="2685"/>
    <tableColumn id="13724" xr3:uid="{00000000-0010-0000-0300-00009C350000}" name="Column13719" dataDxfId="2684"/>
    <tableColumn id="13725" xr3:uid="{00000000-0010-0000-0300-00009D350000}" name="Column13720" dataDxfId="2683"/>
    <tableColumn id="13726" xr3:uid="{00000000-0010-0000-0300-00009E350000}" name="Column13721" dataDxfId="2682"/>
    <tableColumn id="13727" xr3:uid="{00000000-0010-0000-0300-00009F350000}" name="Column13722" dataDxfId="2681"/>
    <tableColumn id="13728" xr3:uid="{00000000-0010-0000-0300-0000A0350000}" name="Column13723" dataDxfId="2680"/>
    <tableColumn id="13729" xr3:uid="{00000000-0010-0000-0300-0000A1350000}" name="Column13724" dataDxfId="2679"/>
    <tableColumn id="13730" xr3:uid="{00000000-0010-0000-0300-0000A2350000}" name="Column13725" dataDxfId="2678"/>
    <tableColumn id="13731" xr3:uid="{00000000-0010-0000-0300-0000A3350000}" name="Column13726" dataDxfId="2677"/>
    <tableColumn id="13732" xr3:uid="{00000000-0010-0000-0300-0000A4350000}" name="Column13727" dataDxfId="2676"/>
    <tableColumn id="13733" xr3:uid="{00000000-0010-0000-0300-0000A5350000}" name="Column13728" dataDxfId="2675"/>
    <tableColumn id="13734" xr3:uid="{00000000-0010-0000-0300-0000A6350000}" name="Column13729" dataDxfId="2674"/>
    <tableColumn id="13735" xr3:uid="{00000000-0010-0000-0300-0000A7350000}" name="Column13730" dataDxfId="2673"/>
    <tableColumn id="13736" xr3:uid="{00000000-0010-0000-0300-0000A8350000}" name="Column13731" dataDxfId="2672"/>
    <tableColumn id="13737" xr3:uid="{00000000-0010-0000-0300-0000A9350000}" name="Column13732" dataDxfId="2671"/>
    <tableColumn id="13738" xr3:uid="{00000000-0010-0000-0300-0000AA350000}" name="Column13733" dataDxfId="2670"/>
    <tableColumn id="13739" xr3:uid="{00000000-0010-0000-0300-0000AB350000}" name="Column13734" dataDxfId="2669"/>
    <tableColumn id="13740" xr3:uid="{00000000-0010-0000-0300-0000AC350000}" name="Column13735" dataDxfId="2668"/>
    <tableColumn id="13741" xr3:uid="{00000000-0010-0000-0300-0000AD350000}" name="Column13736" dataDxfId="2667"/>
    <tableColumn id="13742" xr3:uid="{00000000-0010-0000-0300-0000AE350000}" name="Column13737" dataDxfId="2666"/>
    <tableColumn id="13743" xr3:uid="{00000000-0010-0000-0300-0000AF350000}" name="Column13738" dataDxfId="2665"/>
    <tableColumn id="13744" xr3:uid="{00000000-0010-0000-0300-0000B0350000}" name="Column13739" dataDxfId="2664"/>
    <tableColumn id="13745" xr3:uid="{00000000-0010-0000-0300-0000B1350000}" name="Column13740" dataDxfId="2663"/>
    <tableColumn id="13746" xr3:uid="{00000000-0010-0000-0300-0000B2350000}" name="Column13741" dataDxfId="2662"/>
    <tableColumn id="13747" xr3:uid="{00000000-0010-0000-0300-0000B3350000}" name="Column13742" dataDxfId="2661"/>
    <tableColumn id="13748" xr3:uid="{00000000-0010-0000-0300-0000B4350000}" name="Column13743" dataDxfId="2660"/>
    <tableColumn id="13749" xr3:uid="{00000000-0010-0000-0300-0000B5350000}" name="Column13744" dataDxfId="2659"/>
    <tableColumn id="13750" xr3:uid="{00000000-0010-0000-0300-0000B6350000}" name="Column13745" dataDxfId="2658"/>
    <tableColumn id="13751" xr3:uid="{00000000-0010-0000-0300-0000B7350000}" name="Column13746" dataDxfId="2657"/>
    <tableColumn id="13752" xr3:uid="{00000000-0010-0000-0300-0000B8350000}" name="Column13747" dataDxfId="2656"/>
    <tableColumn id="13753" xr3:uid="{00000000-0010-0000-0300-0000B9350000}" name="Column13748" dataDxfId="2655"/>
    <tableColumn id="13754" xr3:uid="{00000000-0010-0000-0300-0000BA350000}" name="Column13749" dataDxfId="2654"/>
    <tableColumn id="13755" xr3:uid="{00000000-0010-0000-0300-0000BB350000}" name="Column13750" dataDxfId="2653"/>
    <tableColumn id="13756" xr3:uid="{00000000-0010-0000-0300-0000BC350000}" name="Column13751" dataDxfId="2652"/>
    <tableColumn id="13757" xr3:uid="{00000000-0010-0000-0300-0000BD350000}" name="Column13752" dataDxfId="2651"/>
    <tableColumn id="13758" xr3:uid="{00000000-0010-0000-0300-0000BE350000}" name="Column13753" dataDxfId="2650"/>
    <tableColumn id="13759" xr3:uid="{00000000-0010-0000-0300-0000BF350000}" name="Column13754" dataDxfId="2649"/>
    <tableColumn id="13760" xr3:uid="{00000000-0010-0000-0300-0000C0350000}" name="Column13755" dataDxfId="2648"/>
    <tableColumn id="13761" xr3:uid="{00000000-0010-0000-0300-0000C1350000}" name="Column13756" dataDxfId="2647"/>
    <tableColumn id="13762" xr3:uid="{00000000-0010-0000-0300-0000C2350000}" name="Column13757" dataDxfId="2646"/>
    <tableColumn id="13763" xr3:uid="{00000000-0010-0000-0300-0000C3350000}" name="Column13758" dataDxfId="2645"/>
    <tableColumn id="13764" xr3:uid="{00000000-0010-0000-0300-0000C4350000}" name="Column13759" dataDxfId="2644"/>
    <tableColumn id="13765" xr3:uid="{00000000-0010-0000-0300-0000C5350000}" name="Column13760" dataDxfId="2643"/>
    <tableColumn id="13766" xr3:uid="{00000000-0010-0000-0300-0000C6350000}" name="Column13761" dataDxfId="2642"/>
    <tableColumn id="13767" xr3:uid="{00000000-0010-0000-0300-0000C7350000}" name="Column13762" dataDxfId="2641"/>
    <tableColumn id="13768" xr3:uid="{00000000-0010-0000-0300-0000C8350000}" name="Column13763" dataDxfId="2640"/>
    <tableColumn id="13769" xr3:uid="{00000000-0010-0000-0300-0000C9350000}" name="Column13764" dataDxfId="2639"/>
    <tableColumn id="13770" xr3:uid="{00000000-0010-0000-0300-0000CA350000}" name="Column13765" dataDxfId="2638"/>
    <tableColumn id="13771" xr3:uid="{00000000-0010-0000-0300-0000CB350000}" name="Column13766" dataDxfId="2637"/>
    <tableColumn id="13772" xr3:uid="{00000000-0010-0000-0300-0000CC350000}" name="Column13767" dataDxfId="2636"/>
    <tableColumn id="13773" xr3:uid="{00000000-0010-0000-0300-0000CD350000}" name="Column13768" dataDxfId="2635"/>
    <tableColumn id="13774" xr3:uid="{00000000-0010-0000-0300-0000CE350000}" name="Column13769" dataDxfId="2634"/>
    <tableColumn id="13775" xr3:uid="{00000000-0010-0000-0300-0000CF350000}" name="Column13770" dataDxfId="2633"/>
    <tableColumn id="13776" xr3:uid="{00000000-0010-0000-0300-0000D0350000}" name="Column13771" dataDxfId="2632"/>
    <tableColumn id="13777" xr3:uid="{00000000-0010-0000-0300-0000D1350000}" name="Column13772" dataDxfId="2631"/>
    <tableColumn id="13778" xr3:uid="{00000000-0010-0000-0300-0000D2350000}" name="Column13773" dataDxfId="2630"/>
    <tableColumn id="13779" xr3:uid="{00000000-0010-0000-0300-0000D3350000}" name="Column13774" dataDxfId="2629"/>
    <tableColumn id="13780" xr3:uid="{00000000-0010-0000-0300-0000D4350000}" name="Column13775" dataDxfId="2628"/>
    <tableColumn id="13781" xr3:uid="{00000000-0010-0000-0300-0000D5350000}" name="Column13776" dataDxfId="2627"/>
    <tableColumn id="13782" xr3:uid="{00000000-0010-0000-0300-0000D6350000}" name="Column13777" dataDxfId="2626"/>
    <tableColumn id="13783" xr3:uid="{00000000-0010-0000-0300-0000D7350000}" name="Column13778" dataDxfId="2625"/>
    <tableColumn id="13784" xr3:uid="{00000000-0010-0000-0300-0000D8350000}" name="Column13779" dataDxfId="2624"/>
    <tableColumn id="13785" xr3:uid="{00000000-0010-0000-0300-0000D9350000}" name="Column13780" dataDxfId="2623"/>
    <tableColumn id="13786" xr3:uid="{00000000-0010-0000-0300-0000DA350000}" name="Column13781" dataDxfId="2622"/>
    <tableColumn id="13787" xr3:uid="{00000000-0010-0000-0300-0000DB350000}" name="Column13782" dataDxfId="2621"/>
    <tableColumn id="13788" xr3:uid="{00000000-0010-0000-0300-0000DC350000}" name="Column13783" dataDxfId="2620"/>
    <tableColumn id="13789" xr3:uid="{00000000-0010-0000-0300-0000DD350000}" name="Column13784" dataDxfId="2619"/>
    <tableColumn id="13790" xr3:uid="{00000000-0010-0000-0300-0000DE350000}" name="Column13785" dataDxfId="2618"/>
    <tableColumn id="13791" xr3:uid="{00000000-0010-0000-0300-0000DF350000}" name="Column13786" dataDxfId="2617"/>
    <tableColumn id="13792" xr3:uid="{00000000-0010-0000-0300-0000E0350000}" name="Column13787" dataDxfId="2616"/>
    <tableColumn id="13793" xr3:uid="{00000000-0010-0000-0300-0000E1350000}" name="Column13788" dataDxfId="2615"/>
    <tableColumn id="13794" xr3:uid="{00000000-0010-0000-0300-0000E2350000}" name="Column13789" dataDxfId="2614"/>
    <tableColumn id="13795" xr3:uid="{00000000-0010-0000-0300-0000E3350000}" name="Column13790" dataDxfId="2613"/>
    <tableColumn id="13796" xr3:uid="{00000000-0010-0000-0300-0000E4350000}" name="Column13791" dataDxfId="2612"/>
    <tableColumn id="13797" xr3:uid="{00000000-0010-0000-0300-0000E5350000}" name="Column13792" dataDxfId="2611"/>
    <tableColumn id="13798" xr3:uid="{00000000-0010-0000-0300-0000E6350000}" name="Column13793" dataDxfId="2610"/>
    <tableColumn id="13799" xr3:uid="{00000000-0010-0000-0300-0000E7350000}" name="Column13794" dataDxfId="2609"/>
    <tableColumn id="13800" xr3:uid="{00000000-0010-0000-0300-0000E8350000}" name="Column13795" dataDxfId="2608"/>
    <tableColumn id="13801" xr3:uid="{00000000-0010-0000-0300-0000E9350000}" name="Column13796" dataDxfId="2607"/>
    <tableColumn id="13802" xr3:uid="{00000000-0010-0000-0300-0000EA350000}" name="Column13797" dataDxfId="2606"/>
    <tableColumn id="13803" xr3:uid="{00000000-0010-0000-0300-0000EB350000}" name="Column13798" dataDxfId="2605"/>
    <tableColumn id="13804" xr3:uid="{00000000-0010-0000-0300-0000EC350000}" name="Column13799" dataDxfId="2604"/>
    <tableColumn id="13805" xr3:uid="{00000000-0010-0000-0300-0000ED350000}" name="Column13800" dataDxfId="2603"/>
    <tableColumn id="13806" xr3:uid="{00000000-0010-0000-0300-0000EE350000}" name="Column13801" dataDxfId="2602"/>
    <tableColumn id="13807" xr3:uid="{00000000-0010-0000-0300-0000EF350000}" name="Column13802" dataDxfId="2601"/>
    <tableColumn id="13808" xr3:uid="{00000000-0010-0000-0300-0000F0350000}" name="Column13803" dataDxfId="2600"/>
    <tableColumn id="13809" xr3:uid="{00000000-0010-0000-0300-0000F1350000}" name="Column13804" dataDxfId="2599"/>
    <tableColumn id="13810" xr3:uid="{00000000-0010-0000-0300-0000F2350000}" name="Column13805" dataDxfId="2598"/>
    <tableColumn id="13811" xr3:uid="{00000000-0010-0000-0300-0000F3350000}" name="Column13806" dataDxfId="2597"/>
    <tableColumn id="13812" xr3:uid="{00000000-0010-0000-0300-0000F4350000}" name="Column13807" dataDxfId="2596"/>
    <tableColumn id="13813" xr3:uid="{00000000-0010-0000-0300-0000F5350000}" name="Column13808" dataDxfId="2595"/>
    <tableColumn id="13814" xr3:uid="{00000000-0010-0000-0300-0000F6350000}" name="Column13809" dataDxfId="2594"/>
    <tableColumn id="13815" xr3:uid="{00000000-0010-0000-0300-0000F7350000}" name="Column13810" dataDxfId="2593"/>
    <tableColumn id="13816" xr3:uid="{00000000-0010-0000-0300-0000F8350000}" name="Column13811" dataDxfId="2592"/>
    <tableColumn id="13817" xr3:uid="{00000000-0010-0000-0300-0000F9350000}" name="Column13812" dataDxfId="2591"/>
    <tableColumn id="13818" xr3:uid="{00000000-0010-0000-0300-0000FA350000}" name="Column13813" dataDxfId="2590"/>
    <tableColumn id="13819" xr3:uid="{00000000-0010-0000-0300-0000FB350000}" name="Column13814" dataDxfId="2589"/>
    <tableColumn id="13820" xr3:uid="{00000000-0010-0000-0300-0000FC350000}" name="Column13815" dataDxfId="2588"/>
    <tableColumn id="13821" xr3:uid="{00000000-0010-0000-0300-0000FD350000}" name="Column13816" dataDxfId="2587"/>
    <tableColumn id="13822" xr3:uid="{00000000-0010-0000-0300-0000FE350000}" name="Column13817" dataDxfId="2586"/>
    <tableColumn id="13823" xr3:uid="{00000000-0010-0000-0300-0000FF350000}" name="Column13818" dataDxfId="2585"/>
    <tableColumn id="13824" xr3:uid="{00000000-0010-0000-0300-000000360000}" name="Column13819" dataDxfId="2584"/>
    <tableColumn id="13825" xr3:uid="{00000000-0010-0000-0300-000001360000}" name="Column13820" dataDxfId="2583"/>
    <tableColumn id="13826" xr3:uid="{00000000-0010-0000-0300-000002360000}" name="Column13821" dataDxfId="2582"/>
    <tableColumn id="13827" xr3:uid="{00000000-0010-0000-0300-000003360000}" name="Column13822" dataDxfId="2581"/>
    <tableColumn id="13828" xr3:uid="{00000000-0010-0000-0300-000004360000}" name="Column13823" dataDxfId="2580"/>
    <tableColumn id="13829" xr3:uid="{00000000-0010-0000-0300-000005360000}" name="Column13824" dataDxfId="2579"/>
    <tableColumn id="13830" xr3:uid="{00000000-0010-0000-0300-000006360000}" name="Column13825" dataDxfId="2578"/>
    <tableColumn id="13831" xr3:uid="{00000000-0010-0000-0300-000007360000}" name="Column13826" dataDxfId="2577"/>
    <tableColumn id="13832" xr3:uid="{00000000-0010-0000-0300-000008360000}" name="Column13827" dataDxfId="2576"/>
    <tableColumn id="13833" xr3:uid="{00000000-0010-0000-0300-000009360000}" name="Column13828" dataDxfId="2575"/>
    <tableColumn id="13834" xr3:uid="{00000000-0010-0000-0300-00000A360000}" name="Column13829" dataDxfId="2574"/>
    <tableColumn id="13835" xr3:uid="{00000000-0010-0000-0300-00000B360000}" name="Column13830" dataDxfId="2573"/>
    <tableColumn id="13836" xr3:uid="{00000000-0010-0000-0300-00000C360000}" name="Column13831" dataDxfId="2572"/>
    <tableColumn id="13837" xr3:uid="{00000000-0010-0000-0300-00000D360000}" name="Column13832" dataDxfId="2571"/>
    <tableColumn id="13838" xr3:uid="{00000000-0010-0000-0300-00000E360000}" name="Column13833" dataDxfId="2570"/>
    <tableColumn id="13839" xr3:uid="{00000000-0010-0000-0300-00000F360000}" name="Column13834" dataDxfId="2569"/>
    <tableColumn id="13840" xr3:uid="{00000000-0010-0000-0300-000010360000}" name="Column13835" dataDxfId="2568"/>
    <tableColumn id="13841" xr3:uid="{00000000-0010-0000-0300-000011360000}" name="Column13836" dataDxfId="2567"/>
    <tableColumn id="13842" xr3:uid="{00000000-0010-0000-0300-000012360000}" name="Column13837" dataDxfId="2566"/>
    <tableColumn id="13843" xr3:uid="{00000000-0010-0000-0300-000013360000}" name="Column13838" dataDxfId="2565"/>
    <tableColumn id="13844" xr3:uid="{00000000-0010-0000-0300-000014360000}" name="Column13839" dataDxfId="2564"/>
    <tableColumn id="13845" xr3:uid="{00000000-0010-0000-0300-000015360000}" name="Column13840" dataDxfId="2563"/>
    <tableColumn id="13846" xr3:uid="{00000000-0010-0000-0300-000016360000}" name="Column13841" dataDxfId="2562"/>
    <tableColumn id="13847" xr3:uid="{00000000-0010-0000-0300-000017360000}" name="Column13842" dataDxfId="2561"/>
    <tableColumn id="13848" xr3:uid="{00000000-0010-0000-0300-000018360000}" name="Column13843" dataDxfId="2560"/>
    <tableColumn id="13849" xr3:uid="{00000000-0010-0000-0300-000019360000}" name="Column13844" dataDxfId="2559"/>
    <tableColumn id="13850" xr3:uid="{00000000-0010-0000-0300-00001A360000}" name="Column13845" dataDxfId="2558"/>
    <tableColumn id="13851" xr3:uid="{00000000-0010-0000-0300-00001B360000}" name="Column13846" dataDxfId="2557"/>
    <tableColumn id="13852" xr3:uid="{00000000-0010-0000-0300-00001C360000}" name="Column13847" dataDxfId="2556"/>
    <tableColumn id="13853" xr3:uid="{00000000-0010-0000-0300-00001D360000}" name="Column13848" dataDxfId="2555"/>
    <tableColumn id="13854" xr3:uid="{00000000-0010-0000-0300-00001E360000}" name="Column13849" dataDxfId="2554"/>
    <tableColumn id="13855" xr3:uid="{00000000-0010-0000-0300-00001F360000}" name="Column13850" dataDxfId="2553"/>
    <tableColumn id="13856" xr3:uid="{00000000-0010-0000-0300-000020360000}" name="Column13851" dataDxfId="2552"/>
    <tableColumn id="13857" xr3:uid="{00000000-0010-0000-0300-000021360000}" name="Column13852" dataDxfId="2551"/>
    <tableColumn id="13858" xr3:uid="{00000000-0010-0000-0300-000022360000}" name="Column13853" dataDxfId="2550"/>
    <tableColumn id="13859" xr3:uid="{00000000-0010-0000-0300-000023360000}" name="Column13854" dataDxfId="2549"/>
    <tableColumn id="13860" xr3:uid="{00000000-0010-0000-0300-000024360000}" name="Column13855" dataDxfId="2548"/>
    <tableColumn id="13861" xr3:uid="{00000000-0010-0000-0300-000025360000}" name="Column13856" dataDxfId="2547"/>
    <tableColumn id="13862" xr3:uid="{00000000-0010-0000-0300-000026360000}" name="Column13857" dataDxfId="2546"/>
    <tableColumn id="13863" xr3:uid="{00000000-0010-0000-0300-000027360000}" name="Column13858" dataDxfId="2545"/>
    <tableColumn id="13864" xr3:uid="{00000000-0010-0000-0300-000028360000}" name="Column13859" dataDxfId="2544"/>
    <tableColumn id="13865" xr3:uid="{00000000-0010-0000-0300-000029360000}" name="Column13860" dataDxfId="2543"/>
    <tableColumn id="13866" xr3:uid="{00000000-0010-0000-0300-00002A360000}" name="Column13861" dataDxfId="2542"/>
    <tableColumn id="13867" xr3:uid="{00000000-0010-0000-0300-00002B360000}" name="Column13862" dataDxfId="2541"/>
    <tableColumn id="13868" xr3:uid="{00000000-0010-0000-0300-00002C360000}" name="Column13863" dataDxfId="2540"/>
    <tableColumn id="13869" xr3:uid="{00000000-0010-0000-0300-00002D360000}" name="Column13864" dataDxfId="2539"/>
    <tableColumn id="13870" xr3:uid="{00000000-0010-0000-0300-00002E360000}" name="Column13865" dataDxfId="2538"/>
    <tableColumn id="13871" xr3:uid="{00000000-0010-0000-0300-00002F360000}" name="Column13866" dataDxfId="2537"/>
    <tableColumn id="13872" xr3:uid="{00000000-0010-0000-0300-000030360000}" name="Column13867" dataDxfId="2536"/>
    <tableColumn id="13873" xr3:uid="{00000000-0010-0000-0300-000031360000}" name="Column13868" dataDxfId="2535"/>
    <tableColumn id="13874" xr3:uid="{00000000-0010-0000-0300-000032360000}" name="Column13869" dataDxfId="2534"/>
    <tableColumn id="13875" xr3:uid="{00000000-0010-0000-0300-000033360000}" name="Column13870" dataDxfId="2533"/>
    <tableColumn id="13876" xr3:uid="{00000000-0010-0000-0300-000034360000}" name="Column13871" dataDxfId="2532"/>
    <tableColumn id="13877" xr3:uid="{00000000-0010-0000-0300-000035360000}" name="Column13872" dataDxfId="2531"/>
    <tableColumn id="13878" xr3:uid="{00000000-0010-0000-0300-000036360000}" name="Column13873" dataDxfId="2530"/>
    <tableColumn id="13879" xr3:uid="{00000000-0010-0000-0300-000037360000}" name="Column13874" dataDxfId="2529"/>
    <tableColumn id="13880" xr3:uid="{00000000-0010-0000-0300-000038360000}" name="Column13875" dataDxfId="2528"/>
    <tableColumn id="13881" xr3:uid="{00000000-0010-0000-0300-000039360000}" name="Column13876" dataDxfId="2527"/>
    <tableColumn id="13882" xr3:uid="{00000000-0010-0000-0300-00003A360000}" name="Column13877" dataDxfId="2526"/>
    <tableColumn id="13883" xr3:uid="{00000000-0010-0000-0300-00003B360000}" name="Column13878" dataDxfId="2525"/>
    <tableColumn id="13884" xr3:uid="{00000000-0010-0000-0300-00003C360000}" name="Column13879" dataDxfId="2524"/>
    <tableColumn id="13885" xr3:uid="{00000000-0010-0000-0300-00003D360000}" name="Column13880" dataDxfId="2523"/>
    <tableColumn id="13886" xr3:uid="{00000000-0010-0000-0300-00003E360000}" name="Column13881" dataDxfId="2522"/>
    <tableColumn id="13887" xr3:uid="{00000000-0010-0000-0300-00003F360000}" name="Column13882" dataDxfId="2521"/>
    <tableColumn id="13888" xr3:uid="{00000000-0010-0000-0300-000040360000}" name="Column13883" dataDxfId="2520"/>
    <tableColumn id="13889" xr3:uid="{00000000-0010-0000-0300-000041360000}" name="Column13884" dataDxfId="2519"/>
    <tableColumn id="13890" xr3:uid="{00000000-0010-0000-0300-000042360000}" name="Column13885" dataDxfId="2518"/>
    <tableColumn id="13891" xr3:uid="{00000000-0010-0000-0300-000043360000}" name="Column13886" dataDxfId="2517"/>
    <tableColumn id="13892" xr3:uid="{00000000-0010-0000-0300-000044360000}" name="Column13887" dataDxfId="2516"/>
    <tableColumn id="13893" xr3:uid="{00000000-0010-0000-0300-000045360000}" name="Column13888" dataDxfId="2515"/>
    <tableColumn id="13894" xr3:uid="{00000000-0010-0000-0300-000046360000}" name="Column13889" dataDxfId="2514"/>
    <tableColumn id="13895" xr3:uid="{00000000-0010-0000-0300-000047360000}" name="Column13890" dataDxfId="2513"/>
    <tableColumn id="13896" xr3:uid="{00000000-0010-0000-0300-000048360000}" name="Column13891" dataDxfId="2512"/>
    <tableColumn id="13897" xr3:uid="{00000000-0010-0000-0300-000049360000}" name="Column13892" dataDxfId="2511"/>
    <tableColumn id="13898" xr3:uid="{00000000-0010-0000-0300-00004A360000}" name="Column13893" dataDxfId="2510"/>
    <tableColumn id="13899" xr3:uid="{00000000-0010-0000-0300-00004B360000}" name="Column13894" dataDxfId="2509"/>
    <tableColumn id="13900" xr3:uid="{00000000-0010-0000-0300-00004C360000}" name="Column13895" dataDxfId="2508"/>
    <tableColumn id="13901" xr3:uid="{00000000-0010-0000-0300-00004D360000}" name="Column13896" dataDxfId="2507"/>
    <tableColumn id="13902" xr3:uid="{00000000-0010-0000-0300-00004E360000}" name="Column13897" dataDxfId="2506"/>
    <tableColumn id="13903" xr3:uid="{00000000-0010-0000-0300-00004F360000}" name="Column13898" dataDxfId="2505"/>
    <tableColumn id="13904" xr3:uid="{00000000-0010-0000-0300-000050360000}" name="Column13899" dataDxfId="2504"/>
    <tableColumn id="13905" xr3:uid="{00000000-0010-0000-0300-000051360000}" name="Column13900" dataDxfId="2503"/>
    <tableColumn id="13906" xr3:uid="{00000000-0010-0000-0300-000052360000}" name="Column13901" dataDxfId="2502"/>
    <tableColumn id="13907" xr3:uid="{00000000-0010-0000-0300-000053360000}" name="Column13902" dataDxfId="2501"/>
    <tableColumn id="13908" xr3:uid="{00000000-0010-0000-0300-000054360000}" name="Column13903" dataDxfId="2500"/>
    <tableColumn id="13909" xr3:uid="{00000000-0010-0000-0300-000055360000}" name="Column13904" dataDxfId="2499"/>
    <tableColumn id="13910" xr3:uid="{00000000-0010-0000-0300-000056360000}" name="Column13905" dataDxfId="2498"/>
    <tableColumn id="13911" xr3:uid="{00000000-0010-0000-0300-000057360000}" name="Column13906" dataDxfId="2497"/>
    <tableColumn id="13912" xr3:uid="{00000000-0010-0000-0300-000058360000}" name="Column13907" dataDxfId="2496"/>
    <tableColumn id="13913" xr3:uid="{00000000-0010-0000-0300-000059360000}" name="Column13908" dataDxfId="2495"/>
    <tableColumn id="13914" xr3:uid="{00000000-0010-0000-0300-00005A360000}" name="Column13909" dataDxfId="2494"/>
    <tableColumn id="13915" xr3:uid="{00000000-0010-0000-0300-00005B360000}" name="Column13910" dataDxfId="2493"/>
    <tableColumn id="13916" xr3:uid="{00000000-0010-0000-0300-00005C360000}" name="Column13911" dataDxfId="2492"/>
    <tableColumn id="13917" xr3:uid="{00000000-0010-0000-0300-00005D360000}" name="Column13912" dataDxfId="2491"/>
    <tableColumn id="13918" xr3:uid="{00000000-0010-0000-0300-00005E360000}" name="Column13913" dataDxfId="2490"/>
    <tableColumn id="13919" xr3:uid="{00000000-0010-0000-0300-00005F360000}" name="Column13914" dataDxfId="2489"/>
    <tableColumn id="13920" xr3:uid="{00000000-0010-0000-0300-000060360000}" name="Column13915" dataDxfId="2488"/>
    <tableColumn id="13921" xr3:uid="{00000000-0010-0000-0300-000061360000}" name="Column13916" dataDxfId="2487"/>
    <tableColumn id="13922" xr3:uid="{00000000-0010-0000-0300-000062360000}" name="Column13917" dataDxfId="2486"/>
    <tableColumn id="13923" xr3:uid="{00000000-0010-0000-0300-000063360000}" name="Column13918" dataDxfId="2485"/>
    <tableColumn id="13924" xr3:uid="{00000000-0010-0000-0300-000064360000}" name="Column13919" dataDxfId="2484"/>
    <tableColumn id="13925" xr3:uid="{00000000-0010-0000-0300-000065360000}" name="Column13920" dataDxfId="2483"/>
    <tableColumn id="13926" xr3:uid="{00000000-0010-0000-0300-000066360000}" name="Column13921" dataDxfId="2482"/>
    <tableColumn id="13927" xr3:uid="{00000000-0010-0000-0300-000067360000}" name="Column13922" dataDxfId="2481"/>
    <tableColumn id="13928" xr3:uid="{00000000-0010-0000-0300-000068360000}" name="Column13923" dataDxfId="2480"/>
    <tableColumn id="13929" xr3:uid="{00000000-0010-0000-0300-000069360000}" name="Column13924" dataDxfId="2479"/>
    <tableColumn id="13930" xr3:uid="{00000000-0010-0000-0300-00006A360000}" name="Column13925" dataDxfId="2478"/>
    <tableColumn id="13931" xr3:uid="{00000000-0010-0000-0300-00006B360000}" name="Column13926" dataDxfId="2477"/>
    <tableColumn id="13932" xr3:uid="{00000000-0010-0000-0300-00006C360000}" name="Column13927" dataDxfId="2476"/>
    <tableColumn id="13933" xr3:uid="{00000000-0010-0000-0300-00006D360000}" name="Column13928" dataDxfId="2475"/>
    <tableColumn id="13934" xr3:uid="{00000000-0010-0000-0300-00006E360000}" name="Column13929" dataDxfId="2474"/>
    <tableColumn id="13935" xr3:uid="{00000000-0010-0000-0300-00006F360000}" name="Column13930" dataDxfId="2473"/>
    <tableColumn id="13936" xr3:uid="{00000000-0010-0000-0300-000070360000}" name="Column13931" dataDxfId="2472"/>
    <tableColumn id="13937" xr3:uid="{00000000-0010-0000-0300-000071360000}" name="Column13932" dataDxfId="2471"/>
    <tableColumn id="13938" xr3:uid="{00000000-0010-0000-0300-000072360000}" name="Column13933" dataDxfId="2470"/>
    <tableColumn id="13939" xr3:uid="{00000000-0010-0000-0300-000073360000}" name="Column13934" dataDxfId="2469"/>
    <tableColumn id="13940" xr3:uid="{00000000-0010-0000-0300-000074360000}" name="Column13935" dataDxfId="2468"/>
    <tableColumn id="13941" xr3:uid="{00000000-0010-0000-0300-000075360000}" name="Column13936" dataDxfId="2467"/>
    <tableColumn id="13942" xr3:uid="{00000000-0010-0000-0300-000076360000}" name="Column13937" dataDxfId="2466"/>
    <tableColumn id="13943" xr3:uid="{00000000-0010-0000-0300-000077360000}" name="Column13938" dataDxfId="2465"/>
    <tableColumn id="13944" xr3:uid="{00000000-0010-0000-0300-000078360000}" name="Column13939" dataDxfId="2464"/>
    <tableColumn id="13945" xr3:uid="{00000000-0010-0000-0300-000079360000}" name="Column13940" dataDxfId="2463"/>
    <tableColumn id="13946" xr3:uid="{00000000-0010-0000-0300-00007A360000}" name="Column13941" dataDxfId="2462"/>
    <tableColumn id="13947" xr3:uid="{00000000-0010-0000-0300-00007B360000}" name="Column13942" dataDxfId="2461"/>
    <tableColumn id="13948" xr3:uid="{00000000-0010-0000-0300-00007C360000}" name="Column13943" dataDxfId="2460"/>
    <tableColumn id="13949" xr3:uid="{00000000-0010-0000-0300-00007D360000}" name="Column13944" dataDxfId="2459"/>
    <tableColumn id="13950" xr3:uid="{00000000-0010-0000-0300-00007E360000}" name="Column13945" dataDxfId="2458"/>
    <tableColumn id="13951" xr3:uid="{00000000-0010-0000-0300-00007F360000}" name="Column13946" dataDxfId="2457"/>
    <tableColumn id="13952" xr3:uid="{00000000-0010-0000-0300-000080360000}" name="Column13947" dataDxfId="2456"/>
    <tableColumn id="13953" xr3:uid="{00000000-0010-0000-0300-000081360000}" name="Column13948" dataDxfId="2455"/>
    <tableColumn id="13954" xr3:uid="{00000000-0010-0000-0300-000082360000}" name="Column13949" dataDxfId="2454"/>
    <tableColumn id="13955" xr3:uid="{00000000-0010-0000-0300-000083360000}" name="Column13950" dataDxfId="2453"/>
    <tableColumn id="13956" xr3:uid="{00000000-0010-0000-0300-000084360000}" name="Column13951" dataDxfId="2452"/>
    <tableColumn id="13957" xr3:uid="{00000000-0010-0000-0300-000085360000}" name="Column13952" dataDxfId="2451"/>
    <tableColumn id="13958" xr3:uid="{00000000-0010-0000-0300-000086360000}" name="Column13953" dataDxfId="2450"/>
    <tableColumn id="13959" xr3:uid="{00000000-0010-0000-0300-000087360000}" name="Column13954" dataDxfId="2449"/>
    <tableColumn id="13960" xr3:uid="{00000000-0010-0000-0300-000088360000}" name="Column13955" dataDxfId="2448"/>
    <tableColumn id="13961" xr3:uid="{00000000-0010-0000-0300-000089360000}" name="Column13956" dataDxfId="2447"/>
    <tableColumn id="13962" xr3:uid="{00000000-0010-0000-0300-00008A360000}" name="Column13957" dataDxfId="2446"/>
    <tableColumn id="13963" xr3:uid="{00000000-0010-0000-0300-00008B360000}" name="Column13958" dataDxfId="2445"/>
    <tableColumn id="13964" xr3:uid="{00000000-0010-0000-0300-00008C360000}" name="Column13959" dataDxfId="2444"/>
    <tableColumn id="13965" xr3:uid="{00000000-0010-0000-0300-00008D360000}" name="Column13960" dataDxfId="2443"/>
    <tableColumn id="13966" xr3:uid="{00000000-0010-0000-0300-00008E360000}" name="Column13961" dataDxfId="2442"/>
    <tableColumn id="13967" xr3:uid="{00000000-0010-0000-0300-00008F360000}" name="Column13962" dataDxfId="2441"/>
    <tableColumn id="13968" xr3:uid="{00000000-0010-0000-0300-000090360000}" name="Column13963" dataDxfId="2440"/>
    <tableColumn id="13969" xr3:uid="{00000000-0010-0000-0300-000091360000}" name="Column13964" dataDxfId="2439"/>
    <tableColumn id="13970" xr3:uid="{00000000-0010-0000-0300-000092360000}" name="Column13965" dataDxfId="2438"/>
    <tableColumn id="13971" xr3:uid="{00000000-0010-0000-0300-000093360000}" name="Column13966" dataDxfId="2437"/>
    <tableColumn id="13972" xr3:uid="{00000000-0010-0000-0300-000094360000}" name="Column13967" dataDxfId="2436"/>
    <tableColumn id="13973" xr3:uid="{00000000-0010-0000-0300-000095360000}" name="Column13968" dataDxfId="2435"/>
    <tableColumn id="13974" xr3:uid="{00000000-0010-0000-0300-000096360000}" name="Column13969" dataDxfId="2434"/>
    <tableColumn id="13975" xr3:uid="{00000000-0010-0000-0300-000097360000}" name="Column13970" dataDxfId="2433"/>
    <tableColumn id="13976" xr3:uid="{00000000-0010-0000-0300-000098360000}" name="Column13971" dataDxfId="2432"/>
    <tableColumn id="13977" xr3:uid="{00000000-0010-0000-0300-000099360000}" name="Column13972" dataDxfId="2431"/>
    <tableColumn id="13978" xr3:uid="{00000000-0010-0000-0300-00009A360000}" name="Column13973" dataDxfId="2430"/>
    <tableColumn id="13979" xr3:uid="{00000000-0010-0000-0300-00009B360000}" name="Column13974" dataDxfId="2429"/>
    <tableColumn id="13980" xr3:uid="{00000000-0010-0000-0300-00009C360000}" name="Column13975" dataDxfId="2428"/>
    <tableColumn id="13981" xr3:uid="{00000000-0010-0000-0300-00009D360000}" name="Column13976" dataDxfId="2427"/>
    <tableColumn id="13982" xr3:uid="{00000000-0010-0000-0300-00009E360000}" name="Column13977" dataDxfId="2426"/>
    <tableColumn id="13983" xr3:uid="{00000000-0010-0000-0300-00009F360000}" name="Column13978" dataDxfId="2425"/>
    <tableColumn id="13984" xr3:uid="{00000000-0010-0000-0300-0000A0360000}" name="Column13979" dataDxfId="2424"/>
    <tableColumn id="13985" xr3:uid="{00000000-0010-0000-0300-0000A1360000}" name="Column13980" dataDxfId="2423"/>
    <tableColumn id="13986" xr3:uid="{00000000-0010-0000-0300-0000A2360000}" name="Column13981" dataDxfId="2422"/>
    <tableColumn id="13987" xr3:uid="{00000000-0010-0000-0300-0000A3360000}" name="Column13982" dataDxfId="2421"/>
    <tableColumn id="13988" xr3:uid="{00000000-0010-0000-0300-0000A4360000}" name="Column13983" dataDxfId="2420"/>
    <tableColumn id="13989" xr3:uid="{00000000-0010-0000-0300-0000A5360000}" name="Column13984" dataDxfId="2419"/>
    <tableColumn id="13990" xr3:uid="{00000000-0010-0000-0300-0000A6360000}" name="Column13985" dataDxfId="2418"/>
    <tableColumn id="13991" xr3:uid="{00000000-0010-0000-0300-0000A7360000}" name="Column13986" dataDxfId="2417"/>
    <tableColumn id="13992" xr3:uid="{00000000-0010-0000-0300-0000A8360000}" name="Column13987" dataDxfId="2416"/>
    <tableColumn id="13993" xr3:uid="{00000000-0010-0000-0300-0000A9360000}" name="Column13988" dataDxfId="2415"/>
    <tableColumn id="13994" xr3:uid="{00000000-0010-0000-0300-0000AA360000}" name="Column13989" dataDxfId="2414"/>
    <tableColumn id="13995" xr3:uid="{00000000-0010-0000-0300-0000AB360000}" name="Column13990" dataDxfId="2413"/>
    <tableColumn id="13996" xr3:uid="{00000000-0010-0000-0300-0000AC360000}" name="Column13991" dataDxfId="2412"/>
    <tableColumn id="13997" xr3:uid="{00000000-0010-0000-0300-0000AD360000}" name="Column13992" dataDxfId="2411"/>
    <tableColumn id="13998" xr3:uid="{00000000-0010-0000-0300-0000AE360000}" name="Column13993" dataDxfId="2410"/>
    <tableColumn id="13999" xr3:uid="{00000000-0010-0000-0300-0000AF360000}" name="Column13994" dataDxfId="2409"/>
    <tableColumn id="14000" xr3:uid="{00000000-0010-0000-0300-0000B0360000}" name="Column13995" dataDxfId="2408"/>
    <tableColumn id="14001" xr3:uid="{00000000-0010-0000-0300-0000B1360000}" name="Column13996" dataDxfId="2407"/>
    <tableColumn id="14002" xr3:uid="{00000000-0010-0000-0300-0000B2360000}" name="Column13997" dataDxfId="2406"/>
    <tableColumn id="14003" xr3:uid="{00000000-0010-0000-0300-0000B3360000}" name="Column13998" dataDxfId="2405"/>
    <tableColumn id="14004" xr3:uid="{00000000-0010-0000-0300-0000B4360000}" name="Column13999" dataDxfId="2404"/>
    <tableColumn id="14005" xr3:uid="{00000000-0010-0000-0300-0000B5360000}" name="Column14000" dataDxfId="2403"/>
    <tableColumn id="14006" xr3:uid="{00000000-0010-0000-0300-0000B6360000}" name="Column14001" dataDxfId="2402"/>
    <tableColumn id="14007" xr3:uid="{00000000-0010-0000-0300-0000B7360000}" name="Column14002" dataDxfId="2401"/>
    <tableColumn id="14008" xr3:uid="{00000000-0010-0000-0300-0000B8360000}" name="Column14003" dataDxfId="2400"/>
    <tableColumn id="14009" xr3:uid="{00000000-0010-0000-0300-0000B9360000}" name="Column14004" dataDxfId="2399"/>
    <tableColumn id="14010" xr3:uid="{00000000-0010-0000-0300-0000BA360000}" name="Column14005" dataDxfId="2398"/>
    <tableColumn id="14011" xr3:uid="{00000000-0010-0000-0300-0000BB360000}" name="Column14006" dataDxfId="2397"/>
    <tableColumn id="14012" xr3:uid="{00000000-0010-0000-0300-0000BC360000}" name="Column14007" dataDxfId="2396"/>
    <tableColumn id="14013" xr3:uid="{00000000-0010-0000-0300-0000BD360000}" name="Column14008" dataDxfId="2395"/>
    <tableColumn id="14014" xr3:uid="{00000000-0010-0000-0300-0000BE360000}" name="Column14009" dataDxfId="2394"/>
    <tableColumn id="14015" xr3:uid="{00000000-0010-0000-0300-0000BF360000}" name="Column14010" dataDxfId="2393"/>
    <tableColumn id="14016" xr3:uid="{00000000-0010-0000-0300-0000C0360000}" name="Column14011" dataDxfId="2392"/>
    <tableColumn id="14017" xr3:uid="{00000000-0010-0000-0300-0000C1360000}" name="Column14012" dataDxfId="2391"/>
    <tableColumn id="14018" xr3:uid="{00000000-0010-0000-0300-0000C2360000}" name="Column14013" dataDxfId="2390"/>
    <tableColumn id="14019" xr3:uid="{00000000-0010-0000-0300-0000C3360000}" name="Column14014" dataDxfId="2389"/>
    <tableColumn id="14020" xr3:uid="{00000000-0010-0000-0300-0000C4360000}" name="Column14015" dataDxfId="2388"/>
    <tableColumn id="14021" xr3:uid="{00000000-0010-0000-0300-0000C5360000}" name="Column14016" dataDxfId="2387"/>
    <tableColumn id="14022" xr3:uid="{00000000-0010-0000-0300-0000C6360000}" name="Column14017" dataDxfId="2386"/>
    <tableColumn id="14023" xr3:uid="{00000000-0010-0000-0300-0000C7360000}" name="Column14018" dataDxfId="2385"/>
    <tableColumn id="14024" xr3:uid="{00000000-0010-0000-0300-0000C8360000}" name="Column14019" dataDxfId="2384"/>
    <tableColumn id="14025" xr3:uid="{00000000-0010-0000-0300-0000C9360000}" name="Column14020" dataDxfId="2383"/>
    <tableColumn id="14026" xr3:uid="{00000000-0010-0000-0300-0000CA360000}" name="Column14021" dataDxfId="2382"/>
    <tableColumn id="14027" xr3:uid="{00000000-0010-0000-0300-0000CB360000}" name="Column14022" dataDxfId="2381"/>
    <tableColumn id="14028" xr3:uid="{00000000-0010-0000-0300-0000CC360000}" name="Column14023" dataDxfId="2380"/>
    <tableColumn id="14029" xr3:uid="{00000000-0010-0000-0300-0000CD360000}" name="Column14024" dataDxfId="2379"/>
    <tableColumn id="14030" xr3:uid="{00000000-0010-0000-0300-0000CE360000}" name="Column14025" dataDxfId="2378"/>
    <tableColumn id="14031" xr3:uid="{00000000-0010-0000-0300-0000CF360000}" name="Column14026" dataDxfId="2377"/>
    <tableColumn id="14032" xr3:uid="{00000000-0010-0000-0300-0000D0360000}" name="Column14027" dataDxfId="2376"/>
    <tableColumn id="14033" xr3:uid="{00000000-0010-0000-0300-0000D1360000}" name="Column14028" dataDxfId="2375"/>
    <tableColumn id="14034" xr3:uid="{00000000-0010-0000-0300-0000D2360000}" name="Column14029" dataDxfId="2374"/>
    <tableColumn id="14035" xr3:uid="{00000000-0010-0000-0300-0000D3360000}" name="Column14030" dataDxfId="2373"/>
    <tableColumn id="14036" xr3:uid="{00000000-0010-0000-0300-0000D4360000}" name="Column14031" dataDxfId="2372"/>
    <tableColumn id="14037" xr3:uid="{00000000-0010-0000-0300-0000D5360000}" name="Column14032" dataDxfId="2371"/>
    <tableColumn id="14038" xr3:uid="{00000000-0010-0000-0300-0000D6360000}" name="Column14033" dataDxfId="2370"/>
    <tableColumn id="14039" xr3:uid="{00000000-0010-0000-0300-0000D7360000}" name="Column14034" dataDxfId="2369"/>
    <tableColumn id="14040" xr3:uid="{00000000-0010-0000-0300-0000D8360000}" name="Column14035" dataDxfId="2368"/>
    <tableColumn id="14041" xr3:uid="{00000000-0010-0000-0300-0000D9360000}" name="Column14036" dataDxfId="2367"/>
    <tableColumn id="14042" xr3:uid="{00000000-0010-0000-0300-0000DA360000}" name="Column14037" dataDxfId="2366"/>
    <tableColumn id="14043" xr3:uid="{00000000-0010-0000-0300-0000DB360000}" name="Column14038" dataDxfId="2365"/>
    <tableColumn id="14044" xr3:uid="{00000000-0010-0000-0300-0000DC360000}" name="Column14039" dataDxfId="2364"/>
    <tableColumn id="14045" xr3:uid="{00000000-0010-0000-0300-0000DD360000}" name="Column14040" dataDxfId="2363"/>
    <tableColumn id="14046" xr3:uid="{00000000-0010-0000-0300-0000DE360000}" name="Column14041" dataDxfId="2362"/>
    <tableColumn id="14047" xr3:uid="{00000000-0010-0000-0300-0000DF360000}" name="Column14042" dataDxfId="2361"/>
    <tableColumn id="14048" xr3:uid="{00000000-0010-0000-0300-0000E0360000}" name="Column14043" dataDxfId="2360"/>
    <tableColumn id="14049" xr3:uid="{00000000-0010-0000-0300-0000E1360000}" name="Column14044" dataDxfId="2359"/>
    <tableColumn id="14050" xr3:uid="{00000000-0010-0000-0300-0000E2360000}" name="Column14045" dataDxfId="2358"/>
    <tableColumn id="14051" xr3:uid="{00000000-0010-0000-0300-0000E3360000}" name="Column14046" dataDxfId="2357"/>
    <tableColumn id="14052" xr3:uid="{00000000-0010-0000-0300-0000E4360000}" name="Column14047" dataDxfId="2356"/>
    <tableColumn id="14053" xr3:uid="{00000000-0010-0000-0300-0000E5360000}" name="Column14048" dataDxfId="2355"/>
    <tableColumn id="14054" xr3:uid="{00000000-0010-0000-0300-0000E6360000}" name="Column14049" dataDxfId="2354"/>
    <tableColumn id="14055" xr3:uid="{00000000-0010-0000-0300-0000E7360000}" name="Column14050" dataDxfId="2353"/>
    <tableColumn id="14056" xr3:uid="{00000000-0010-0000-0300-0000E8360000}" name="Column14051" dataDxfId="2352"/>
    <tableColumn id="14057" xr3:uid="{00000000-0010-0000-0300-0000E9360000}" name="Column14052" dataDxfId="2351"/>
    <tableColumn id="14058" xr3:uid="{00000000-0010-0000-0300-0000EA360000}" name="Column14053" dataDxfId="2350"/>
    <tableColumn id="14059" xr3:uid="{00000000-0010-0000-0300-0000EB360000}" name="Column14054" dataDxfId="2349"/>
    <tableColumn id="14060" xr3:uid="{00000000-0010-0000-0300-0000EC360000}" name="Column14055" dataDxfId="2348"/>
    <tableColumn id="14061" xr3:uid="{00000000-0010-0000-0300-0000ED360000}" name="Column14056" dataDxfId="2347"/>
    <tableColumn id="14062" xr3:uid="{00000000-0010-0000-0300-0000EE360000}" name="Column14057" dataDxfId="2346"/>
    <tableColumn id="14063" xr3:uid="{00000000-0010-0000-0300-0000EF360000}" name="Column14058" dataDxfId="2345"/>
    <tableColumn id="14064" xr3:uid="{00000000-0010-0000-0300-0000F0360000}" name="Column14059" dataDxfId="2344"/>
    <tableColumn id="14065" xr3:uid="{00000000-0010-0000-0300-0000F1360000}" name="Column14060" dataDxfId="2343"/>
    <tableColumn id="14066" xr3:uid="{00000000-0010-0000-0300-0000F2360000}" name="Column14061" dataDxfId="2342"/>
    <tableColumn id="14067" xr3:uid="{00000000-0010-0000-0300-0000F3360000}" name="Column14062" dataDxfId="2341"/>
    <tableColumn id="14068" xr3:uid="{00000000-0010-0000-0300-0000F4360000}" name="Column14063" dataDxfId="2340"/>
    <tableColumn id="14069" xr3:uid="{00000000-0010-0000-0300-0000F5360000}" name="Column14064" dataDxfId="2339"/>
    <tableColumn id="14070" xr3:uid="{00000000-0010-0000-0300-0000F6360000}" name="Column14065" dataDxfId="2338"/>
    <tableColumn id="14071" xr3:uid="{00000000-0010-0000-0300-0000F7360000}" name="Column14066" dataDxfId="2337"/>
    <tableColumn id="14072" xr3:uid="{00000000-0010-0000-0300-0000F8360000}" name="Column14067" dataDxfId="2336"/>
    <tableColumn id="14073" xr3:uid="{00000000-0010-0000-0300-0000F9360000}" name="Column14068" dataDxfId="2335"/>
    <tableColumn id="14074" xr3:uid="{00000000-0010-0000-0300-0000FA360000}" name="Column14069" dataDxfId="2334"/>
    <tableColumn id="14075" xr3:uid="{00000000-0010-0000-0300-0000FB360000}" name="Column14070" dataDxfId="2333"/>
    <tableColumn id="14076" xr3:uid="{00000000-0010-0000-0300-0000FC360000}" name="Column14071" dataDxfId="2332"/>
    <tableColumn id="14077" xr3:uid="{00000000-0010-0000-0300-0000FD360000}" name="Column14072" dataDxfId="2331"/>
    <tableColumn id="14078" xr3:uid="{00000000-0010-0000-0300-0000FE360000}" name="Column14073" dataDxfId="2330"/>
    <tableColumn id="14079" xr3:uid="{00000000-0010-0000-0300-0000FF360000}" name="Column14074" dataDxfId="2329"/>
    <tableColumn id="14080" xr3:uid="{00000000-0010-0000-0300-000000370000}" name="Column14075" dataDxfId="2328"/>
    <tableColumn id="14081" xr3:uid="{00000000-0010-0000-0300-000001370000}" name="Column14076" dataDxfId="2327"/>
    <tableColumn id="14082" xr3:uid="{00000000-0010-0000-0300-000002370000}" name="Column14077" dataDxfId="2326"/>
    <tableColumn id="14083" xr3:uid="{00000000-0010-0000-0300-000003370000}" name="Column14078" dataDxfId="2325"/>
    <tableColumn id="14084" xr3:uid="{00000000-0010-0000-0300-000004370000}" name="Column14079" dataDxfId="2324"/>
    <tableColumn id="14085" xr3:uid="{00000000-0010-0000-0300-000005370000}" name="Column14080" dataDxfId="2323"/>
    <tableColumn id="14086" xr3:uid="{00000000-0010-0000-0300-000006370000}" name="Column14081" dataDxfId="2322"/>
    <tableColumn id="14087" xr3:uid="{00000000-0010-0000-0300-000007370000}" name="Column14082" dataDxfId="2321"/>
    <tableColumn id="14088" xr3:uid="{00000000-0010-0000-0300-000008370000}" name="Column14083" dataDxfId="2320"/>
    <tableColumn id="14089" xr3:uid="{00000000-0010-0000-0300-000009370000}" name="Column14084" dataDxfId="2319"/>
    <tableColumn id="14090" xr3:uid="{00000000-0010-0000-0300-00000A370000}" name="Column14085" dataDxfId="2318"/>
    <tableColumn id="14091" xr3:uid="{00000000-0010-0000-0300-00000B370000}" name="Column14086" dataDxfId="2317"/>
    <tableColumn id="14092" xr3:uid="{00000000-0010-0000-0300-00000C370000}" name="Column14087" dataDxfId="2316"/>
    <tableColumn id="14093" xr3:uid="{00000000-0010-0000-0300-00000D370000}" name="Column14088" dataDxfId="2315"/>
    <tableColumn id="14094" xr3:uid="{00000000-0010-0000-0300-00000E370000}" name="Column14089" dataDxfId="2314"/>
    <tableColumn id="14095" xr3:uid="{00000000-0010-0000-0300-00000F370000}" name="Column14090" dataDxfId="2313"/>
    <tableColumn id="14096" xr3:uid="{00000000-0010-0000-0300-000010370000}" name="Column14091" dataDxfId="2312"/>
    <tableColumn id="14097" xr3:uid="{00000000-0010-0000-0300-000011370000}" name="Column14092" dataDxfId="2311"/>
    <tableColumn id="14098" xr3:uid="{00000000-0010-0000-0300-000012370000}" name="Column14093" dataDxfId="2310"/>
    <tableColumn id="14099" xr3:uid="{00000000-0010-0000-0300-000013370000}" name="Column14094" dataDxfId="2309"/>
    <tableColumn id="14100" xr3:uid="{00000000-0010-0000-0300-000014370000}" name="Column14095" dataDxfId="2308"/>
    <tableColumn id="14101" xr3:uid="{00000000-0010-0000-0300-000015370000}" name="Column14096" dataDxfId="2307"/>
    <tableColumn id="14102" xr3:uid="{00000000-0010-0000-0300-000016370000}" name="Column14097" dataDxfId="2306"/>
    <tableColumn id="14103" xr3:uid="{00000000-0010-0000-0300-000017370000}" name="Column14098" dataDxfId="2305"/>
    <tableColumn id="14104" xr3:uid="{00000000-0010-0000-0300-000018370000}" name="Column14099" dataDxfId="2304"/>
    <tableColumn id="14105" xr3:uid="{00000000-0010-0000-0300-000019370000}" name="Column14100" dataDxfId="2303"/>
    <tableColumn id="14106" xr3:uid="{00000000-0010-0000-0300-00001A370000}" name="Column14101" dataDxfId="2302"/>
    <tableColumn id="14107" xr3:uid="{00000000-0010-0000-0300-00001B370000}" name="Column14102" dataDxfId="2301"/>
    <tableColumn id="14108" xr3:uid="{00000000-0010-0000-0300-00001C370000}" name="Column14103" dataDxfId="2300"/>
    <tableColumn id="14109" xr3:uid="{00000000-0010-0000-0300-00001D370000}" name="Column14104" dataDxfId="2299"/>
    <tableColumn id="14110" xr3:uid="{00000000-0010-0000-0300-00001E370000}" name="Column14105" dataDxfId="2298"/>
    <tableColumn id="14111" xr3:uid="{00000000-0010-0000-0300-00001F370000}" name="Column14106" dataDxfId="2297"/>
    <tableColumn id="14112" xr3:uid="{00000000-0010-0000-0300-000020370000}" name="Column14107" dataDxfId="2296"/>
    <tableColumn id="14113" xr3:uid="{00000000-0010-0000-0300-000021370000}" name="Column14108" dataDxfId="2295"/>
    <tableColumn id="14114" xr3:uid="{00000000-0010-0000-0300-000022370000}" name="Column14109" dataDxfId="2294"/>
    <tableColumn id="14115" xr3:uid="{00000000-0010-0000-0300-000023370000}" name="Column14110" dataDxfId="2293"/>
    <tableColumn id="14116" xr3:uid="{00000000-0010-0000-0300-000024370000}" name="Column14111" dataDxfId="2292"/>
    <tableColumn id="14117" xr3:uid="{00000000-0010-0000-0300-000025370000}" name="Column14112" dataDxfId="2291"/>
    <tableColumn id="14118" xr3:uid="{00000000-0010-0000-0300-000026370000}" name="Column14113" dataDxfId="2290"/>
    <tableColumn id="14119" xr3:uid="{00000000-0010-0000-0300-000027370000}" name="Column14114" dataDxfId="2289"/>
    <tableColumn id="14120" xr3:uid="{00000000-0010-0000-0300-000028370000}" name="Column14115" dataDxfId="2288"/>
    <tableColumn id="14121" xr3:uid="{00000000-0010-0000-0300-000029370000}" name="Column14116" dataDxfId="2287"/>
    <tableColumn id="14122" xr3:uid="{00000000-0010-0000-0300-00002A370000}" name="Column14117" dataDxfId="2286"/>
    <tableColumn id="14123" xr3:uid="{00000000-0010-0000-0300-00002B370000}" name="Column14118" dataDxfId="2285"/>
    <tableColumn id="14124" xr3:uid="{00000000-0010-0000-0300-00002C370000}" name="Column14119" dataDxfId="2284"/>
    <tableColumn id="14125" xr3:uid="{00000000-0010-0000-0300-00002D370000}" name="Column14120" dataDxfId="2283"/>
    <tableColumn id="14126" xr3:uid="{00000000-0010-0000-0300-00002E370000}" name="Column14121" dataDxfId="2282"/>
    <tableColumn id="14127" xr3:uid="{00000000-0010-0000-0300-00002F370000}" name="Column14122" dataDxfId="2281"/>
    <tableColumn id="14128" xr3:uid="{00000000-0010-0000-0300-000030370000}" name="Column14123" dataDxfId="2280"/>
    <tableColumn id="14129" xr3:uid="{00000000-0010-0000-0300-000031370000}" name="Column14124" dataDxfId="2279"/>
    <tableColumn id="14130" xr3:uid="{00000000-0010-0000-0300-000032370000}" name="Column14125" dataDxfId="2278"/>
    <tableColumn id="14131" xr3:uid="{00000000-0010-0000-0300-000033370000}" name="Column14126" dataDxfId="2277"/>
    <tableColumn id="14132" xr3:uid="{00000000-0010-0000-0300-000034370000}" name="Column14127" dataDxfId="2276"/>
    <tableColumn id="14133" xr3:uid="{00000000-0010-0000-0300-000035370000}" name="Column14128" dataDxfId="2275"/>
    <tableColumn id="14134" xr3:uid="{00000000-0010-0000-0300-000036370000}" name="Column14129" dataDxfId="2274"/>
    <tableColumn id="14135" xr3:uid="{00000000-0010-0000-0300-000037370000}" name="Column14130" dataDxfId="2273"/>
    <tableColumn id="14136" xr3:uid="{00000000-0010-0000-0300-000038370000}" name="Column14131" dataDxfId="2272"/>
    <tableColumn id="14137" xr3:uid="{00000000-0010-0000-0300-000039370000}" name="Column14132" dataDxfId="2271"/>
    <tableColumn id="14138" xr3:uid="{00000000-0010-0000-0300-00003A370000}" name="Column14133" dataDxfId="2270"/>
    <tableColumn id="14139" xr3:uid="{00000000-0010-0000-0300-00003B370000}" name="Column14134" dataDxfId="2269"/>
    <tableColumn id="14140" xr3:uid="{00000000-0010-0000-0300-00003C370000}" name="Column14135" dataDxfId="2268"/>
    <tableColumn id="14141" xr3:uid="{00000000-0010-0000-0300-00003D370000}" name="Column14136" dataDxfId="2267"/>
    <tableColumn id="14142" xr3:uid="{00000000-0010-0000-0300-00003E370000}" name="Column14137" dataDxfId="2266"/>
    <tableColumn id="14143" xr3:uid="{00000000-0010-0000-0300-00003F370000}" name="Column14138" dataDxfId="2265"/>
    <tableColumn id="14144" xr3:uid="{00000000-0010-0000-0300-000040370000}" name="Column14139" dataDxfId="2264"/>
    <tableColumn id="14145" xr3:uid="{00000000-0010-0000-0300-000041370000}" name="Column14140" dataDxfId="2263"/>
    <tableColumn id="14146" xr3:uid="{00000000-0010-0000-0300-000042370000}" name="Column14141" dataDxfId="2262"/>
    <tableColumn id="14147" xr3:uid="{00000000-0010-0000-0300-000043370000}" name="Column14142" dataDxfId="2261"/>
    <tableColumn id="14148" xr3:uid="{00000000-0010-0000-0300-000044370000}" name="Column14143" dataDxfId="2260"/>
    <tableColumn id="14149" xr3:uid="{00000000-0010-0000-0300-000045370000}" name="Column14144" dataDxfId="2259"/>
    <tableColumn id="14150" xr3:uid="{00000000-0010-0000-0300-000046370000}" name="Column14145" dataDxfId="2258"/>
    <tableColumn id="14151" xr3:uid="{00000000-0010-0000-0300-000047370000}" name="Column14146" dataDxfId="2257"/>
    <tableColumn id="14152" xr3:uid="{00000000-0010-0000-0300-000048370000}" name="Column14147" dataDxfId="2256"/>
    <tableColumn id="14153" xr3:uid="{00000000-0010-0000-0300-000049370000}" name="Column14148" dataDxfId="2255"/>
    <tableColumn id="14154" xr3:uid="{00000000-0010-0000-0300-00004A370000}" name="Column14149" dataDxfId="2254"/>
    <tableColumn id="14155" xr3:uid="{00000000-0010-0000-0300-00004B370000}" name="Column14150" dataDxfId="2253"/>
    <tableColumn id="14156" xr3:uid="{00000000-0010-0000-0300-00004C370000}" name="Column14151" dataDxfId="2252"/>
    <tableColumn id="14157" xr3:uid="{00000000-0010-0000-0300-00004D370000}" name="Column14152" dataDxfId="2251"/>
    <tableColumn id="14158" xr3:uid="{00000000-0010-0000-0300-00004E370000}" name="Column14153" dataDxfId="2250"/>
    <tableColumn id="14159" xr3:uid="{00000000-0010-0000-0300-00004F370000}" name="Column14154" dataDxfId="2249"/>
    <tableColumn id="14160" xr3:uid="{00000000-0010-0000-0300-000050370000}" name="Column14155" dataDxfId="2248"/>
    <tableColumn id="14161" xr3:uid="{00000000-0010-0000-0300-000051370000}" name="Column14156" dataDxfId="2247"/>
    <tableColumn id="14162" xr3:uid="{00000000-0010-0000-0300-000052370000}" name="Column14157" dataDxfId="2246"/>
    <tableColumn id="14163" xr3:uid="{00000000-0010-0000-0300-000053370000}" name="Column14158" dataDxfId="2245"/>
    <tableColumn id="14164" xr3:uid="{00000000-0010-0000-0300-000054370000}" name="Column14159" dataDxfId="2244"/>
    <tableColumn id="14165" xr3:uid="{00000000-0010-0000-0300-000055370000}" name="Column14160" dataDxfId="2243"/>
    <tableColumn id="14166" xr3:uid="{00000000-0010-0000-0300-000056370000}" name="Column14161" dataDxfId="2242"/>
    <tableColumn id="14167" xr3:uid="{00000000-0010-0000-0300-000057370000}" name="Column14162" dataDxfId="2241"/>
    <tableColumn id="14168" xr3:uid="{00000000-0010-0000-0300-000058370000}" name="Column14163" dataDxfId="2240"/>
    <tableColumn id="14169" xr3:uid="{00000000-0010-0000-0300-000059370000}" name="Column14164" dataDxfId="2239"/>
    <tableColumn id="14170" xr3:uid="{00000000-0010-0000-0300-00005A370000}" name="Column14165" dataDxfId="2238"/>
    <tableColumn id="14171" xr3:uid="{00000000-0010-0000-0300-00005B370000}" name="Column14166" dataDxfId="2237"/>
    <tableColumn id="14172" xr3:uid="{00000000-0010-0000-0300-00005C370000}" name="Column14167" dataDxfId="2236"/>
    <tableColumn id="14173" xr3:uid="{00000000-0010-0000-0300-00005D370000}" name="Column14168" dataDxfId="2235"/>
    <tableColumn id="14174" xr3:uid="{00000000-0010-0000-0300-00005E370000}" name="Column14169" dataDxfId="2234"/>
    <tableColumn id="14175" xr3:uid="{00000000-0010-0000-0300-00005F370000}" name="Column14170" dataDxfId="2233"/>
    <tableColumn id="14176" xr3:uid="{00000000-0010-0000-0300-000060370000}" name="Column14171" dataDxfId="2232"/>
    <tableColumn id="14177" xr3:uid="{00000000-0010-0000-0300-000061370000}" name="Column14172" dataDxfId="2231"/>
    <tableColumn id="14178" xr3:uid="{00000000-0010-0000-0300-000062370000}" name="Column14173" dataDxfId="2230"/>
    <tableColumn id="14179" xr3:uid="{00000000-0010-0000-0300-000063370000}" name="Column14174" dataDxfId="2229"/>
    <tableColumn id="14180" xr3:uid="{00000000-0010-0000-0300-000064370000}" name="Column14175" dataDxfId="2228"/>
    <tableColumn id="14181" xr3:uid="{00000000-0010-0000-0300-000065370000}" name="Column14176" dataDxfId="2227"/>
    <tableColumn id="14182" xr3:uid="{00000000-0010-0000-0300-000066370000}" name="Column14177" dataDxfId="2226"/>
    <tableColumn id="14183" xr3:uid="{00000000-0010-0000-0300-000067370000}" name="Column14178" dataDxfId="2225"/>
    <tableColumn id="14184" xr3:uid="{00000000-0010-0000-0300-000068370000}" name="Column14179" dataDxfId="2224"/>
    <tableColumn id="14185" xr3:uid="{00000000-0010-0000-0300-000069370000}" name="Column14180" dataDxfId="2223"/>
    <tableColumn id="14186" xr3:uid="{00000000-0010-0000-0300-00006A370000}" name="Column14181" dataDxfId="2222"/>
    <tableColumn id="14187" xr3:uid="{00000000-0010-0000-0300-00006B370000}" name="Column14182" dataDxfId="2221"/>
    <tableColumn id="14188" xr3:uid="{00000000-0010-0000-0300-00006C370000}" name="Column14183" dataDxfId="2220"/>
    <tableColumn id="14189" xr3:uid="{00000000-0010-0000-0300-00006D370000}" name="Column14184" dataDxfId="2219"/>
    <tableColumn id="14190" xr3:uid="{00000000-0010-0000-0300-00006E370000}" name="Column14185" dataDxfId="2218"/>
    <tableColumn id="14191" xr3:uid="{00000000-0010-0000-0300-00006F370000}" name="Column14186" dataDxfId="2217"/>
    <tableColumn id="14192" xr3:uid="{00000000-0010-0000-0300-000070370000}" name="Column14187" dataDxfId="2216"/>
    <tableColumn id="14193" xr3:uid="{00000000-0010-0000-0300-000071370000}" name="Column14188" dataDxfId="2215"/>
    <tableColumn id="14194" xr3:uid="{00000000-0010-0000-0300-000072370000}" name="Column14189" dataDxfId="2214"/>
    <tableColumn id="14195" xr3:uid="{00000000-0010-0000-0300-000073370000}" name="Column14190" dataDxfId="2213"/>
    <tableColumn id="14196" xr3:uid="{00000000-0010-0000-0300-000074370000}" name="Column14191" dataDxfId="2212"/>
    <tableColumn id="14197" xr3:uid="{00000000-0010-0000-0300-000075370000}" name="Column14192" dataDxfId="2211"/>
    <tableColumn id="14198" xr3:uid="{00000000-0010-0000-0300-000076370000}" name="Column14193" dataDxfId="2210"/>
    <tableColumn id="14199" xr3:uid="{00000000-0010-0000-0300-000077370000}" name="Column14194" dataDxfId="2209"/>
    <tableColumn id="14200" xr3:uid="{00000000-0010-0000-0300-000078370000}" name="Column14195" dataDxfId="2208"/>
    <tableColumn id="14201" xr3:uid="{00000000-0010-0000-0300-000079370000}" name="Column14196" dataDxfId="2207"/>
    <tableColumn id="14202" xr3:uid="{00000000-0010-0000-0300-00007A370000}" name="Column14197" dataDxfId="2206"/>
    <tableColumn id="14203" xr3:uid="{00000000-0010-0000-0300-00007B370000}" name="Column14198" dataDxfId="2205"/>
    <tableColumn id="14204" xr3:uid="{00000000-0010-0000-0300-00007C370000}" name="Column14199" dataDxfId="2204"/>
    <tableColumn id="14205" xr3:uid="{00000000-0010-0000-0300-00007D370000}" name="Column14200" dataDxfId="2203"/>
    <tableColumn id="14206" xr3:uid="{00000000-0010-0000-0300-00007E370000}" name="Column14201" dataDxfId="2202"/>
    <tableColumn id="14207" xr3:uid="{00000000-0010-0000-0300-00007F370000}" name="Column14202" dataDxfId="2201"/>
    <tableColumn id="14208" xr3:uid="{00000000-0010-0000-0300-000080370000}" name="Column14203" dataDxfId="2200"/>
    <tableColumn id="14209" xr3:uid="{00000000-0010-0000-0300-000081370000}" name="Column14204" dataDxfId="2199"/>
    <tableColumn id="14210" xr3:uid="{00000000-0010-0000-0300-000082370000}" name="Column14205" dataDxfId="2198"/>
    <tableColumn id="14211" xr3:uid="{00000000-0010-0000-0300-000083370000}" name="Column14206" dataDxfId="2197"/>
    <tableColumn id="14212" xr3:uid="{00000000-0010-0000-0300-000084370000}" name="Column14207" dataDxfId="2196"/>
    <tableColumn id="14213" xr3:uid="{00000000-0010-0000-0300-000085370000}" name="Column14208" dataDxfId="2195"/>
    <tableColumn id="14214" xr3:uid="{00000000-0010-0000-0300-000086370000}" name="Column14209" dataDxfId="2194"/>
    <tableColumn id="14215" xr3:uid="{00000000-0010-0000-0300-000087370000}" name="Column14210" dataDxfId="2193"/>
    <tableColumn id="14216" xr3:uid="{00000000-0010-0000-0300-000088370000}" name="Column14211" dataDxfId="2192"/>
    <tableColumn id="14217" xr3:uid="{00000000-0010-0000-0300-000089370000}" name="Column14212" dataDxfId="2191"/>
    <tableColumn id="14218" xr3:uid="{00000000-0010-0000-0300-00008A370000}" name="Column14213" dataDxfId="2190"/>
    <tableColumn id="14219" xr3:uid="{00000000-0010-0000-0300-00008B370000}" name="Column14214" dataDxfId="2189"/>
    <tableColumn id="14220" xr3:uid="{00000000-0010-0000-0300-00008C370000}" name="Column14215" dataDxfId="2188"/>
    <tableColumn id="14221" xr3:uid="{00000000-0010-0000-0300-00008D370000}" name="Column14216" dataDxfId="2187"/>
    <tableColumn id="14222" xr3:uid="{00000000-0010-0000-0300-00008E370000}" name="Column14217" dataDxfId="2186"/>
    <tableColumn id="14223" xr3:uid="{00000000-0010-0000-0300-00008F370000}" name="Column14218" dataDxfId="2185"/>
    <tableColumn id="14224" xr3:uid="{00000000-0010-0000-0300-000090370000}" name="Column14219" dataDxfId="2184"/>
    <tableColumn id="14225" xr3:uid="{00000000-0010-0000-0300-000091370000}" name="Column14220" dataDxfId="2183"/>
    <tableColumn id="14226" xr3:uid="{00000000-0010-0000-0300-000092370000}" name="Column14221" dataDxfId="2182"/>
    <tableColumn id="14227" xr3:uid="{00000000-0010-0000-0300-000093370000}" name="Column14222" dataDxfId="2181"/>
    <tableColumn id="14228" xr3:uid="{00000000-0010-0000-0300-000094370000}" name="Column14223" dataDxfId="2180"/>
    <tableColumn id="14229" xr3:uid="{00000000-0010-0000-0300-000095370000}" name="Column14224" dataDxfId="2179"/>
    <tableColumn id="14230" xr3:uid="{00000000-0010-0000-0300-000096370000}" name="Column14225" dataDxfId="2178"/>
    <tableColumn id="14231" xr3:uid="{00000000-0010-0000-0300-000097370000}" name="Column14226" dataDxfId="2177"/>
    <tableColumn id="14232" xr3:uid="{00000000-0010-0000-0300-000098370000}" name="Column14227" dataDxfId="2176"/>
    <tableColumn id="14233" xr3:uid="{00000000-0010-0000-0300-000099370000}" name="Column14228" dataDxfId="2175"/>
    <tableColumn id="14234" xr3:uid="{00000000-0010-0000-0300-00009A370000}" name="Column14229" dataDxfId="2174"/>
    <tableColumn id="14235" xr3:uid="{00000000-0010-0000-0300-00009B370000}" name="Column14230" dataDxfId="2173"/>
    <tableColumn id="14236" xr3:uid="{00000000-0010-0000-0300-00009C370000}" name="Column14231" dataDxfId="2172"/>
    <tableColumn id="14237" xr3:uid="{00000000-0010-0000-0300-00009D370000}" name="Column14232" dataDxfId="2171"/>
    <tableColumn id="14238" xr3:uid="{00000000-0010-0000-0300-00009E370000}" name="Column14233" dataDxfId="2170"/>
    <tableColumn id="14239" xr3:uid="{00000000-0010-0000-0300-00009F370000}" name="Column14234" dataDxfId="2169"/>
    <tableColumn id="14240" xr3:uid="{00000000-0010-0000-0300-0000A0370000}" name="Column14235" dataDxfId="2168"/>
    <tableColumn id="14241" xr3:uid="{00000000-0010-0000-0300-0000A1370000}" name="Column14236" dataDxfId="2167"/>
    <tableColumn id="14242" xr3:uid="{00000000-0010-0000-0300-0000A2370000}" name="Column14237" dataDxfId="2166"/>
    <tableColumn id="14243" xr3:uid="{00000000-0010-0000-0300-0000A3370000}" name="Column14238" dataDxfId="2165"/>
    <tableColumn id="14244" xr3:uid="{00000000-0010-0000-0300-0000A4370000}" name="Column14239" dataDxfId="2164"/>
    <tableColumn id="14245" xr3:uid="{00000000-0010-0000-0300-0000A5370000}" name="Column14240" dataDxfId="2163"/>
    <tableColumn id="14246" xr3:uid="{00000000-0010-0000-0300-0000A6370000}" name="Column14241" dataDxfId="2162"/>
    <tableColumn id="14247" xr3:uid="{00000000-0010-0000-0300-0000A7370000}" name="Column14242" dataDxfId="2161"/>
    <tableColumn id="14248" xr3:uid="{00000000-0010-0000-0300-0000A8370000}" name="Column14243" dataDxfId="2160"/>
    <tableColumn id="14249" xr3:uid="{00000000-0010-0000-0300-0000A9370000}" name="Column14244" dataDxfId="2159"/>
    <tableColumn id="14250" xr3:uid="{00000000-0010-0000-0300-0000AA370000}" name="Column14245" dataDxfId="2158"/>
    <tableColumn id="14251" xr3:uid="{00000000-0010-0000-0300-0000AB370000}" name="Column14246" dataDxfId="2157"/>
    <tableColumn id="14252" xr3:uid="{00000000-0010-0000-0300-0000AC370000}" name="Column14247" dataDxfId="2156"/>
    <tableColumn id="14253" xr3:uid="{00000000-0010-0000-0300-0000AD370000}" name="Column14248" dataDxfId="2155"/>
    <tableColumn id="14254" xr3:uid="{00000000-0010-0000-0300-0000AE370000}" name="Column14249" dataDxfId="2154"/>
    <tableColumn id="14255" xr3:uid="{00000000-0010-0000-0300-0000AF370000}" name="Column14250" dataDxfId="2153"/>
    <tableColumn id="14256" xr3:uid="{00000000-0010-0000-0300-0000B0370000}" name="Column14251" dataDxfId="2152"/>
    <tableColumn id="14257" xr3:uid="{00000000-0010-0000-0300-0000B1370000}" name="Column14252" dataDxfId="2151"/>
    <tableColumn id="14258" xr3:uid="{00000000-0010-0000-0300-0000B2370000}" name="Column14253" dataDxfId="2150"/>
    <tableColumn id="14259" xr3:uid="{00000000-0010-0000-0300-0000B3370000}" name="Column14254" dataDxfId="2149"/>
    <tableColumn id="14260" xr3:uid="{00000000-0010-0000-0300-0000B4370000}" name="Column14255" dataDxfId="2148"/>
    <tableColumn id="14261" xr3:uid="{00000000-0010-0000-0300-0000B5370000}" name="Column14256" dataDxfId="2147"/>
    <tableColumn id="14262" xr3:uid="{00000000-0010-0000-0300-0000B6370000}" name="Column14257" dataDxfId="2146"/>
    <tableColumn id="14263" xr3:uid="{00000000-0010-0000-0300-0000B7370000}" name="Column14258" dataDxfId="2145"/>
    <tableColumn id="14264" xr3:uid="{00000000-0010-0000-0300-0000B8370000}" name="Column14259" dataDxfId="2144"/>
    <tableColumn id="14265" xr3:uid="{00000000-0010-0000-0300-0000B9370000}" name="Column14260" dataDxfId="2143"/>
    <tableColumn id="14266" xr3:uid="{00000000-0010-0000-0300-0000BA370000}" name="Column14261" dataDxfId="2142"/>
    <tableColumn id="14267" xr3:uid="{00000000-0010-0000-0300-0000BB370000}" name="Column14262" dataDxfId="2141"/>
    <tableColumn id="14268" xr3:uid="{00000000-0010-0000-0300-0000BC370000}" name="Column14263" dataDxfId="2140"/>
    <tableColumn id="14269" xr3:uid="{00000000-0010-0000-0300-0000BD370000}" name="Column14264" dataDxfId="2139"/>
    <tableColumn id="14270" xr3:uid="{00000000-0010-0000-0300-0000BE370000}" name="Column14265" dataDxfId="2138"/>
    <tableColumn id="14271" xr3:uid="{00000000-0010-0000-0300-0000BF370000}" name="Column14266" dataDxfId="2137"/>
    <tableColumn id="14272" xr3:uid="{00000000-0010-0000-0300-0000C0370000}" name="Column14267" dataDxfId="2136"/>
    <tableColumn id="14273" xr3:uid="{00000000-0010-0000-0300-0000C1370000}" name="Column14268" dataDxfId="2135"/>
    <tableColumn id="14274" xr3:uid="{00000000-0010-0000-0300-0000C2370000}" name="Column14269" dataDxfId="2134"/>
    <tableColumn id="14275" xr3:uid="{00000000-0010-0000-0300-0000C3370000}" name="Column14270" dataDxfId="2133"/>
    <tableColumn id="14276" xr3:uid="{00000000-0010-0000-0300-0000C4370000}" name="Column14271" dataDxfId="2132"/>
    <tableColumn id="14277" xr3:uid="{00000000-0010-0000-0300-0000C5370000}" name="Column14272" dataDxfId="2131"/>
    <tableColumn id="14278" xr3:uid="{00000000-0010-0000-0300-0000C6370000}" name="Column14273" dataDxfId="2130"/>
    <tableColumn id="14279" xr3:uid="{00000000-0010-0000-0300-0000C7370000}" name="Column14274" dataDxfId="2129"/>
    <tableColumn id="14280" xr3:uid="{00000000-0010-0000-0300-0000C8370000}" name="Column14275" dataDxfId="2128"/>
    <tableColumn id="14281" xr3:uid="{00000000-0010-0000-0300-0000C9370000}" name="Column14276" dataDxfId="2127"/>
    <tableColumn id="14282" xr3:uid="{00000000-0010-0000-0300-0000CA370000}" name="Column14277" dataDxfId="2126"/>
    <tableColumn id="14283" xr3:uid="{00000000-0010-0000-0300-0000CB370000}" name="Column14278" dataDxfId="2125"/>
    <tableColumn id="14284" xr3:uid="{00000000-0010-0000-0300-0000CC370000}" name="Column14279" dataDxfId="2124"/>
    <tableColumn id="14285" xr3:uid="{00000000-0010-0000-0300-0000CD370000}" name="Column14280" dataDxfId="2123"/>
    <tableColumn id="14286" xr3:uid="{00000000-0010-0000-0300-0000CE370000}" name="Column14281" dataDxfId="2122"/>
    <tableColumn id="14287" xr3:uid="{00000000-0010-0000-0300-0000CF370000}" name="Column14282" dataDxfId="2121"/>
    <tableColumn id="14288" xr3:uid="{00000000-0010-0000-0300-0000D0370000}" name="Column14283" dataDxfId="2120"/>
    <tableColumn id="14289" xr3:uid="{00000000-0010-0000-0300-0000D1370000}" name="Column14284" dataDxfId="2119"/>
    <tableColumn id="14290" xr3:uid="{00000000-0010-0000-0300-0000D2370000}" name="Column14285" dataDxfId="2118"/>
    <tableColumn id="14291" xr3:uid="{00000000-0010-0000-0300-0000D3370000}" name="Column14286" dataDxfId="2117"/>
    <tableColumn id="14292" xr3:uid="{00000000-0010-0000-0300-0000D4370000}" name="Column14287" dataDxfId="2116"/>
    <tableColumn id="14293" xr3:uid="{00000000-0010-0000-0300-0000D5370000}" name="Column14288" dataDxfId="2115"/>
    <tableColumn id="14294" xr3:uid="{00000000-0010-0000-0300-0000D6370000}" name="Column14289" dataDxfId="2114"/>
    <tableColumn id="14295" xr3:uid="{00000000-0010-0000-0300-0000D7370000}" name="Column14290" dataDxfId="2113"/>
    <tableColumn id="14296" xr3:uid="{00000000-0010-0000-0300-0000D8370000}" name="Column14291" dataDxfId="2112"/>
    <tableColumn id="14297" xr3:uid="{00000000-0010-0000-0300-0000D9370000}" name="Column14292" dataDxfId="2111"/>
    <tableColumn id="14298" xr3:uid="{00000000-0010-0000-0300-0000DA370000}" name="Column14293" dataDxfId="2110"/>
    <tableColumn id="14299" xr3:uid="{00000000-0010-0000-0300-0000DB370000}" name="Column14294" dataDxfId="2109"/>
    <tableColumn id="14300" xr3:uid="{00000000-0010-0000-0300-0000DC370000}" name="Column14295" dataDxfId="2108"/>
    <tableColumn id="14301" xr3:uid="{00000000-0010-0000-0300-0000DD370000}" name="Column14296" dataDxfId="2107"/>
    <tableColumn id="14302" xr3:uid="{00000000-0010-0000-0300-0000DE370000}" name="Column14297" dataDxfId="2106"/>
    <tableColumn id="14303" xr3:uid="{00000000-0010-0000-0300-0000DF370000}" name="Column14298" dataDxfId="2105"/>
    <tableColumn id="14304" xr3:uid="{00000000-0010-0000-0300-0000E0370000}" name="Column14299" dataDxfId="2104"/>
    <tableColumn id="14305" xr3:uid="{00000000-0010-0000-0300-0000E1370000}" name="Column14300" dataDxfId="2103"/>
    <tableColumn id="14306" xr3:uid="{00000000-0010-0000-0300-0000E2370000}" name="Column14301" dataDxfId="2102"/>
    <tableColumn id="14307" xr3:uid="{00000000-0010-0000-0300-0000E3370000}" name="Column14302" dataDxfId="2101"/>
    <tableColumn id="14308" xr3:uid="{00000000-0010-0000-0300-0000E4370000}" name="Column14303" dataDxfId="2100"/>
    <tableColumn id="14309" xr3:uid="{00000000-0010-0000-0300-0000E5370000}" name="Column14304" dataDxfId="2099"/>
    <tableColumn id="14310" xr3:uid="{00000000-0010-0000-0300-0000E6370000}" name="Column14305" dataDxfId="2098"/>
    <tableColumn id="14311" xr3:uid="{00000000-0010-0000-0300-0000E7370000}" name="Column14306" dataDxfId="2097"/>
    <tableColumn id="14312" xr3:uid="{00000000-0010-0000-0300-0000E8370000}" name="Column14307" dataDxfId="2096"/>
    <tableColumn id="14313" xr3:uid="{00000000-0010-0000-0300-0000E9370000}" name="Column14308" dataDxfId="2095"/>
    <tableColumn id="14314" xr3:uid="{00000000-0010-0000-0300-0000EA370000}" name="Column14309" dataDxfId="2094"/>
    <tableColumn id="14315" xr3:uid="{00000000-0010-0000-0300-0000EB370000}" name="Column14310" dataDxfId="2093"/>
    <tableColumn id="14316" xr3:uid="{00000000-0010-0000-0300-0000EC370000}" name="Column14311" dataDxfId="2092"/>
    <tableColumn id="14317" xr3:uid="{00000000-0010-0000-0300-0000ED370000}" name="Column14312" dataDxfId="2091"/>
    <tableColumn id="14318" xr3:uid="{00000000-0010-0000-0300-0000EE370000}" name="Column14313" dataDxfId="2090"/>
    <tableColumn id="14319" xr3:uid="{00000000-0010-0000-0300-0000EF370000}" name="Column14314" dataDxfId="2089"/>
    <tableColumn id="14320" xr3:uid="{00000000-0010-0000-0300-0000F0370000}" name="Column14315" dataDxfId="2088"/>
    <tableColumn id="14321" xr3:uid="{00000000-0010-0000-0300-0000F1370000}" name="Column14316" dataDxfId="2087"/>
    <tableColumn id="14322" xr3:uid="{00000000-0010-0000-0300-0000F2370000}" name="Column14317" dataDxfId="2086"/>
    <tableColumn id="14323" xr3:uid="{00000000-0010-0000-0300-0000F3370000}" name="Column14318" dataDxfId="2085"/>
    <tableColumn id="14324" xr3:uid="{00000000-0010-0000-0300-0000F4370000}" name="Column14319" dataDxfId="2084"/>
    <tableColumn id="14325" xr3:uid="{00000000-0010-0000-0300-0000F5370000}" name="Column14320" dataDxfId="2083"/>
    <tableColumn id="14326" xr3:uid="{00000000-0010-0000-0300-0000F6370000}" name="Column14321" dataDxfId="2082"/>
    <tableColumn id="14327" xr3:uid="{00000000-0010-0000-0300-0000F7370000}" name="Column14322" dataDxfId="2081"/>
    <tableColumn id="14328" xr3:uid="{00000000-0010-0000-0300-0000F8370000}" name="Column14323" dataDxfId="2080"/>
    <tableColumn id="14329" xr3:uid="{00000000-0010-0000-0300-0000F9370000}" name="Column14324" dataDxfId="2079"/>
    <tableColumn id="14330" xr3:uid="{00000000-0010-0000-0300-0000FA370000}" name="Column14325" dataDxfId="2078"/>
    <tableColumn id="14331" xr3:uid="{00000000-0010-0000-0300-0000FB370000}" name="Column14326" dataDxfId="2077"/>
    <tableColumn id="14332" xr3:uid="{00000000-0010-0000-0300-0000FC370000}" name="Column14327" dataDxfId="2076"/>
    <tableColumn id="14333" xr3:uid="{00000000-0010-0000-0300-0000FD370000}" name="Column14328" dataDxfId="2075"/>
    <tableColumn id="14334" xr3:uid="{00000000-0010-0000-0300-0000FE370000}" name="Column14329" dataDxfId="2074"/>
    <tableColumn id="14335" xr3:uid="{00000000-0010-0000-0300-0000FF370000}" name="Column14330" dataDxfId="2073"/>
    <tableColumn id="14336" xr3:uid="{00000000-0010-0000-0300-000000380000}" name="Column14331" dataDxfId="2072"/>
    <tableColumn id="14337" xr3:uid="{00000000-0010-0000-0300-000001380000}" name="Column14332" dataDxfId="2071"/>
    <tableColumn id="14338" xr3:uid="{00000000-0010-0000-0300-000002380000}" name="Column14333" dataDxfId="2070"/>
    <tableColumn id="14339" xr3:uid="{00000000-0010-0000-0300-000003380000}" name="Column14334" dataDxfId="2069"/>
    <tableColumn id="14340" xr3:uid="{00000000-0010-0000-0300-000004380000}" name="Column14335" dataDxfId="2068"/>
    <tableColumn id="14341" xr3:uid="{00000000-0010-0000-0300-000005380000}" name="Column14336" dataDxfId="2067"/>
    <tableColumn id="14342" xr3:uid="{00000000-0010-0000-0300-000006380000}" name="Column14337" dataDxfId="2066"/>
    <tableColumn id="14343" xr3:uid="{00000000-0010-0000-0300-000007380000}" name="Column14338" dataDxfId="2065"/>
    <tableColumn id="14344" xr3:uid="{00000000-0010-0000-0300-000008380000}" name="Column14339" dataDxfId="2064"/>
    <tableColumn id="14345" xr3:uid="{00000000-0010-0000-0300-000009380000}" name="Column14340" dataDxfId="2063"/>
    <tableColumn id="14346" xr3:uid="{00000000-0010-0000-0300-00000A380000}" name="Column14341" dataDxfId="2062"/>
    <tableColumn id="14347" xr3:uid="{00000000-0010-0000-0300-00000B380000}" name="Column14342" dataDxfId="2061"/>
    <tableColumn id="14348" xr3:uid="{00000000-0010-0000-0300-00000C380000}" name="Column14343" dataDxfId="2060"/>
    <tableColumn id="14349" xr3:uid="{00000000-0010-0000-0300-00000D380000}" name="Column14344" dataDxfId="2059"/>
    <tableColumn id="14350" xr3:uid="{00000000-0010-0000-0300-00000E380000}" name="Column14345" dataDxfId="2058"/>
    <tableColumn id="14351" xr3:uid="{00000000-0010-0000-0300-00000F380000}" name="Column14346" dataDxfId="2057"/>
    <tableColumn id="14352" xr3:uid="{00000000-0010-0000-0300-000010380000}" name="Column14347" dataDxfId="2056"/>
    <tableColumn id="14353" xr3:uid="{00000000-0010-0000-0300-000011380000}" name="Column14348" dataDxfId="2055"/>
    <tableColumn id="14354" xr3:uid="{00000000-0010-0000-0300-000012380000}" name="Column14349" dataDxfId="2054"/>
    <tableColumn id="14355" xr3:uid="{00000000-0010-0000-0300-000013380000}" name="Column14350" dataDxfId="2053"/>
    <tableColumn id="14356" xr3:uid="{00000000-0010-0000-0300-000014380000}" name="Column14351" dataDxfId="2052"/>
    <tableColumn id="14357" xr3:uid="{00000000-0010-0000-0300-000015380000}" name="Column14352" dataDxfId="2051"/>
    <tableColumn id="14358" xr3:uid="{00000000-0010-0000-0300-000016380000}" name="Column14353" dataDxfId="2050"/>
    <tableColumn id="14359" xr3:uid="{00000000-0010-0000-0300-000017380000}" name="Column14354" dataDxfId="2049"/>
    <tableColumn id="14360" xr3:uid="{00000000-0010-0000-0300-000018380000}" name="Column14355" dataDxfId="2048"/>
    <tableColumn id="14361" xr3:uid="{00000000-0010-0000-0300-000019380000}" name="Column14356" dataDxfId="2047"/>
    <tableColumn id="14362" xr3:uid="{00000000-0010-0000-0300-00001A380000}" name="Column14357" dataDxfId="2046"/>
    <tableColumn id="14363" xr3:uid="{00000000-0010-0000-0300-00001B380000}" name="Column14358" dataDxfId="2045"/>
    <tableColumn id="14364" xr3:uid="{00000000-0010-0000-0300-00001C380000}" name="Column14359" dataDxfId="2044"/>
    <tableColumn id="14365" xr3:uid="{00000000-0010-0000-0300-00001D380000}" name="Column14360" dataDxfId="2043"/>
    <tableColumn id="14366" xr3:uid="{00000000-0010-0000-0300-00001E380000}" name="Column14361" dataDxfId="2042"/>
    <tableColumn id="14367" xr3:uid="{00000000-0010-0000-0300-00001F380000}" name="Column14362" dataDxfId="2041"/>
    <tableColumn id="14368" xr3:uid="{00000000-0010-0000-0300-000020380000}" name="Column14363" dataDxfId="2040"/>
    <tableColumn id="14369" xr3:uid="{00000000-0010-0000-0300-000021380000}" name="Column14364" dataDxfId="2039"/>
    <tableColumn id="14370" xr3:uid="{00000000-0010-0000-0300-000022380000}" name="Column14365" dataDxfId="2038"/>
    <tableColumn id="14371" xr3:uid="{00000000-0010-0000-0300-000023380000}" name="Column14366" dataDxfId="2037"/>
    <tableColumn id="14372" xr3:uid="{00000000-0010-0000-0300-000024380000}" name="Column14367" dataDxfId="2036"/>
    <tableColumn id="14373" xr3:uid="{00000000-0010-0000-0300-000025380000}" name="Column14368" dataDxfId="2035"/>
    <tableColumn id="14374" xr3:uid="{00000000-0010-0000-0300-000026380000}" name="Column14369" dataDxfId="2034"/>
    <tableColumn id="14375" xr3:uid="{00000000-0010-0000-0300-000027380000}" name="Column14370" dataDxfId="2033"/>
    <tableColumn id="14376" xr3:uid="{00000000-0010-0000-0300-000028380000}" name="Column14371" dataDxfId="2032"/>
    <tableColumn id="14377" xr3:uid="{00000000-0010-0000-0300-000029380000}" name="Column14372" dataDxfId="2031"/>
    <tableColumn id="14378" xr3:uid="{00000000-0010-0000-0300-00002A380000}" name="Column14373" dataDxfId="2030"/>
    <tableColumn id="14379" xr3:uid="{00000000-0010-0000-0300-00002B380000}" name="Column14374" dataDxfId="2029"/>
    <tableColumn id="14380" xr3:uid="{00000000-0010-0000-0300-00002C380000}" name="Column14375" dataDxfId="2028"/>
    <tableColumn id="14381" xr3:uid="{00000000-0010-0000-0300-00002D380000}" name="Column14376" dataDxfId="2027"/>
    <tableColumn id="14382" xr3:uid="{00000000-0010-0000-0300-00002E380000}" name="Column14377" dataDxfId="2026"/>
    <tableColumn id="14383" xr3:uid="{00000000-0010-0000-0300-00002F380000}" name="Column14378" dataDxfId="2025"/>
    <tableColumn id="14384" xr3:uid="{00000000-0010-0000-0300-000030380000}" name="Column14379" dataDxfId="2024"/>
    <tableColumn id="14385" xr3:uid="{00000000-0010-0000-0300-000031380000}" name="Column14380" dataDxfId="2023"/>
    <tableColumn id="14386" xr3:uid="{00000000-0010-0000-0300-000032380000}" name="Column14381" dataDxfId="2022"/>
    <tableColumn id="14387" xr3:uid="{00000000-0010-0000-0300-000033380000}" name="Column14382" dataDxfId="2021"/>
    <tableColumn id="14388" xr3:uid="{00000000-0010-0000-0300-000034380000}" name="Column14383" dataDxfId="2020"/>
    <tableColumn id="14389" xr3:uid="{00000000-0010-0000-0300-000035380000}" name="Column14384" dataDxfId="2019"/>
    <tableColumn id="14390" xr3:uid="{00000000-0010-0000-0300-000036380000}" name="Column14385" dataDxfId="2018"/>
    <tableColumn id="14391" xr3:uid="{00000000-0010-0000-0300-000037380000}" name="Column14386" dataDxfId="2017"/>
    <tableColumn id="14392" xr3:uid="{00000000-0010-0000-0300-000038380000}" name="Column14387" dataDxfId="2016"/>
    <tableColumn id="14393" xr3:uid="{00000000-0010-0000-0300-000039380000}" name="Column14388" dataDxfId="2015"/>
    <tableColumn id="14394" xr3:uid="{00000000-0010-0000-0300-00003A380000}" name="Column14389" dataDxfId="2014"/>
    <tableColumn id="14395" xr3:uid="{00000000-0010-0000-0300-00003B380000}" name="Column14390" dataDxfId="2013"/>
    <tableColumn id="14396" xr3:uid="{00000000-0010-0000-0300-00003C380000}" name="Column14391" dataDxfId="2012"/>
    <tableColumn id="14397" xr3:uid="{00000000-0010-0000-0300-00003D380000}" name="Column14392" dataDxfId="2011"/>
    <tableColumn id="14398" xr3:uid="{00000000-0010-0000-0300-00003E380000}" name="Column14393" dataDxfId="2010"/>
    <tableColumn id="14399" xr3:uid="{00000000-0010-0000-0300-00003F380000}" name="Column14394" dataDxfId="2009"/>
    <tableColumn id="14400" xr3:uid="{00000000-0010-0000-0300-000040380000}" name="Column14395" dataDxfId="2008"/>
    <tableColumn id="14401" xr3:uid="{00000000-0010-0000-0300-000041380000}" name="Column14396" dataDxfId="2007"/>
    <tableColumn id="14402" xr3:uid="{00000000-0010-0000-0300-000042380000}" name="Column14397" dataDxfId="2006"/>
    <tableColumn id="14403" xr3:uid="{00000000-0010-0000-0300-000043380000}" name="Column14398" dataDxfId="2005"/>
    <tableColumn id="14404" xr3:uid="{00000000-0010-0000-0300-000044380000}" name="Column14399" dataDxfId="2004"/>
    <tableColumn id="14405" xr3:uid="{00000000-0010-0000-0300-000045380000}" name="Column14400" dataDxfId="2003"/>
    <tableColumn id="14406" xr3:uid="{00000000-0010-0000-0300-000046380000}" name="Column14401" dataDxfId="2002"/>
    <tableColumn id="14407" xr3:uid="{00000000-0010-0000-0300-000047380000}" name="Column14402" dataDxfId="2001"/>
    <tableColumn id="14408" xr3:uid="{00000000-0010-0000-0300-000048380000}" name="Column14403" dataDxfId="2000"/>
    <tableColumn id="14409" xr3:uid="{00000000-0010-0000-0300-000049380000}" name="Column14404" dataDxfId="1999"/>
    <tableColumn id="14410" xr3:uid="{00000000-0010-0000-0300-00004A380000}" name="Column14405" dataDxfId="1998"/>
    <tableColumn id="14411" xr3:uid="{00000000-0010-0000-0300-00004B380000}" name="Column14406" dataDxfId="1997"/>
    <tableColumn id="14412" xr3:uid="{00000000-0010-0000-0300-00004C380000}" name="Column14407" dataDxfId="1996"/>
    <tableColumn id="14413" xr3:uid="{00000000-0010-0000-0300-00004D380000}" name="Column14408" dataDxfId="1995"/>
    <tableColumn id="14414" xr3:uid="{00000000-0010-0000-0300-00004E380000}" name="Column14409" dataDxfId="1994"/>
    <tableColumn id="14415" xr3:uid="{00000000-0010-0000-0300-00004F380000}" name="Column14410" dataDxfId="1993"/>
    <tableColumn id="14416" xr3:uid="{00000000-0010-0000-0300-000050380000}" name="Column14411" dataDxfId="1992"/>
    <tableColumn id="14417" xr3:uid="{00000000-0010-0000-0300-000051380000}" name="Column14412" dataDxfId="1991"/>
    <tableColumn id="14418" xr3:uid="{00000000-0010-0000-0300-000052380000}" name="Column14413" dataDxfId="1990"/>
    <tableColumn id="14419" xr3:uid="{00000000-0010-0000-0300-000053380000}" name="Column14414" dataDxfId="1989"/>
    <tableColumn id="14420" xr3:uid="{00000000-0010-0000-0300-000054380000}" name="Column14415" dataDxfId="1988"/>
    <tableColumn id="14421" xr3:uid="{00000000-0010-0000-0300-000055380000}" name="Column14416" dataDxfId="1987"/>
    <tableColumn id="14422" xr3:uid="{00000000-0010-0000-0300-000056380000}" name="Column14417" dataDxfId="1986"/>
    <tableColumn id="14423" xr3:uid="{00000000-0010-0000-0300-000057380000}" name="Column14418" dataDxfId="1985"/>
    <tableColumn id="14424" xr3:uid="{00000000-0010-0000-0300-000058380000}" name="Column14419" dataDxfId="1984"/>
    <tableColumn id="14425" xr3:uid="{00000000-0010-0000-0300-000059380000}" name="Column14420" dataDxfId="1983"/>
    <tableColumn id="14426" xr3:uid="{00000000-0010-0000-0300-00005A380000}" name="Column14421" dataDxfId="1982"/>
    <tableColumn id="14427" xr3:uid="{00000000-0010-0000-0300-00005B380000}" name="Column14422" dataDxfId="1981"/>
    <tableColumn id="14428" xr3:uid="{00000000-0010-0000-0300-00005C380000}" name="Column14423" dataDxfId="1980"/>
    <tableColumn id="14429" xr3:uid="{00000000-0010-0000-0300-00005D380000}" name="Column14424" dataDxfId="1979"/>
    <tableColumn id="14430" xr3:uid="{00000000-0010-0000-0300-00005E380000}" name="Column14425" dataDxfId="1978"/>
    <tableColumn id="14431" xr3:uid="{00000000-0010-0000-0300-00005F380000}" name="Column14426" dataDxfId="1977"/>
    <tableColumn id="14432" xr3:uid="{00000000-0010-0000-0300-000060380000}" name="Column14427" dataDxfId="1976"/>
    <tableColumn id="14433" xr3:uid="{00000000-0010-0000-0300-000061380000}" name="Column14428" dataDxfId="1975"/>
    <tableColumn id="14434" xr3:uid="{00000000-0010-0000-0300-000062380000}" name="Column14429" dataDxfId="1974"/>
    <tableColumn id="14435" xr3:uid="{00000000-0010-0000-0300-000063380000}" name="Column14430" dataDxfId="1973"/>
    <tableColumn id="14436" xr3:uid="{00000000-0010-0000-0300-000064380000}" name="Column14431" dataDxfId="1972"/>
    <tableColumn id="14437" xr3:uid="{00000000-0010-0000-0300-000065380000}" name="Column14432" dataDxfId="1971"/>
    <tableColumn id="14438" xr3:uid="{00000000-0010-0000-0300-000066380000}" name="Column14433" dataDxfId="1970"/>
    <tableColumn id="14439" xr3:uid="{00000000-0010-0000-0300-000067380000}" name="Column14434" dataDxfId="1969"/>
    <tableColumn id="14440" xr3:uid="{00000000-0010-0000-0300-000068380000}" name="Column14435" dataDxfId="1968"/>
    <tableColumn id="14441" xr3:uid="{00000000-0010-0000-0300-000069380000}" name="Column14436" dataDxfId="1967"/>
    <tableColumn id="14442" xr3:uid="{00000000-0010-0000-0300-00006A380000}" name="Column14437" dataDxfId="1966"/>
    <tableColumn id="14443" xr3:uid="{00000000-0010-0000-0300-00006B380000}" name="Column14438" dataDxfId="1965"/>
    <tableColumn id="14444" xr3:uid="{00000000-0010-0000-0300-00006C380000}" name="Column14439" dataDxfId="1964"/>
    <tableColumn id="14445" xr3:uid="{00000000-0010-0000-0300-00006D380000}" name="Column14440" dataDxfId="1963"/>
    <tableColumn id="14446" xr3:uid="{00000000-0010-0000-0300-00006E380000}" name="Column14441" dataDxfId="1962"/>
    <tableColumn id="14447" xr3:uid="{00000000-0010-0000-0300-00006F380000}" name="Column14442" dataDxfId="1961"/>
    <tableColumn id="14448" xr3:uid="{00000000-0010-0000-0300-000070380000}" name="Column14443" dataDxfId="1960"/>
    <tableColumn id="14449" xr3:uid="{00000000-0010-0000-0300-000071380000}" name="Column14444" dataDxfId="1959"/>
    <tableColumn id="14450" xr3:uid="{00000000-0010-0000-0300-000072380000}" name="Column14445" dataDxfId="1958"/>
    <tableColumn id="14451" xr3:uid="{00000000-0010-0000-0300-000073380000}" name="Column14446" dataDxfId="1957"/>
    <tableColumn id="14452" xr3:uid="{00000000-0010-0000-0300-000074380000}" name="Column14447" dataDxfId="1956"/>
    <tableColumn id="14453" xr3:uid="{00000000-0010-0000-0300-000075380000}" name="Column14448" dataDxfId="1955"/>
    <tableColumn id="14454" xr3:uid="{00000000-0010-0000-0300-000076380000}" name="Column14449" dataDxfId="1954"/>
    <tableColumn id="14455" xr3:uid="{00000000-0010-0000-0300-000077380000}" name="Column14450" dataDxfId="1953"/>
    <tableColumn id="14456" xr3:uid="{00000000-0010-0000-0300-000078380000}" name="Column14451" dataDxfId="1952"/>
    <tableColumn id="14457" xr3:uid="{00000000-0010-0000-0300-000079380000}" name="Column14452" dataDxfId="1951"/>
    <tableColumn id="14458" xr3:uid="{00000000-0010-0000-0300-00007A380000}" name="Column14453" dataDxfId="1950"/>
    <tableColumn id="14459" xr3:uid="{00000000-0010-0000-0300-00007B380000}" name="Column14454" dataDxfId="1949"/>
    <tableColumn id="14460" xr3:uid="{00000000-0010-0000-0300-00007C380000}" name="Column14455" dataDxfId="1948"/>
    <tableColumn id="14461" xr3:uid="{00000000-0010-0000-0300-00007D380000}" name="Column14456" dataDxfId="1947"/>
    <tableColumn id="14462" xr3:uid="{00000000-0010-0000-0300-00007E380000}" name="Column14457" dataDxfId="1946"/>
    <tableColumn id="14463" xr3:uid="{00000000-0010-0000-0300-00007F380000}" name="Column14458" dataDxfId="1945"/>
    <tableColumn id="14464" xr3:uid="{00000000-0010-0000-0300-000080380000}" name="Column14459" dataDxfId="1944"/>
    <tableColumn id="14465" xr3:uid="{00000000-0010-0000-0300-000081380000}" name="Column14460" dataDxfId="1943"/>
    <tableColumn id="14466" xr3:uid="{00000000-0010-0000-0300-000082380000}" name="Column14461" dataDxfId="1942"/>
    <tableColumn id="14467" xr3:uid="{00000000-0010-0000-0300-000083380000}" name="Column14462" dataDxfId="1941"/>
    <tableColumn id="14468" xr3:uid="{00000000-0010-0000-0300-000084380000}" name="Column14463" dataDxfId="1940"/>
    <tableColumn id="14469" xr3:uid="{00000000-0010-0000-0300-000085380000}" name="Column14464" dataDxfId="1939"/>
    <tableColumn id="14470" xr3:uid="{00000000-0010-0000-0300-000086380000}" name="Column14465" dataDxfId="1938"/>
    <tableColumn id="14471" xr3:uid="{00000000-0010-0000-0300-000087380000}" name="Column14466" dataDxfId="1937"/>
    <tableColumn id="14472" xr3:uid="{00000000-0010-0000-0300-000088380000}" name="Column14467" dataDxfId="1936"/>
    <tableColumn id="14473" xr3:uid="{00000000-0010-0000-0300-000089380000}" name="Column14468" dataDxfId="1935"/>
    <tableColumn id="14474" xr3:uid="{00000000-0010-0000-0300-00008A380000}" name="Column14469" dataDxfId="1934"/>
    <tableColumn id="14475" xr3:uid="{00000000-0010-0000-0300-00008B380000}" name="Column14470" dataDxfId="1933"/>
    <tableColumn id="14476" xr3:uid="{00000000-0010-0000-0300-00008C380000}" name="Column14471" dataDxfId="1932"/>
    <tableColumn id="14477" xr3:uid="{00000000-0010-0000-0300-00008D380000}" name="Column14472" dataDxfId="1931"/>
    <tableColumn id="14478" xr3:uid="{00000000-0010-0000-0300-00008E380000}" name="Column14473" dataDxfId="1930"/>
    <tableColumn id="14479" xr3:uid="{00000000-0010-0000-0300-00008F380000}" name="Column14474" dataDxfId="1929"/>
    <tableColumn id="14480" xr3:uid="{00000000-0010-0000-0300-000090380000}" name="Column14475" dataDxfId="1928"/>
    <tableColumn id="14481" xr3:uid="{00000000-0010-0000-0300-000091380000}" name="Column14476" dataDxfId="1927"/>
    <tableColumn id="14482" xr3:uid="{00000000-0010-0000-0300-000092380000}" name="Column14477" dataDxfId="1926"/>
    <tableColumn id="14483" xr3:uid="{00000000-0010-0000-0300-000093380000}" name="Column14478" dataDxfId="1925"/>
    <tableColumn id="14484" xr3:uid="{00000000-0010-0000-0300-000094380000}" name="Column14479" dataDxfId="1924"/>
    <tableColumn id="14485" xr3:uid="{00000000-0010-0000-0300-000095380000}" name="Column14480" dataDxfId="1923"/>
    <tableColumn id="14486" xr3:uid="{00000000-0010-0000-0300-000096380000}" name="Column14481" dataDxfId="1922"/>
    <tableColumn id="14487" xr3:uid="{00000000-0010-0000-0300-000097380000}" name="Column14482" dataDxfId="1921"/>
    <tableColumn id="14488" xr3:uid="{00000000-0010-0000-0300-000098380000}" name="Column14483" dataDxfId="1920"/>
    <tableColumn id="14489" xr3:uid="{00000000-0010-0000-0300-000099380000}" name="Column14484" dataDxfId="1919"/>
    <tableColumn id="14490" xr3:uid="{00000000-0010-0000-0300-00009A380000}" name="Column14485" dataDxfId="1918"/>
    <tableColumn id="14491" xr3:uid="{00000000-0010-0000-0300-00009B380000}" name="Column14486" dataDxfId="1917"/>
    <tableColumn id="14492" xr3:uid="{00000000-0010-0000-0300-00009C380000}" name="Column14487" dataDxfId="1916"/>
    <tableColumn id="14493" xr3:uid="{00000000-0010-0000-0300-00009D380000}" name="Column14488" dataDxfId="1915"/>
    <tableColumn id="14494" xr3:uid="{00000000-0010-0000-0300-00009E380000}" name="Column14489" dataDxfId="1914"/>
    <tableColumn id="14495" xr3:uid="{00000000-0010-0000-0300-00009F380000}" name="Column14490" dataDxfId="1913"/>
    <tableColumn id="14496" xr3:uid="{00000000-0010-0000-0300-0000A0380000}" name="Column14491" dataDxfId="1912"/>
    <tableColumn id="14497" xr3:uid="{00000000-0010-0000-0300-0000A1380000}" name="Column14492" dataDxfId="1911"/>
    <tableColumn id="14498" xr3:uid="{00000000-0010-0000-0300-0000A2380000}" name="Column14493" dataDxfId="1910"/>
    <tableColumn id="14499" xr3:uid="{00000000-0010-0000-0300-0000A3380000}" name="Column14494" dataDxfId="1909"/>
    <tableColumn id="14500" xr3:uid="{00000000-0010-0000-0300-0000A4380000}" name="Column14495" dataDxfId="1908"/>
    <tableColumn id="14501" xr3:uid="{00000000-0010-0000-0300-0000A5380000}" name="Column14496" dataDxfId="1907"/>
    <tableColumn id="14502" xr3:uid="{00000000-0010-0000-0300-0000A6380000}" name="Column14497" dataDxfId="1906"/>
    <tableColumn id="14503" xr3:uid="{00000000-0010-0000-0300-0000A7380000}" name="Column14498" dataDxfId="1905"/>
    <tableColumn id="14504" xr3:uid="{00000000-0010-0000-0300-0000A8380000}" name="Column14499" dataDxfId="1904"/>
    <tableColumn id="14505" xr3:uid="{00000000-0010-0000-0300-0000A9380000}" name="Column14500" dataDxfId="1903"/>
    <tableColumn id="14506" xr3:uid="{00000000-0010-0000-0300-0000AA380000}" name="Column14501" dataDxfId="1902"/>
    <tableColumn id="14507" xr3:uid="{00000000-0010-0000-0300-0000AB380000}" name="Column14502" dataDxfId="1901"/>
    <tableColumn id="14508" xr3:uid="{00000000-0010-0000-0300-0000AC380000}" name="Column14503" dataDxfId="1900"/>
    <tableColumn id="14509" xr3:uid="{00000000-0010-0000-0300-0000AD380000}" name="Column14504" dataDxfId="1899"/>
    <tableColumn id="14510" xr3:uid="{00000000-0010-0000-0300-0000AE380000}" name="Column14505" dataDxfId="1898"/>
    <tableColumn id="14511" xr3:uid="{00000000-0010-0000-0300-0000AF380000}" name="Column14506" dataDxfId="1897"/>
    <tableColumn id="14512" xr3:uid="{00000000-0010-0000-0300-0000B0380000}" name="Column14507" dataDxfId="1896"/>
    <tableColumn id="14513" xr3:uid="{00000000-0010-0000-0300-0000B1380000}" name="Column14508" dataDxfId="1895"/>
    <tableColumn id="14514" xr3:uid="{00000000-0010-0000-0300-0000B2380000}" name="Column14509" dataDxfId="1894"/>
    <tableColumn id="14515" xr3:uid="{00000000-0010-0000-0300-0000B3380000}" name="Column14510" dataDxfId="1893"/>
    <tableColumn id="14516" xr3:uid="{00000000-0010-0000-0300-0000B4380000}" name="Column14511" dataDxfId="1892"/>
    <tableColumn id="14517" xr3:uid="{00000000-0010-0000-0300-0000B5380000}" name="Column14512" dataDxfId="1891"/>
    <tableColumn id="14518" xr3:uid="{00000000-0010-0000-0300-0000B6380000}" name="Column14513" dataDxfId="1890"/>
    <tableColumn id="14519" xr3:uid="{00000000-0010-0000-0300-0000B7380000}" name="Column14514" dataDxfId="1889"/>
    <tableColumn id="14520" xr3:uid="{00000000-0010-0000-0300-0000B8380000}" name="Column14515" dataDxfId="1888"/>
    <tableColumn id="14521" xr3:uid="{00000000-0010-0000-0300-0000B9380000}" name="Column14516" dataDxfId="1887"/>
    <tableColumn id="14522" xr3:uid="{00000000-0010-0000-0300-0000BA380000}" name="Column14517" dataDxfId="1886"/>
    <tableColumn id="14523" xr3:uid="{00000000-0010-0000-0300-0000BB380000}" name="Column14518" dataDxfId="1885"/>
    <tableColumn id="14524" xr3:uid="{00000000-0010-0000-0300-0000BC380000}" name="Column14519" dataDxfId="1884"/>
    <tableColumn id="14525" xr3:uid="{00000000-0010-0000-0300-0000BD380000}" name="Column14520" dataDxfId="1883"/>
    <tableColumn id="14526" xr3:uid="{00000000-0010-0000-0300-0000BE380000}" name="Column14521" dataDxfId="1882"/>
    <tableColumn id="14527" xr3:uid="{00000000-0010-0000-0300-0000BF380000}" name="Column14522" dataDxfId="1881"/>
    <tableColumn id="14528" xr3:uid="{00000000-0010-0000-0300-0000C0380000}" name="Column14523" dataDxfId="1880"/>
    <tableColumn id="14529" xr3:uid="{00000000-0010-0000-0300-0000C1380000}" name="Column14524" dataDxfId="1879"/>
    <tableColumn id="14530" xr3:uid="{00000000-0010-0000-0300-0000C2380000}" name="Column14525" dataDxfId="1878"/>
    <tableColumn id="14531" xr3:uid="{00000000-0010-0000-0300-0000C3380000}" name="Column14526" dataDxfId="1877"/>
    <tableColumn id="14532" xr3:uid="{00000000-0010-0000-0300-0000C4380000}" name="Column14527" dataDxfId="1876"/>
    <tableColumn id="14533" xr3:uid="{00000000-0010-0000-0300-0000C5380000}" name="Column14528" dataDxfId="1875"/>
    <tableColumn id="14534" xr3:uid="{00000000-0010-0000-0300-0000C6380000}" name="Column14529" dataDxfId="1874"/>
    <tableColumn id="14535" xr3:uid="{00000000-0010-0000-0300-0000C7380000}" name="Column14530" dataDxfId="1873"/>
    <tableColumn id="14536" xr3:uid="{00000000-0010-0000-0300-0000C8380000}" name="Column14531" dataDxfId="1872"/>
    <tableColumn id="14537" xr3:uid="{00000000-0010-0000-0300-0000C9380000}" name="Column14532" dataDxfId="1871"/>
    <tableColumn id="14538" xr3:uid="{00000000-0010-0000-0300-0000CA380000}" name="Column14533" dataDxfId="1870"/>
    <tableColumn id="14539" xr3:uid="{00000000-0010-0000-0300-0000CB380000}" name="Column14534" dataDxfId="1869"/>
    <tableColumn id="14540" xr3:uid="{00000000-0010-0000-0300-0000CC380000}" name="Column14535" dataDxfId="1868"/>
    <tableColumn id="14541" xr3:uid="{00000000-0010-0000-0300-0000CD380000}" name="Column14536" dataDxfId="1867"/>
    <tableColumn id="14542" xr3:uid="{00000000-0010-0000-0300-0000CE380000}" name="Column14537" dataDxfId="1866"/>
    <tableColumn id="14543" xr3:uid="{00000000-0010-0000-0300-0000CF380000}" name="Column14538" dataDxfId="1865"/>
    <tableColumn id="14544" xr3:uid="{00000000-0010-0000-0300-0000D0380000}" name="Column14539" dataDxfId="1864"/>
    <tableColumn id="14545" xr3:uid="{00000000-0010-0000-0300-0000D1380000}" name="Column14540" dataDxfId="1863"/>
    <tableColumn id="14546" xr3:uid="{00000000-0010-0000-0300-0000D2380000}" name="Column14541" dataDxfId="1862"/>
    <tableColumn id="14547" xr3:uid="{00000000-0010-0000-0300-0000D3380000}" name="Column14542" dataDxfId="1861"/>
    <tableColumn id="14548" xr3:uid="{00000000-0010-0000-0300-0000D4380000}" name="Column14543" dataDxfId="1860"/>
    <tableColumn id="14549" xr3:uid="{00000000-0010-0000-0300-0000D5380000}" name="Column14544" dataDxfId="1859"/>
    <tableColumn id="14550" xr3:uid="{00000000-0010-0000-0300-0000D6380000}" name="Column14545" dataDxfId="1858"/>
    <tableColumn id="14551" xr3:uid="{00000000-0010-0000-0300-0000D7380000}" name="Column14546" dataDxfId="1857"/>
    <tableColumn id="14552" xr3:uid="{00000000-0010-0000-0300-0000D8380000}" name="Column14547" dataDxfId="1856"/>
    <tableColumn id="14553" xr3:uid="{00000000-0010-0000-0300-0000D9380000}" name="Column14548" dataDxfId="1855"/>
    <tableColumn id="14554" xr3:uid="{00000000-0010-0000-0300-0000DA380000}" name="Column14549" dataDxfId="1854"/>
    <tableColumn id="14555" xr3:uid="{00000000-0010-0000-0300-0000DB380000}" name="Column14550" dataDxfId="1853"/>
    <tableColumn id="14556" xr3:uid="{00000000-0010-0000-0300-0000DC380000}" name="Column14551" dataDxfId="1852"/>
    <tableColumn id="14557" xr3:uid="{00000000-0010-0000-0300-0000DD380000}" name="Column14552" dataDxfId="1851"/>
    <tableColumn id="14558" xr3:uid="{00000000-0010-0000-0300-0000DE380000}" name="Column14553" dataDxfId="1850"/>
    <tableColumn id="14559" xr3:uid="{00000000-0010-0000-0300-0000DF380000}" name="Column14554" dataDxfId="1849"/>
    <tableColumn id="14560" xr3:uid="{00000000-0010-0000-0300-0000E0380000}" name="Column14555" dataDxfId="1848"/>
    <tableColumn id="14561" xr3:uid="{00000000-0010-0000-0300-0000E1380000}" name="Column14556" dataDxfId="1847"/>
    <tableColumn id="14562" xr3:uid="{00000000-0010-0000-0300-0000E2380000}" name="Column14557" dataDxfId="1846"/>
    <tableColumn id="14563" xr3:uid="{00000000-0010-0000-0300-0000E3380000}" name="Column14558" dataDxfId="1845"/>
    <tableColumn id="14564" xr3:uid="{00000000-0010-0000-0300-0000E4380000}" name="Column14559" dataDxfId="1844"/>
    <tableColumn id="14565" xr3:uid="{00000000-0010-0000-0300-0000E5380000}" name="Column14560" dataDxfId="1843"/>
    <tableColumn id="14566" xr3:uid="{00000000-0010-0000-0300-0000E6380000}" name="Column14561" dataDxfId="1842"/>
    <tableColumn id="14567" xr3:uid="{00000000-0010-0000-0300-0000E7380000}" name="Column14562" dataDxfId="1841"/>
    <tableColumn id="14568" xr3:uid="{00000000-0010-0000-0300-0000E8380000}" name="Column14563" dataDxfId="1840"/>
    <tableColumn id="14569" xr3:uid="{00000000-0010-0000-0300-0000E9380000}" name="Column14564" dataDxfId="1839"/>
    <tableColumn id="14570" xr3:uid="{00000000-0010-0000-0300-0000EA380000}" name="Column14565" dataDxfId="1838"/>
    <tableColumn id="14571" xr3:uid="{00000000-0010-0000-0300-0000EB380000}" name="Column14566" dataDxfId="1837"/>
    <tableColumn id="14572" xr3:uid="{00000000-0010-0000-0300-0000EC380000}" name="Column14567" dataDxfId="1836"/>
    <tableColumn id="14573" xr3:uid="{00000000-0010-0000-0300-0000ED380000}" name="Column14568" dataDxfId="1835"/>
    <tableColumn id="14574" xr3:uid="{00000000-0010-0000-0300-0000EE380000}" name="Column14569" dataDxfId="1834"/>
    <tableColumn id="14575" xr3:uid="{00000000-0010-0000-0300-0000EF380000}" name="Column14570" dataDxfId="1833"/>
    <tableColumn id="14576" xr3:uid="{00000000-0010-0000-0300-0000F0380000}" name="Column14571" dataDxfId="1832"/>
    <tableColumn id="14577" xr3:uid="{00000000-0010-0000-0300-0000F1380000}" name="Column14572" dataDxfId="1831"/>
    <tableColumn id="14578" xr3:uid="{00000000-0010-0000-0300-0000F2380000}" name="Column14573" dataDxfId="1830"/>
    <tableColumn id="14579" xr3:uid="{00000000-0010-0000-0300-0000F3380000}" name="Column14574" dataDxfId="1829"/>
    <tableColumn id="14580" xr3:uid="{00000000-0010-0000-0300-0000F4380000}" name="Column14575" dataDxfId="1828"/>
    <tableColumn id="14581" xr3:uid="{00000000-0010-0000-0300-0000F5380000}" name="Column14576" dataDxfId="1827"/>
    <tableColumn id="14582" xr3:uid="{00000000-0010-0000-0300-0000F6380000}" name="Column14577" dataDxfId="1826"/>
    <tableColumn id="14583" xr3:uid="{00000000-0010-0000-0300-0000F7380000}" name="Column14578" dataDxfId="1825"/>
    <tableColumn id="14584" xr3:uid="{00000000-0010-0000-0300-0000F8380000}" name="Column14579" dataDxfId="1824"/>
    <tableColumn id="14585" xr3:uid="{00000000-0010-0000-0300-0000F9380000}" name="Column14580" dataDxfId="1823"/>
    <tableColumn id="14586" xr3:uid="{00000000-0010-0000-0300-0000FA380000}" name="Column14581" dataDxfId="1822"/>
    <tableColumn id="14587" xr3:uid="{00000000-0010-0000-0300-0000FB380000}" name="Column14582" dataDxfId="1821"/>
    <tableColumn id="14588" xr3:uid="{00000000-0010-0000-0300-0000FC380000}" name="Column14583" dataDxfId="1820"/>
    <tableColumn id="14589" xr3:uid="{00000000-0010-0000-0300-0000FD380000}" name="Column14584" dataDxfId="1819"/>
    <tableColumn id="14590" xr3:uid="{00000000-0010-0000-0300-0000FE380000}" name="Column14585" dataDxfId="1818"/>
    <tableColumn id="14591" xr3:uid="{00000000-0010-0000-0300-0000FF380000}" name="Column14586" dataDxfId="1817"/>
    <tableColumn id="14592" xr3:uid="{00000000-0010-0000-0300-000000390000}" name="Column14587" dataDxfId="1816"/>
    <tableColumn id="14593" xr3:uid="{00000000-0010-0000-0300-000001390000}" name="Column14588" dataDxfId="1815"/>
    <tableColumn id="14594" xr3:uid="{00000000-0010-0000-0300-000002390000}" name="Column14589" dataDxfId="1814"/>
    <tableColumn id="14595" xr3:uid="{00000000-0010-0000-0300-000003390000}" name="Column14590" dataDxfId="1813"/>
    <tableColumn id="14596" xr3:uid="{00000000-0010-0000-0300-000004390000}" name="Column14591" dataDxfId="1812"/>
    <tableColumn id="14597" xr3:uid="{00000000-0010-0000-0300-000005390000}" name="Column14592" dataDxfId="1811"/>
    <tableColumn id="14598" xr3:uid="{00000000-0010-0000-0300-000006390000}" name="Column14593" dataDxfId="1810"/>
    <tableColumn id="14599" xr3:uid="{00000000-0010-0000-0300-000007390000}" name="Column14594" dataDxfId="1809"/>
    <tableColumn id="14600" xr3:uid="{00000000-0010-0000-0300-000008390000}" name="Column14595" dataDxfId="1808"/>
    <tableColumn id="14601" xr3:uid="{00000000-0010-0000-0300-000009390000}" name="Column14596" dataDxfId="1807"/>
    <tableColumn id="14602" xr3:uid="{00000000-0010-0000-0300-00000A390000}" name="Column14597" dataDxfId="1806"/>
    <tableColumn id="14603" xr3:uid="{00000000-0010-0000-0300-00000B390000}" name="Column14598" dataDxfId="1805"/>
    <tableColumn id="14604" xr3:uid="{00000000-0010-0000-0300-00000C390000}" name="Column14599" dataDxfId="1804"/>
    <tableColumn id="14605" xr3:uid="{00000000-0010-0000-0300-00000D390000}" name="Column14600" dataDxfId="1803"/>
    <tableColumn id="14606" xr3:uid="{00000000-0010-0000-0300-00000E390000}" name="Column14601" dataDxfId="1802"/>
    <tableColumn id="14607" xr3:uid="{00000000-0010-0000-0300-00000F390000}" name="Column14602" dataDxfId="1801"/>
    <tableColumn id="14608" xr3:uid="{00000000-0010-0000-0300-000010390000}" name="Column14603" dataDxfId="1800"/>
    <tableColumn id="14609" xr3:uid="{00000000-0010-0000-0300-000011390000}" name="Column14604" dataDxfId="1799"/>
    <tableColumn id="14610" xr3:uid="{00000000-0010-0000-0300-000012390000}" name="Column14605" dataDxfId="1798"/>
    <tableColumn id="14611" xr3:uid="{00000000-0010-0000-0300-000013390000}" name="Column14606" dataDxfId="1797"/>
    <tableColumn id="14612" xr3:uid="{00000000-0010-0000-0300-000014390000}" name="Column14607" dataDxfId="1796"/>
    <tableColumn id="14613" xr3:uid="{00000000-0010-0000-0300-000015390000}" name="Column14608" dataDxfId="1795"/>
    <tableColumn id="14614" xr3:uid="{00000000-0010-0000-0300-000016390000}" name="Column14609" dataDxfId="1794"/>
    <tableColumn id="14615" xr3:uid="{00000000-0010-0000-0300-000017390000}" name="Column14610" dataDxfId="1793"/>
    <tableColumn id="14616" xr3:uid="{00000000-0010-0000-0300-000018390000}" name="Column14611" dataDxfId="1792"/>
    <tableColumn id="14617" xr3:uid="{00000000-0010-0000-0300-000019390000}" name="Column14612" dataDxfId="1791"/>
    <tableColumn id="14618" xr3:uid="{00000000-0010-0000-0300-00001A390000}" name="Column14613" dataDxfId="1790"/>
    <tableColumn id="14619" xr3:uid="{00000000-0010-0000-0300-00001B390000}" name="Column14614" dataDxfId="1789"/>
    <tableColumn id="14620" xr3:uid="{00000000-0010-0000-0300-00001C390000}" name="Column14615" dataDxfId="1788"/>
    <tableColumn id="14621" xr3:uid="{00000000-0010-0000-0300-00001D390000}" name="Column14616" dataDxfId="1787"/>
    <tableColumn id="14622" xr3:uid="{00000000-0010-0000-0300-00001E390000}" name="Column14617" dataDxfId="1786"/>
    <tableColumn id="14623" xr3:uid="{00000000-0010-0000-0300-00001F390000}" name="Column14618" dataDxfId="1785"/>
    <tableColumn id="14624" xr3:uid="{00000000-0010-0000-0300-000020390000}" name="Column14619" dataDxfId="1784"/>
    <tableColumn id="14625" xr3:uid="{00000000-0010-0000-0300-000021390000}" name="Column14620" dataDxfId="1783"/>
    <tableColumn id="14626" xr3:uid="{00000000-0010-0000-0300-000022390000}" name="Column14621" dataDxfId="1782"/>
    <tableColumn id="14627" xr3:uid="{00000000-0010-0000-0300-000023390000}" name="Column14622" dataDxfId="1781"/>
    <tableColumn id="14628" xr3:uid="{00000000-0010-0000-0300-000024390000}" name="Column14623" dataDxfId="1780"/>
    <tableColumn id="14629" xr3:uid="{00000000-0010-0000-0300-000025390000}" name="Column14624" dataDxfId="1779"/>
    <tableColumn id="14630" xr3:uid="{00000000-0010-0000-0300-000026390000}" name="Column14625" dataDxfId="1778"/>
    <tableColumn id="14631" xr3:uid="{00000000-0010-0000-0300-000027390000}" name="Column14626" dataDxfId="1777"/>
    <tableColumn id="14632" xr3:uid="{00000000-0010-0000-0300-000028390000}" name="Column14627" dataDxfId="1776"/>
    <tableColumn id="14633" xr3:uid="{00000000-0010-0000-0300-000029390000}" name="Column14628" dataDxfId="1775"/>
    <tableColumn id="14634" xr3:uid="{00000000-0010-0000-0300-00002A390000}" name="Column14629" dataDxfId="1774"/>
    <tableColumn id="14635" xr3:uid="{00000000-0010-0000-0300-00002B390000}" name="Column14630" dataDxfId="1773"/>
    <tableColumn id="14636" xr3:uid="{00000000-0010-0000-0300-00002C390000}" name="Column14631" dataDxfId="1772"/>
    <tableColumn id="14637" xr3:uid="{00000000-0010-0000-0300-00002D390000}" name="Column14632" dataDxfId="1771"/>
    <tableColumn id="14638" xr3:uid="{00000000-0010-0000-0300-00002E390000}" name="Column14633" dataDxfId="1770"/>
    <tableColumn id="14639" xr3:uid="{00000000-0010-0000-0300-00002F390000}" name="Column14634" dataDxfId="1769"/>
    <tableColumn id="14640" xr3:uid="{00000000-0010-0000-0300-000030390000}" name="Column14635" dataDxfId="1768"/>
    <tableColumn id="14641" xr3:uid="{00000000-0010-0000-0300-000031390000}" name="Column14636" dataDxfId="1767"/>
    <tableColumn id="14642" xr3:uid="{00000000-0010-0000-0300-000032390000}" name="Column14637" dataDxfId="1766"/>
    <tableColumn id="14643" xr3:uid="{00000000-0010-0000-0300-000033390000}" name="Column14638" dataDxfId="1765"/>
    <tableColumn id="14644" xr3:uid="{00000000-0010-0000-0300-000034390000}" name="Column14639" dataDxfId="1764"/>
    <tableColumn id="14645" xr3:uid="{00000000-0010-0000-0300-000035390000}" name="Column14640" dataDxfId="1763"/>
    <tableColumn id="14646" xr3:uid="{00000000-0010-0000-0300-000036390000}" name="Column14641" dataDxfId="1762"/>
    <tableColumn id="14647" xr3:uid="{00000000-0010-0000-0300-000037390000}" name="Column14642" dataDxfId="1761"/>
    <tableColumn id="14648" xr3:uid="{00000000-0010-0000-0300-000038390000}" name="Column14643" dataDxfId="1760"/>
    <tableColumn id="14649" xr3:uid="{00000000-0010-0000-0300-000039390000}" name="Column14644" dataDxfId="1759"/>
    <tableColumn id="14650" xr3:uid="{00000000-0010-0000-0300-00003A390000}" name="Column14645" dataDxfId="1758"/>
    <tableColumn id="14651" xr3:uid="{00000000-0010-0000-0300-00003B390000}" name="Column14646" dataDxfId="1757"/>
    <tableColumn id="14652" xr3:uid="{00000000-0010-0000-0300-00003C390000}" name="Column14647" dataDxfId="1756"/>
    <tableColumn id="14653" xr3:uid="{00000000-0010-0000-0300-00003D390000}" name="Column14648" dataDxfId="1755"/>
    <tableColumn id="14654" xr3:uid="{00000000-0010-0000-0300-00003E390000}" name="Column14649" dataDxfId="1754"/>
    <tableColumn id="14655" xr3:uid="{00000000-0010-0000-0300-00003F390000}" name="Column14650" dataDxfId="1753"/>
    <tableColumn id="14656" xr3:uid="{00000000-0010-0000-0300-000040390000}" name="Column14651" dataDxfId="1752"/>
    <tableColumn id="14657" xr3:uid="{00000000-0010-0000-0300-000041390000}" name="Column14652" dataDxfId="1751"/>
    <tableColumn id="14658" xr3:uid="{00000000-0010-0000-0300-000042390000}" name="Column14653" dataDxfId="1750"/>
    <tableColumn id="14659" xr3:uid="{00000000-0010-0000-0300-000043390000}" name="Column14654" dataDxfId="1749"/>
    <tableColumn id="14660" xr3:uid="{00000000-0010-0000-0300-000044390000}" name="Column14655" dataDxfId="1748"/>
    <tableColumn id="14661" xr3:uid="{00000000-0010-0000-0300-000045390000}" name="Column14656" dataDxfId="1747"/>
    <tableColumn id="14662" xr3:uid="{00000000-0010-0000-0300-000046390000}" name="Column14657" dataDxfId="1746"/>
    <tableColumn id="14663" xr3:uid="{00000000-0010-0000-0300-000047390000}" name="Column14658" dataDxfId="1745"/>
    <tableColumn id="14664" xr3:uid="{00000000-0010-0000-0300-000048390000}" name="Column14659" dataDxfId="1744"/>
    <tableColumn id="14665" xr3:uid="{00000000-0010-0000-0300-000049390000}" name="Column14660" dataDxfId="1743"/>
    <tableColumn id="14666" xr3:uid="{00000000-0010-0000-0300-00004A390000}" name="Column14661" dataDxfId="1742"/>
    <tableColumn id="14667" xr3:uid="{00000000-0010-0000-0300-00004B390000}" name="Column14662" dataDxfId="1741"/>
    <tableColumn id="14668" xr3:uid="{00000000-0010-0000-0300-00004C390000}" name="Column14663" dataDxfId="1740"/>
    <tableColumn id="14669" xr3:uid="{00000000-0010-0000-0300-00004D390000}" name="Column14664" dataDxfId="1739"/>
    <tableColumn id="14670" xr3:uid="{00000000-0010-0000-0300-00004E390000}" name="Column14665" dataDxfId="1738"/>
    <tableColumn id="14671" xr3:uid="{00000000-0010-0000-0300-00004F390000}" name="Column14666" dataDxfId="1737"/>
    <tableColumn id="14672" xr3:uid="{00000000-0010-0000-0300-000050390000}" name="Column14667" dataDxfId="1736"/>
    <tableColumn id="14673" xr3:uid="{00000000-0010-0000-0300-000051390000}" name="Column14668" dataDxfId="1735"/>
    <tableColumn id="14674" xr3:uid="{00000000-0010-0000-0300-000052390000}" name="Column14669" dataDxfId="1734"/>
    <tableColumn id="14675" xr3:uid="{00000000-0010-0000-0300-000053390000}" name="Column14670" dataDxfId="1733"/>
    <tableColumn id="14676" xr3:uid="{00000000-0010-0000-0300-000054390000}" name="Column14671" dataDxfId="1732"/>
    <tableColumn id="14677" xr3:uid="{00000000-0010-0000-0300-000055390000}" name="Column14672" dataDxfId="1731"/>
    <tableColumn id="14678" xr3:uid="{00000000-0010-0000-0300-000056390000}" name="Column14673" dataDxfId="1730"/>
    <tableColumn id="14679" xr3:uid="{00000000-0010-0000-0300-000057390000}" name="Column14674" dataDxfId="1729"/>
    <tableColumn id="14680" xr3:uid="{00000000-0010-0000-0300-000058390000}" name="Column14675" dataDxfId="1728"/>
    <tableColumn id="14681" xr3:uid="{00000000-0010-0000-0300-000059390000}" name="Column14676" dataDxfId="1727"/>
    <tableColumn id="14682" xr3:uid="{00000000-0010-0000-0300-00005A390000}" name="Column14677" dataDxfId="1726"/>
    <tableColumn id="14683" xr3:uid="{00000000-0010-0000-0300-00005B390000}" name="Column14678" dataDxfId="1725"/>
    <tableColumn id="14684" xr3:uid="{00000000-0010-0000-0300-00005C390000}" name="Column14679" dataDxfId="1724"/>
    <tableColumn id="14685" xr3:uid="{00000000-0010-0000-0300-00005D390000}" name="Column14680" dataDxfId="1723"/>
    <tableColumn id="14686" xr3:uid="{00000000-0010-0000-0300-00005E390000}" name="Column14681" dataDxfId="1722"/>
    <tableColumn id="14687" xr3:uid="{00000000-0010-0000-0300-00005F390000}" name="Column14682" dataDxfId="1721"/>
    <tableColumn id="14688" xr3:uid="{00000000-0010-0000-0300-000060390000}" name="Column14683" dataDxfId="1720"/>
    <tableColumn id="14689" xr3:uid="{00000000-0010-0000-0300-000061390000}" name="Column14684" dataDxfId="1719"/>
    <tableColumn id="14690" xr3:uid="{00000000-0010-0000-0300-000062390000}" name="Column14685" dataDxfId="1718"/>
    <tableColumn id="14691" xr3:uid="{00000000-0010-0000-0300-000063390000}" name="Column14686" dataDxfId="1717"/>
    <tableColumn id="14692" xr3:uid="{00000000-0010-0000-0300-000064390000}" name="Column14687" dataDxfId="1716"/>
    <tableColumn id="14693" xr3:uid="{00000000-0010-0000-0300-000065390000}" name="Column14688" dataDxfId="1715"/>
    <tableColumn id="14694" xr3:uid="{00000000-0010-0000-0300-000066390000}" name="Column14689" dataDxfId="1714"/>
    <tableColumn id="14695" xr3:uid="{00000000-0010-0000-0300-000067390000}" name="Column14690" dataDxfId="1713"/>
    <tableColumn id="14696" xr3:uid="{00000000-0010-0000-0300-000068390000}" name="Column14691" dataDxfId="1712"/>
    <tableColumn id="14697" xr3:uid="{00000000-0010-0000-0300-000069390000}" name="Column14692" dataDxfId="1711"/>
    <tableColumn id="14698" xr3:uid="{00000000-0010-0000-0300-00006A390000}" name="Column14693" dataDxfId="1710"/>
    <tableColumn id="14699" xr3:uid="{00000000-0010-0000-0300-00006B390000}" name="Column14694" dataDxfId="1709"/>
    <tableColumn id="14700" xr3:uid="{00000000-0010-0000-0300-00006C390000}" name="Column14695" dataDxfId="1708"/>
    <tableColumn id="14701" xr3:uid="{00000000-0010-0000-0300-00006D390000}" name="Column14696" dataDxfId="1707"/>
    <tableColumn id="14702" xr3:uid="{00000000-0010-0000-0300-00006E390000}" name="Column14697" dataDxfId="1706"/>
    <tableColumn id="14703" xr3:uid="{00000000-0010-0000-0300-00006F390000}" name="Column14698" dataDxfId="1705"/>
    <tableColumn id="14704" xr3:uid="{00000000-0010-0000-0300-000070390000}" name="Column14699" dataDxfId="1704"/>
    <tableColumn id="14705" xr3:uid="{00000000-0010-0000-0300-000071390000}" name="Column14700" dataDxfId="1703"/>
    <tableColumn id="14706" xr3:uid="{00000000-0010-0000-0300-000072390000}" name="Column14701" dataDxfId="1702"/>
    <tableColumn id="14707" xr3:uid="{00000000-0010-0000-0300-000073390000}" name="Column14702" dataDxfId="1701"/>
    <tableColumn id="14708" xr3:uid="{00000000-0010-0000-0300-000074390000}" name="Column14703" dataDxfId="1700"/>
    <tableColumn id="14709" xr3:uid="{00000000-0010-0000-0300-000075390000}" name="Column14704" dataDxfId="1699"/>
    <tableColumn id="14710" xr3:uid="{00000000-0010-0000-0300-000076390000}" name="Column14705" dataDxfId="1698"/>
    <tableColumn id="14711" xr3:uid="{00000000-0010-0000-0300-000077390000}" name="Column14706" dataDxfId="1697"/>
    <tableColumn id="14712" xr3:uid="{00000000-0010-0000-0300-000078390000}" name="Column14707" dataDxfId="1696"/>
    <tableColumn id="14713" xr3:uid="{00000000-0010-0000-0300-000079390000}" name="Column14708" dataDxfId="1695"/>
    <tableColumn id="14714" xr3:uid="{00000000-0010-0000-0300-00007A390000}" name="Column14709" dataDxfId="1694"/>
    <tableColumn id="14715" xr3:uid="{00000000-0010-0000-0300-00007B390000}" name="Column14710" dataDxfId="1693"/>
    <tableColumn id="14716" xr3:uid="{00000000-0010-0000-0300-00007C390000}" name="Column14711" dataDxfId="1692"/>
    <tableColumn id="14717" xr3:uid="{00000000-0010-0000-0300-00007D390000}" name="Column14712" dataDxfId="1691"/>
    <tableColumn id="14718" xr3:uid="{00000000-0010-0000-0300-00007E390000}" name="Column14713" dataDxfId="1690"/>
    <tableColumn id="14719" xr3:uid="{00000000-0010-0000-0300-00007F390000}" name="Column14714" dataDxfId="1689"/>
    <tableColumn id="14720" xr3:uid="{00000000-0010-0000-0300-000080390000}" name="Column14715" dataDxfId="1688"/>
    <tableColumn id="14721" xr3:uid="{00000000-0010-0000-0300-000081390000}" name="Column14716" dataDxfId="1687"/>
    <tableColumn id="14722" xr3:uid="{00000000-0010-0000-0300-000082390000}" name="Column14717" dataDxfId="1686"/>
    <tableColumn id="14723" xr3:uid="{00000000-0010-0000-0300-000083390000}" name="Column14718" dataDxfId="1685"/>
    <tableColumn id="14724" xr3:uid="{00000000-0010-0000-0300-000084390000}" name="Column14719" dataDxfId="1684"/>
    <tableColumn id="14725" xr3:uid="{00000000-0010-0000-0300-000085390000}" name="Column14720" dataDxfId="1683"/>
    <tableColumn id="14726" xr3:uid="{00000000-0010-0000-0300-000086390000}" name="Column14721" dataDxfId="1682"/>
    <tableColumn id="14727" xr3:uid="{00000000-0010-0000-0300-000087390000}" name="Column14722" dataDxfId="1681"/>
    <tableColumn id="14728" xr3:uid="{00000000-0010-0000-0300-000088390000}" name="Column14723" dataDxfId="1680"/>
    <tableColumn id="14729" xr3:uid="{00000000-0010-0000-0300-000089390000}" name="Column14724" dataDxfId="1679"/>
    <tableColumn id="14730" xr3:uid="{00000000-0010-0000-0300-00008A390000}" name="Column14725" dataDxfId="1678"/>
    <tableColumn id="14731" xr3:uid="{00000000-0010-0000-0300-00008B390000}" name="Column14726" dataDxfId="1677"/>
    <tableColumn id="14732" xr3:uid="{00000000-0010-0000-0300-00008C390000}" name="Column14727" dataDxfId="1676"/>
    <tableColumn id="14733" xr3:uid="{00000000-0010-0000-0300-00008D390000}" name="Column14728" dataDxfId="1675"/>
    <tableColumn id="14734" xr3:uid="{00000000-0010-0000-0300-00008E390000}" name="Column14729" dataDxfId="1674"/>
    <tableColumn id="14735" xr3:uid="{00000000-0010-0000-0300-00008F390000}" name="Column14730" dataDxfId="1673"/>
    <tableColumn id="14736" xr3:uid="{00000000-0010-0000-0300-000090390000}" name="Column14731" dataDxfId="1672"/>
    <tableColumn id="14737" xr3:uid="{00000000-0010-0000-0300-000091390000}" name="Column14732" dataDxfId="1671"/>
    <tableColumn id="14738" xr3:uid="{00000000-0010-0000-0300-000092390000}" name="Column14733" dataDxfId="1670"/>
    <tableColumn id="14739" xr3:uid="{00000000-0010-0000-0300-000093390000}" name="Column14734" dataDxfId="1669"/>
    <tableColumn id="14740" xr3:uid="{00000000-0010-0000-0300-000094390000}" name="Column14735" dataDxfId="1668"/>
    <tableColumn id="14741" xr3:uid="{00000000-0010-0000-0300-000095390000}" name="Column14736" dataDxfId="1667"/>
    <tableColumn id="14742" xr3:uid="{00000000-0010-0000-0300-000096390000}" name="Column14737" dataDxfId="1666"/>
    <tableColumn id="14743" xr3:uid="{00000000-0010-0000-0300-000097390000}" name="Column14738" dataDxfId="1665"/>
    <tableColumn id="14744" xr3:uid="{00000000-0010-0000-0300-000098390000}" name="Column14739" dataDxfId="1664"/>
    <tableColumn id="14745" xr3:uid="{00000000-0010-0000-0300-000099390000}" name="Column14740" dataDxfId="1663"/>
    <tableColumn id="14746" xr3:uid="{00000000-0010-0000-0300-00009A390000}" name="Column14741" dataDxfId="1662"/>
    <tableColumn id="14747" xr3:uid="{00000000-0010-0000-0300-00009B390000}" name="Column14742" dataDxfId="1661"/>
    <tableColumn id="14748" xr3:uid="{00000000-0010-0000-0300-00009C390000}" name="Column14743" dataDxfId="1660"/>
    <tableColumn id="14749" xr3:uid="{00000000-0010-0000-0300-00009D390000}" name="Column14744" dataDxfId="1659"/>
    <tableColumn id="14750" xr3:uid="{00000000-0010-0000-0300-00009E390000}" name="Column14745" dataDxfId="1658"/>
    <tableColumn id="14751" xr3:uid="{00000000-0010-0000-0300-00009F390000}" name="Column14746" dataDxfId="1657"/>
    <tableColumn id="14752" xr3:uid="{00000000-0010-0000-0300-0000A0390000}" name="Column14747" dataDxfId="1656"/>
    <tableColumn id="14753" xr3:uid="{00000000-0010-0000-0300-0000A1390000}" name="Column14748" dataDxfId="1655"/>
    <tableColumn id="14754" xr3:uid="{00000000-0010-0000-0300-0000A2390000}" name="Column14749" dataDxfId="1654"/>
    <tableColumn id="14755" xr3:uid="{00000000-0010-0000-0300-0000A3390000}" name="Column14750" dataDxfId="1653"/>
    <tableColumn id="14756" xr3:uid="{00000000-0010-0000-0300-0000A4390000}" name="Column14751" dataDxfId="1652"/>
    <tableColumn id="14757" xr3:uid="{00000000-0010-0000-0300-0000A5390000}" name="Column14752" dataDxfId="1651"/>
    <tableColumn id="14758" xr3:uid="{00000000-0010-0000-0300-0000A6390000}" name="Column14753" dataDxfId="1650"/>
    <tableColumn id="14759" xr3:uid="{00000000-0010-0000-0300-0000A7390000}" name="Column14754" dataDxfId="1649"/>
    <tableColumn id="14760" xr3:uid="{00000000-0010-0000-0300-0000A8390000}" name="Column14755" dataDxfId="1648"/>
    <tableColumn id="14761" xr3:uid="{00000000-0010-0000-0300-0000A9390000}" name="Column14756" dataDxfId="1647"/>
    <tableColumn id="14762" xr3:uid="{00000000-0010-0000-0300-0000AA390000}" name="Column14757" dataDxfId="1646"/>
    <tableColumn id="14763" xr3:uid="{00000000-0010-0000-0300-0000AB390000}" name="Column14758" dataDxfId="1645"/>
    <tableColumn id="14764" xr3:uid="{00000000-0010-0000-0300-0000AC390000}" name="Column14759" dataDxfId="1644"/>
    <tableColumn id="14765" xr3:uid="{00000000-0010-0000-0300-0000AD390000}" name="Column14760" dataDxfId="1643"/>
    <tableColumn id="14766" xr3:uid="{00000000-0010-0000-0300-0000AE390000}" name="Column14761" dataDxfId="1642"/>
    <tableColumn id="14767" xr3:uid="{00000000-0010-0000-0300-0000AF390000}" name="Column14762" dataDxfId="1641"/>
    <tableColumn id="14768" xr3:uid="{00000000-0010-0000-0300-0000B0390000}" name="Column14763" dataDxfId="1640"/>
    <tableColumn id="14769" xr3:uid="{00000000-0010-0000-0300-0000B1390000}" name="Column14764" dataDxfId="1639"/>
    <tableColumn id="14770" xr3:uid="{00000000-0010-0000-0300-0000B2390000}" name="Column14765" dataDxfId="1638"/>
    <tableColumn id="14771" xr3:uid="{00000000-0010-0000-0300-0000B3390000}" name="Column14766" dataDxfId="1637"/>
    <tableColumn id="14772" xr3:uid="{00000000-0010-0000-0300-0000B4390000}" name="Column14767" dataDxfId="1636"/>
    <tableColumn id="14773" xr3:uid="{00000000-0010-0000-0300-0000B5390000}" name="Column14768" dataDxfId="1635"/>
    <tableColumn id="14774" xr3:uid="{00000000-0010-0000-0300-0000B6390000}" name="Column14769" dataDxfId="1634"/>
    <tableColumn id="14775" xr3:uid="{00000000-0010-0000-0300-0000B7390000}" name="Column14770" dataDxfId="1633"/>
    <tableColumn id="14776" xr3:uid="{00000000-0010-0000-0300-0000B8390000}" name="Column14771" dataDxfId="1632"/>
    <tableColumn id="14777" xr3:uid="{00000000-0010-0000-0300-0000B9390000}" name="Column14772" dataDxfId="1631"/>
    <tableColumn id="14778" xr3:uid="{00000000-0010-0000-0300-0000BA390000}" name="Column14773" dataDxfId="1630"/>
    <tableColumn id="14779" xr3:uid="{00000000-0010-0000-0300-0000BB390000}" name="Column14774" dataDxfId="1629"/>
    <tableColumn id="14780" xr3:uid="{00000000-0010-0000-0300-0000BC390000}" name="Column14775" dataDxfId="1628"/>
    <tableColumn id="14781" xr3:uid="{00000000-0010-0000-0300-0000BD390000}" name="Column14776" dataDxfId="1627"/>
    <tableColumn id="14782" xr3:uid="{00000000-0010-0000-0300-0000BE390000}" name="Column14777" dataDxfId="1626"/>
    <tableColumn id="14783" xr3:uid="{00000000-0010-0000-0300-0000BF390000}" name="Column14778" dataDxfId="1625"/>
    <tableColumn id="14784" xr3:uid="{00000000-0010-0000-0300-0000C0390000}" name="Column14779" dataDxfId="1624"/>
    <tableColumn id="14785" xr3:uid="{00000000-0010-0000-0300-0000C1390000}" name="Column14780" dataDxfId="1623"/>
    <tableColumn id="14786" xr3:uid="{00000000-0010-0000-0300-0000C2390000}" name="Column14781" dataDxfId="1622"/>
    <tableColumn id="14787" xr3:uid="{00000000-0010-0000-0300-0000C3390000}" name="Column14782" dataDxfId="1621"/>
    <tableColumn id="14788" xr3:uid="{00000000-0010-0000-0300-0000C4390000}" name="Column14783" dataDxfId="1620"/>
    <tableColumn id="14789" xr3:uid="{00000000-0010-0000-0300-0000C5390000}" name="Column14784" dataDxfId="1619"/>
    <tableColumn id="14790" xr3:uid="{00000000-0010-0000-0300-0000C6390000}" name="Column14785" dataDxfId="1618"/>
    <tableColumn id="14791" xr3:uid="{00000000-0010-0000-0300-0000C7390000}" name="Column14786" dataDxfId="1617"/>
    <tableColumn id="14792" xr3:uid="{00000000-0010-0000-0300-0000C8390000}" name="Column14787" dataDxfId="1616"/>
    <tableColumn id="14793" xr3:uid="{00000000-0010-0000-0300-0000C9390000}" name="Column14788" dataDxfId="1615"/>
    <tableColumn id="14794" xr3:uid="{00000000-0010-0000-0300-0000CA390000}" name="Column14789" dataDxfId="1614"/>
    <tableColumn id="14795" xr3:uid="{00000000-0010-0000-0300-0000CB390000}" name="Column14790" dataDxfId="1613"/>
    <tableColumn id="14796" xr3:uid="{00000000-0010-0000-0300-0000CC390000}" name="Column14791" dataDxfId="1612"/>
    <tableColumn id="14797" xr3:uid="{00000000-0010-0000-0300-0000CD390000}" name="Column14792" dataDxfId="1611"/>
    <tableColumn id="14798" xr3:uid="{00000000-0010-0000-0300-0000CE390000}" name="Column14793" dataDxfId="1610"/>
    <tableColumn id="14799" xr3:uid="{00000000-0010-0000-0300-0000CF390000}" name="Column14794" dataDxfId="1609"/>
    <tableColumn id="14800" xr3:uid="{00000000-0010-0000-0300-0000D0390000}" name="Column14795" dataDxfId="1608"/>
    <tableColumn id="14801" xr3:uid="{00000000-0010-0000-0300-0000D1390000}" name="Column14796" dataDxfId="1607"/>
    <tableColumn id="14802" xr3:uid="{00000000-0010-0000-0300-0000D2390000}" name="Column14797" dataDxfId="1606"/>
    <tableColumn id="14803" xr3:uid="{00000000-0010-0000-0300-0000D3390000}" name="Column14798" dataDxfId="1605"/>
    <tableColumn id="14804" xr3:uid="{00000000-0010-0000-0300-0000D4390000}" name="Column14799" dataDxfId="1604"/>
    <tableColumn id="14805" xr3:uid="{00000000-0010-0000-0300-0000D5390000}" name="Column14800" dataDxfId="1603"/>
    <tableColumn id="14806" xr3:uid="{00000000-0010-0000-0300-0000D6390000}" name="Column14801" dataDxfId="1602"/>
    <tableColumn id="14807" xr3:uid="{00000000-0010-0000-0300-0000D7390000}" name="Column14802" dataDxfId="1601"/>
    <tableColumn id="14808" xr3:uid="{00000000-0010-0000-0300-0000D8390000}" name="Column14803" dataDxfId="1600"/>
    <tableColumn id="14809" xr3:uid="{00000000-0010-0000-0300-0000D9390000}" name="Column14804" dataDxfId="1599"/>
    <tableColumn id="14810" xr3:uid="{00000000-0010-0000-0300-0000DA390000}" name="Column14805" dataDxfId="1598"/>
    <tableColumn id="14811" xr3:uid="{00000000-0010-0000-0300-0000DB390000}" name="Column14806" dataDxfId="1597"/>
    <tableColumn id="14812" xr3:uid="{00000000-0010-0000-0300-0000DC390000}" name="Column14807" dataDxfId="1596"/>
    <tableColumn id="14813" xr3:uid="{00000000-0010-0000-0300-0000DD390000}" name="Column14808" dataDxfId="1595"/>
    <tableColumn id="14814" xr3:uid="{00000000-0010-0000-0300-0000DE390000}" name="Column14809" dataDxfId="1594"/>
    <tableColumn id="14815" xr3:uid="{00000000-0010-0000-0300-0000DF390000}" name="Column14810" dataDxfId="1593"/>
    <tableColumn id="14816" xr3:uid="{00000000-0010-0000-0300-0000E0390000}" name="Column14811" dataDxfId="1592"/>
    <tableColumn id="14817" xr3:uid="{00000000-0010-0000-0300-0000E1390000}" name="Column14812" dataDxfId="1591"/>
    <tableColumn id="14818" xr3:uid="{00000000-0010-0000-0300-0000E2390000}" name="Column14813" dataDxfId="1590"/>
    <tableColumn id="14819" xr3:uid="{00000000-0010-0000-0300-0000E3390000}" name="Column14814" dataDxfId="1589"/>
    <tableColumn id="14820" xr3:uid="{00000000-0010-0000-0300-0000E4390000}" name="Column14815" dataDxfId="1588"/>
    <tableColumn id="14821" xr3:uid="{00000000-0010-0000-0300-0000E5390000}" name="Column14816" dataDxfId="1587"/>
    <tableColumn id="14822" xr3:uid="{00000000-0010-0000-0300-0000E6390000}" name="Column14817" dataDxfId="1586"/>
    <tableColumn id="14823" xr3:uid="{00000000-0010-0000-0300-0000E7390000}" name="Column14818" dataDxfId="1585"/>
    <tableColumn id="14824" xr3:uid="{00000000-0010-0000-0300-0000E8390000}" name="Column14819" dataDxfId="1584"/>
    <tableColumn id="14825" xr3:uid="{00000000-0010-0000-0300-0000E9390000}" name="Column14820" dataDxfId="1583"/>
    <tableColumn id="14826" xr3:uid="{00000000-0010-0000-0300-0000EA390000}" name="Column14821" dataDxfId="1582"/>
    <tableColumn id="14827" xr3:uid="{00000000-0010-0000-0300-0000EB390000}" name="Column14822" dataDxfId="1581"/>
    <tableColumn id="14828" xr3:uid="{00000000-0010-0000-0300-0000EC390000}" name="Column14823" dataDxfId="1580"/>
    <tableColumn id="14829" xr3:uid="{00000000-0010-0000-0300-0000ED390000}" name="Column14824" dataDxfId="1579"/>
    <tableColumn id="14830" xr3:uid="{00000000-0010-0000-0300-0000EE390000}" name="Column14825" dataDxfId="1578"/>
    <tableColumn id="14831" xr3:uid="{00000000-0010-0000-0300-0000EF390000}" name="Column14826" dataDxfId="1577"/>
    <tableColumn id="14832" xr3:uid="{00000000-0010-0000-0300-0000F0390000}" name="Column14827" dataDxfId="1576"/>
    <tableColumn id="14833" xr3:uid="{00000000-0010-0000-0300-0000F1390000}" name="Column14828" dataDxfId="1575"/>
    <tableColumn id="14834" xr3:uid="{00000000-0010-0000-0300-0000F2390000}" name="Column14829" dataDxfId="1574"/>
    <tableColumn id="14835" xr3:uid="{00000000-0010-0000-0300-0000F3390000}" name="Column14830" dataDxfId="1573"/>
    <tableColumn id="14836" xr3:uid="{00000000-0010-0000-0300-0000F4390000}" name="Column14831" dataDxfId="1572"/>
    <tableColumn id="14837" xr3:uid="{00000000-0010-0000-0300-0000F5390000}" name="Column14832" dataDxfId="1571"/>
    <tableColumn id="14838" xr3:uid="{00000000-0010-0000-0300-0000F6390000}" name="Column14833" dataDxfId="1570"/>
    <tableColumn id="14839" xr3:uid="{00000000-0010-0000-0300-0000F7390000}" name="Column14834" dataDxfId="1569"/>
    <tableColumn id="14840" xr3:uid="{00000000-0010-0000-0300-0000F8390000}" name="Column14835" dataDxfId="1568"/>
    <tableColumn id="14841" xr3:uid="{00000000-0010-0000-0300-0000F9390000}" name="Column14836" dataDxfId="1567"/>
    <tableColumn id="14842" xr3:uid="{00000000-0010-0000-0300-0000FA390000}" name="Column14837" dataDxfId="1566"/>
    <tableColumn id="14843" xr3:uid="{00000000-0010-0000-0300-0000FB390000}" name="Column14838" dataDxfId="1565"/>
    <tableColumn id="14844" xr3:uid="{00000000-0010-0000-0300-0000FC390000}" name="Column14839" dataDxfId="1564"/>
    <tableColumn id="14845" xr3:uid="{00000000-0010-0000-0300-0000FD390000}" name="Column14840" dataDxfId="1563"/>
    <tableColumn id="14846" xr3:uid="{00000000-0010-0000-0300-0000FE390000}" name="Column14841" dataDxfId="1562"/>
    <tableColumn id="14847" xr3:uid="{00000000-0010-0000-0300-0000FF390000}" name="Column14842" dataDxfId="1561"/>
    <tableColumn id="14848" xr3:uid="{00000000-0010-0000-0300-0000003A0000}" name="Column14843" dataDxfId="1560"/>
    <tableColumn id="14849" xr3:uid="{00000000-0010-0000-0300-0000013A0000}" name="Column14844" dataDxfId="1559"/>
    <tableColumn id="14850" xr3:uid="{00000000-0010-0000-0300-0000023A0000}" name="Column14845" dataDxfId="1558"/>
    <tableColumn id="14851" xr3:uid="{00000000-0010-0000-0300-0000033A0000}" name="Column14846" dataDxfId="1557"/>
    <tableColumn id="14852" xr3:uid="{00000000-0010-0000-0300-0000043A0000}" name="Column14847" dataDxfId="1556"/>
    <tableColumn id="14853" xr3:uid="{00000000-0010-0000-0300-0000053A0000}" name="Column14848" dataDxfId="1555"/>
    <tableColumn id="14854" xr3:uid="{00000000-0010-0000-0300-0000063A0000}" name="Column14849" dataDxfId="1554"/>
    <tableColumn id="14855" xr3:uid="{00000000-0010-0000-0300-0000073A0000}" name="Column14850" dataDxfId="1553"/>
    <tableColumn id="14856" xr3:uid="{00000000-0010-0000-0300-0000083A0000}" name="Column14851" dataDxfId="1552"/>
    <tableColumn id="14857" xr3:uid="{00000000-0010-0000-0300-0000093A0000}" name="Column14852" dataDxfId="1551"/>
    <tableColumn id="14858" xr3:uid="{00000000-0010-0000-0300-00000A3A0000}" name="Column14853" dataDxfId="1550"/>
    <tableColumn id="14859" xr3:uid="{00000000-0010-0000-0300-00000B3A0000}" name="Column14854" dataDxfId="1549"/>
    <tableColumn id="14860" xr3:uid="{00000000-0010-0000-0300-00000C3A0000}" name="Column14855" dataDxfId="1548"/>
    <tableColumn id="14861" xr3:uid="{00000000-0010-0000-0300-00000D3A0000}" name="Column14856" dataDxfId="1547"/>
    <tableColumn id="14862" xr3:uid="{00000000-0010-0000-0300-00000E3A0000}" name="Column14857" dataDxfId="1546"/>
    <tableColumn id="14863" xr3:uid="{00000000-0010-0000-0300-00000F3A0000}" name="Column14858" dataDxfId="1545"/>
    <tableColumn id="14864" xr3:uid="{00000000-0010-0000-0300-0000103A0000}" name="Column14859" dataDxfId="1544"/>
    <tableColumn id="14865" xr3:uid="{00000000-0010-0000-0300-0000113A0000}" name="Column14860" dataDxfId="1543"/>
    <tableColumn id="14866" xr3:uid="{00000000-0010-0000-0300-0000123A0000}" name="Column14861" dataDxfId="1542"/>
    <tableColumn id="14867" xr3:uid="{00000000-0010-0000-0300-0000133A0000}" name="Column14862" dataDxfId="1541"/>
    <tableColumn id="14868" xr3:uid="{00000000-0010-0000-0300-0000143A0000}" name="Column14863" dataDxfId="1540"/>
    <tableColumn id="14869" xr3:uid="{00000000-0010-0000-0300-0000153A0000}" name="Column14864" dataDxfId="1539"/>
    <tableColumn id="14870" xr3:uid="{00000000-0010-0000-0300-0000163A0000}" name="Column14865" dataDxfId="1538"/>
    <tableColumn id="14871" xr3:uid="{00000000-0010-0000-0300-0000173A0000}" name="Column14866" dataDxfId="1537"/>
    <tableColumn id="14872" xr3:uid="{00000000-0010-0000-0300-0000183A0000}" name="Column14867" dataDxfId="1536"/>
    <tableColumn id="14873" xr3:uid="{00000000-0010-0000-0300-0000193A0000}" name="Column14868" dataDxfId="1535"/>
    <tableColumn id="14874" xr3:uid="{00000000-0010-0000-0300-00001A3A0000}" name="Column14869" dataDxfId="1534"/>
    <tableColumn id="14875" xr3:uid="{00000000-0010-0000-0300-00001B3A0000}" name="Column14870" dataDxfId="1533"/>
    <tableColumn id="14876" xr3:uid="{00000000-0010-0000-0300-00001C3A0000}" name="Column14871" dataDxfId="1532"/>
    <tableColumn id="14877" xr3:uid="{00000000-0010-0000-0300-00001D3A0000}" name="Column14872" dataDxfId="1531"/>
    <tableColumn id="14878" xr3:uid="{00000000-0010-0000-0300-00001E3A0000}" name="Column14873" dataDxfId="1530"/>
    <tableColumn id="14879" xr3:uid="{00000000-0010-0000-0300-00001F3A0000}" name="Column14874" dataDxfId="1529"/>
    <tableColumn id="14880" xr3:uid="{00000000-0010-0000-0300-0000203A0000}" name="Column14875" dataDxfId="1528"/>
    <tableColumn id="14881" xr3:uid="{00000000-0010-0000-0300-0000213A0000}" name="Column14876" dataDxfId="1527"/>
    <tableColumn id="14882" xr3:uid="{00000000-0010-0000-0300-0000223A0000}" name="Column14877" dataDxfId="1526"/>
    <tableColumn id="14883" xr3:uid="{00000000-0010-0000-0300-0000233A0000}" name="Column14878" dataDxfId="1525"/>
    <tableColumn id="14884" xr3:uid="{00000000-0010-0000-0300-0000243A0000}" name="Column14879" dataDxfId="1524"/>
    <tableColumn id="14885" xr3:uid="{00000000-0010-0000-0300-0000253A0000}" name="Column14880" dataDxfId="1523"/>
    <tableColumn id="14886" xr3:uid="{00000000-0010-0000-0300-0000263A0000}" name="Column14881" dataDxfId="1522"/>
    <tableColumn id="14887" xr3:uid="{00000000-0010-0000-0300-0000273A0000}" name="Column14882" dataDxfId="1521"/>
    <tableColumn id="14888" xr3:uid="{00000000-0010-0000-0300-0000283A0000}" name="Column14883" dataDxfId="1520"/>
    <tableColumn id="14889" xr3:uid="{00000000-0010-0000-0300-0000293A0000}" name="Column14884" dataDxfId="1519"/>
    <tableColumn id="14890" xr3:uid="{00000000-0010-0000-0300-00002A3A0000}" name="Column14885" dataDxfId="1518"/>
    <tableColumn id="14891" xr3:uid="{00000000-0010-0000-0300-00002B3A0000}" name="Column14886" dataDxfId="1517"/>
    <tableColumn id="14892" xr3:uid="{00000000-0010-0000-0300-00002C3A0000}" name="Column14887" dataDxfId="1516"/>
    <tableColumn id="14893" xr3:uid="{00000000-0010-0000-0300-00002D3A0000}" name="Column14888" dataDxfId="1515"/>
    <tableColumn id="14894" xr3:uid="{00000000-0010-0000-0300-00002E3A0000}" name="Column14889" dataDxfId="1514"/>
    <tableColumn id="14895" xr3:uid="{00000000-0010-0000-0300-00002F3A0000}" name="Column14890" dataDxfId="1513"/>
    <tableColumn id="14896" xr3:uid="{00000000-0010-0000-0300-0000303A0000}" name="Column14891" dataDxfId="1512"/>
    <tableColumn id="14897" xr3:uid="{00000000-0010-0000-0300-0000313A0000}" name="Column14892" dataDxfId="1511"/>
    <tableColumn id="14898" xr3:uid="{00000000-0010-0000-0300-0000323A0000}" name="Column14893" dataDxfId="1510"/>
    <tableColumn id="14899" xr3:uid="{00000000-0010-0000-0300-0000333A0000}" name="Column14894" dataDxfId="1509"/>
    <tableColumn id="14900" xr3:uid="{00000000-0010-0000-0300-0000343A0000}" name="Column14895" dataDxfId="1508"/>
    <tableColumn id="14901" xr3:uid="{00000000-0010-0000-0300-0000353A0000}" name="Column14896" dataDxfId="1507"/>
    <tableColumn id="14902" xr3:uid="{00000000-0010-0000-0300-0000363A0000}" name="Column14897" dataDxfId="1506"/>
    <tableColumn id="14903" xr3:uid="{00000000-0010-0000-0300-0000373A0000}" name="Column14898" dataDxfId="1505"/>
    <tableColumn id="14904" xr3:uid="{00000000-0010-0000-0300-0000383A0000}" name="Column14899" dataDxfId="1504"/>
    <tableColumn id="14905" xr3:uid="{00000000-0010-0000-0300-0000393A0000}" name="Column14900" dataDxfId="1503"/>
    <tableColumn id="14906" xr3:uid="{00000000-0010-0000-0300-00003A3A0000}" name="Column14901" dataDxfId="1502"/>
    <tableColumn id="14907" xr3:uid="{00000000-0010-0000-0300-00003B3A0000}" name="Column14902" dataDxfId="1501"/>
    <tableColumn id="14908" xr3:uid="{00000000-0010-0000-0300-00003C3A0000}" name="Column14903" dataDxfId="1500"/>
    <tableColumn id="14909" xr3:uid="{00000000-0010-0000-0300-00003D3A0000}" name="Column14904" dataDxfId="1499"/>
    <tableColumn id="14910" xr3:uid="{00000000-0010-0000-0300-00003E3A0000}" name="Column14905" dataDxfId="1498"/>
    <tableColumn id="14911" xr3:uid="{00000000-0010-0000-0300-00003F3A0000}" name="Column14906" dataDxfId="1497"/>
    <tableColumn id="14912" xr3:uid="{00000000-0010-0000-0300-0000403A0000}" name="Column14907" dataDxfId="1496"/>
    <tableColumn id="14913" xr3:uid="{00000000-0010-0000-0300-0000413A0000}" name="Column14908" dataDxfId="1495"/>
    <tableColumn id="14914" xr3:uid="{00000000-0010-0000-0300-0000423A0000}" name="Column14909" dataDxfId="1494"/>
    <tableColumn id="14915" xr3:uid="{00000000-0010-0000-0300-0000433A0000}" name="Column14910" dataDxfId="1493"/>
    <tableColumn id="14916" xr3:uid="{00000000-0010-0000-0300-0000443A0000}" name="Column14911" dataDxfId="1492"/>
    <tableColumn id="14917" xr3:uid="{00000000-0010-0000-0300-0000453A0000}" name="Column14912" dataDxfId="1491"/>
    <tableColumn id="14918" xr3:uid="{00000000-0010-0000-0300-0000463A0000}" name="Column14913" dataDxfId="1490"/>
    <tableColumn id="14919" xr3:uid="{00000000-0010-0000-0300-0000473A0000}" name="Column14914" dataDxfId="1489"/>
    <tableColumn id="14920" xr3:uid="{00000000-0010-0000-0300-0000483A0000}" name="Column14915" dataDxfId="1488"/>
    <tableColumn id="14921" xr3:uid="{00000000-0010-0000-0300-0000493A0000}" name="Column14916" dataDxfId="1487"/>
    <tableColumn id="14922" xr3:uid="{00000000-0010-0000-0300-00004A3A0000}" name="Column14917" dataDxfId="1486"/>
    <tableColumn id="14923" xr3:uid="{00000000-0010-0000-0300-00004B3A0000}" name="Column14918" dataDxfId="1485"/>
    <tableColumn id="14924" xr3:uid="{00000000-0010-0000-0300-00004C3A0000}" name="Column14919" dataDxfId="1484"/>
    <tableColumn id="14925" xr3:uid="{00000000-0010-0000-0300-00004D3A0000}" name="Column14920" dataDxfId="1483"/>
    <tableColumn id="14926" xr3:uid="{00000000-0010-0000-0300-00004E3A0000}" name="Column14921" dataDxfId="1482"/>
    <tableColumn id="14927" xr3:uid="{00000000-0010-0000-0300-00004F3A0000}" name="Column14922" dataDxfId="1481"/>
    <tableColumn id="14928" xr3:uid="{00000000-0010-0000-0300-0000503A0000}" name="Column14923" dataDxfId="1480"/>
    <tableColumn id="14929" xr3:uid="{00000000-0010-0000-0300-0000513A0000}" name="Column14924" dataDxfId="1479"/>
    <tableColumn id="14930" xr3:uid="{00000000-0010-0000-0300-0000523A0000}" name="Column14925" dataDxfId="1478"/>
    <tableColumn id="14931" xr3:uid="{00000000-0010-0000-0300-0000533A0000}" name="Column14926" dataDxfId="1477"/>
    <tableColumn id="14932" xr3:uid="{00000000-0010-0000-0300-0000543A0000}" name="Column14927" dataDxfId="1476"/>
    <tableColumn id="14933" xr3:uid="{00000000-0010-0000-0300-0000553A0000}" name="Column14928" dataDxfId="1475"/>
    <tableColumn id="14934" xr3:uid="{00000000-0010-0000-0300-0000563A0000}" name="Column14929" dataDxfId="1474"/>
    <tableColumn id="14935" xr3:uid="{00000000-0010-0000-0300-0000573A0000}" name="Column14930" dataDxfId="1473"/>
    <tableColumn id="14936" xr3:uid="{00000000-0010-0000-0300-0000583A0000}" name="Column14931" dataDxfId="1472"/>
    <tableColumn id="14937" xr3:uid="{00000000-0010-0000-0300-0000593A0000}" name="Column14932" dataDxfId="1471"/>
    <tableColumn id="14938" xr3:uid="{00000000-0010-0000-0300-00005A3A0000}" name="Column14933" dataDxfId="1470"/>
    <tableColumn id="14939" xr3:uid="{00000000-0010-0000-0300-00005B3A0000}" name="Column14934" dataDxfId="1469"/>
    <tableColumn id="14940" xr3:uid="{00000000-0010-0000-0300-00005C3A0000}" name="Column14935" dataDxfId="1468"/>
    <tableColumn id="14941" xr3:uid="{00000000-0010-0000-0300-00005D3A0000}" name="Column14936" dataDxfId="1467"/>
    <tableColumn id="14942" xr3:uid="{00000000-0010-0000-0300-00005E3A0000}" name="Column14937" dataDxfId="1466"/>
    <tableColumn id="14943" xr3:uid="{00000000-0010-0000-0300-00005F3A0000}" name="Column14938" dataDxfId="1465"/>
    <tableColumn id="14944" xr3:uid="{00000000-0010-0000-0300-0000603A0000}" name="Column14939" dataDxfId="1464"/>
    <tableColumn id="14945" xr3:uid="{00000000-0010-0000-0300-0000613A0000}" name="Column14940" dataDxfId="1463"/>
    <tableColumn id="14946" xr3:uid="{00000000-0010-0000-0300-0000623A0000}" name="Column14941" dataDxfId="1462"/>
    <tableColumn id="14947" xr3:uid="{00000000-0010-0000-0300-0000633A0000}" name="Column14942" dataDxfId="1461"/>
    <tableColumn id="14948" xr3:uid="{00000000-0010-0000-0300-0000643A0000}" name="Column14943" dataDxfId="1460"/>
    <tableColumn id="14949" xr3:uid="{00000000-0010-0000-0300-0000653A0000}" name="Column14944" dataDxfId="1459"/>
    <tableColumn id="14950" xr3:uid="{00000000-0010-0000-0300-0000663A0000}" name="Column14945" dataDxfId="1458"/>
    <tableColumn id="14951" xr3:uid="{00000000-0010-0000-0300-0000673A0000}" name="Column14946" dataDxfId="1457"/>
    <tableColumn id="14952" xr3:uid="{00000000-0010-0000-0300-0000683A0000}" name="Column14947" dataDxfId="1456"/>
    <tableColumn id="14953" xr3:uid="{00000000-0010-0000-0300-0000693A0000}" name="Column14948" dataDxfId="1455"/>
    <tableColumn id="14954" xr3:uid="{00000000-0010-0000-0300-00006A3A0000}" name="Column14949" dataDxfId="1454"/>
    <tableColumn id="14955" xr3:uid="{00000000-0010-0000-0300-00006B3A0000}" name="Column14950" dataDxfId="1453"/>
    <tableColumn id="14956" xr3:uid="{00000000-0010-0000-0300-00006C3A0000}" name="Column14951" dataDxfId="1452"/>
    <tableColumn id="14957" xr3:uid="{00000000-0010-0000-0300-00006D3A0000}" name="Column14952" dataDxfId="1451"/>
    <tableColumn id="14958" xr3:uid="{00000000-0010-0000-0300-00006E3A0000}" name="Column14953" dataDxfId="1450"/>
    <tableColumn id="14959" xr3:uid="{00000000-0010-0000-0300-00006F3A0000}" name="Column14954" dataDxfId="1449"/>
    <tableColumn id="14960" xr3:uid="{00000000-0010-0000-0300-0000703A0000}" name="Column14955" dataDxfId="1448"/>
    <tableColumn id="14961" xr3:uid="{00000000-0010-0000-0300-0000713A0000}" name="Column14956" dataDxfId="1447"/>
    <tableColumn id="14962" xr3:uid="{00000000-0010-0000-0300-0000723A0000}" name="Column14957" dataDxfId="1446"/>
    <tableColumn id="14963" xr3:uid="{00000000-0010-0000-0300-0000733A0000}" name="Column14958" dataDxfId="1445"/>
    <tableColumn id="14964" xr3:uid="{00000000-0010-0000-0300-0000743A0000}" name="Column14959" dataDxfId="1444"/>
    <tableColumn id="14965" xr3:uid="{00000000-0010-0000-0300-0000753A0000}" name="Column14960" dataDxfId="1443"/>
    <tableColumn id="14966" xr3:uid="{00000000-0010-0000-0300-0000763A0000}" name="Column14961" dataDxfId="1442"/>
    <tableColumn id="14967" xr3:uid="{00000000-0010-0000-0300-0000773A0000}" name="Column14962" dataDxfId="1441"/>
    <tableColumn id="14968" xr3:uid="{00000000-0010-0000-0300-0000783A0000}" name="Column14963" dataDxfId="1440"/>
    <tableColumn id="14969" xr3:uid="{00000000-0010-0000-0300-0000793A0000}" name="Column14964" dataDxfId="1439"/>
    <tableColumn id="14970" xr3:uid="{00000000-0010-0000-0300-00007A3A0000}" name="Column14965" dataDxfId="1438"/>
    <tableColumn id="14971" xr3:uid="{00000000-0010-0000-0300-00007B3A0000}" name="Column14966" dataDxfId="1437"/>
    <tableColumn id="14972" xr3:uid="{00000000-0010-0000-0300-00007C3A0000}" name="Column14967" dataDxfId="1436"/>
    <tableColumn id="14973" xr3:uid="{00000000-0010-0000-0300-00007D3A0000}" name="Column14968" dataDxfId="1435"/>
    <tableColumn id="14974" xr3:uid="{00000000-0010-0000-0300-00007E3A0000}" name="Column14969" dataDxfId="1434"/>
    <tableColumn id="14975" xr3:uid="{00000000-0010-0000-0300-00007F3A0000}" name="Column14970" dataDxfId="1433"/>
    <tableColumn id="14976" xr3:uid="{00000000-0010-0000-0300-0000803A0000}" name="Column14971" dataDxfId="1432"/>
    <tableColumn id="14977" xr3:uid="{00000000-0010-0000-0300-0000813A0000}" name="Column14972" dataDxfId="1431"/>
    <tableColumn id="14978" xr3:uid="{00000000-0010-0000-0300-0000823A0000}" name="Column14973" dataDxfId="1430"/>
    <tableColumn id="14979" xr3:uid="{00000000-0010-0000-0300-0000833A0000}" name="Column14974" dataDxfId="1429"/>
    <tableColumn id="14980" xr3:uid="{00000000-0010-0000-0300-0000843A0000}" name="Column14975" dataDxfId="1428"/>
    <tableColumn id="14981" xr3:uid="{00000000-0010-0000-0300-0000853A0000}" name="Column14976" dataDxfId="1427"/>
    <tableColumn id="14982" xr3:uid="{00000000-0010-0000-0300-0000863A0000}" name="Column14977" dataDxfId="1426"/>
    <tableColumn id="14983" xr3:uid="{00000000-0010-0000-0300-0000873A0000}" name="Column14978" dataDxfId="1425"/>
    <tableColumn id="14984" xr3:uid="{00000000-0010-0000-0300-0000883A0000}" name="Column14979" dataDxfId="1424"/>
    <tableColumn id="14985" xr3:uid="{00000000-0010-0000-0300-0000893A0000}" name="Column14980" dataDxfId="1423"/>
    <tableColumn id="14986" xr3:uid="{00000000-0010-0000-0300-00008A3A0000}" name="Column14981" dataDxfId="1422"/>
    <tableColumn id="14987" xr3:uid="{00000000-0010-0000-0300-00008B3A0000}" name="Column14982" dataDxfId="1421"/>
    <tableColumn id="14988" xr3:uid="{00000000-0010-0000-0300-00008C3A0000}" name="Column14983" dataDxfId="1420"/>
    <tableColumn id="14989" xr3:uid="{00000000-0010-0000-0300-00008D3A0000}" name="Column14984" dataDxfId="1419"/>
    <tableColumn id="14990" xr3:uid="{00000000-0010-0000-0300-00008E3A0000}" name="Column14985" dataDxfId="1418"/>
    <tableColumn id="14991" xr3:uid="{00000000-0010-0000-0300-00008F3A0000}" name="Column14986" dataDxfId="1417"/>
    <tableColumn id="14992" xr3:uid="{00000000-0010-0000-0300-0000903A0000}" name="Column14987" dataDxfId="1416"/>
    <tableColumn id="14993" xr3:uid="{00000000-0010-0000-0300-0000913A0000}" name="Column14988" dataDxfId="1415"/>
    <tableColumn id="14994" xr3:uid="{00000000-0010-0000-0300-0000923A0000}" name="Column14989" dataDxfId="1414"/>
    <tableColumn id="14995" xr3:uid="{00000000-0010-0000-0300-0000933A0000}" name="Column14990" dataDxfId="1413"/>
    <tableColumn id="14996" xr3:uid="{00000000-0010-0000-0300-0000943A0000}" name="Column14991" dataDxfId="1412"/>
    <tableColumn id="14997" xr3:uid="{00000000-0010-0000-0300-0000953A0000}" name="Column14992" dataDxfId="1411"/>
    <tableColumn id="14998" xr3:uid="{00000000-0010-0000-0300-0000963A0000}" name="Column14993" dataDxfId="1410"/>
    <tableColumn id="14999" xr3:uid="{00000000-0010-0000-0300-0000973A0000}" name="Column14994" dataDxfId="1409"/>
    <tableColumn id="15000" xr3:uid="{00000000-0010-0000-0300-0000983A0000}" name="Column14995" dataDxfId="1408"/>
    <tableColumn id="15001" xr3:uid="{00000000-0010-0000-0300-0000993A0000}" name="Column14996" dataDxfId="1407"/>
    <tableColumn id="15002" xr3:uid="{00000000-0010-0000-0300-00009A3A0000}" name="Column14997" dataDxfId="1406"/>
    <tableColumn id="15003" xr3:uid="{00000000-0010-0000-0300-00009B3A0000}" name="Column14998" dataDxfId="1405"/>
    <tableColumn id="15004" xr3:uid="{00000000-0010-0000-0300-00009C3A0000}" name="Column14999" dataDxfId="1404"/>
    <tableColumn id="15005" xr3:uid="{00000000-0010-0000-0300-00009D3A0000}" name="Column15000" dataDxfId="1403"/>
    <tableColumn id="15006" xr3:uid="{00000000-0010-0000-0300-00009E3A0000}" name="Column15001" dataDxfId="1402"/>
    <tableColumn id="15007" xr3:uid="{00000000-0010-0000-0300-00009F3A0000}" name="Column15002" dataDxfId="1401"/>
    <tableColumn id="15008" xr3:uid="{00000000-0010-0000-0300-0000A03A0000}" name="Column15003" dataDxfId="1400"/>
    <tableColumn id="15009" xr3:uid="{00000000-0010-0000-0300-0000A13A0000}" name="Column15004" dataDxfId="1399"/>
    <tableColumn id="15010" xr3:uid="{00000000-0010-0000-0300-0000A23A0000}" name="Column15005" dataDxfId="1398"/>
    <tableColumn id="15011" xr3:uid="{00000000-0010-0000-0300-0000A33A0000}" name="Column15006" dataDxfId="1397"/>
    <tableColumn id="15012" xr3:uid="{00000000-0010-0000-0300-0000A43A0000}" name="Column15007" dataDxfId="1396"/>
    <tableColumn id="15013" xr3:uid="{00000000-0010-0000-0300-0000A53A0000}" name="Column15008" dataDxfId="1395"/>
    <tableColumn id="15014" xr3:uid="{00000000-0010-0000-0300-0000A63A0000}" name="Column15009" dataDxfId="1394"/>
    <tableColumn id="15015" xr3:uid="{00000000-0010-0000-0300-0000A73A0000}" name="Column15010" dataDxfId="1393"/>
    <tableColumn id="15016" xr3:uid="{00000000-0010-0000-0300-0000A83A0000}" name="Column15011" dataDxfId="1392"/>
    <tableColumn id="15017" xr3:uid="{00000000-0010-0000-0300-0000A93A0000}" name="Column15012" dataDxfId="1391"/>
    <tableColumn id="15018" xr3:uid="{00000000-0010-0000-0300-0000AA3A0000}" name="Column15013" dataDxfId="1390"/>
    <tableColumn id="15019" xr3:uid="{00000000-0010-0000-0300-0000AB3A0000}" name="Column15014" dataDxfId="1389"/>
    <tableColumn id="15020" xr3:uid="{00000000-0010-0000-0300-0000AC3A0000}" name="Column15015" dataDxfId="1388"/>
    <tableColumn id="15021" xr3:uid="{00000000-0010-0000-0300-0000AD3A0000}" name="Column15016" dataDxfId="1387"/>
    <tableColumn id="15022" xr3:uid="{00000000-0010-0000-0300-0000AE3A0000}" name="Column15017" dataDxfId="1386"/>
    <tableColumn id="15023" xr3:uid="{00000000-0010-0000-0300-0000AF3A0000}" name="Column15018" dataDxfId="1385"/>
    <tableColumn id="15024" xr3:uid="{00000000-0010-0000-0300-0000B03A0000}" name="Column15019" dataDxfId="1384"/>
    <tableColumn id="15025" xr3:uid="{00000000-0010-0000-0300-0000B13A0000}" name="Column15020" dataDxfId="1383"/>
    <tableColumn id="15026" xr3:uid="{00000000-0010-0000-0300-0000B23A0000}" name="Column15021" dataDxfId="1382"/>
    <tableColumn id="15027" xr3:uid="{00000000-0010-0000-0300-0000B33A0000}" name="Column15022" dataDxfId="1381"/>
    <tableColumn id="15028" xr3:uid="{00000000-0010-0000-0300-0000B43A0000}" name="Column15023" dataDxfId="1380"/>
    <tableColumn id="15029" xr3:uid="{00000000-0010-0000-0300-0000B53A0000}" name="Column15024" dataDxfId="1379"/>
    <tableColumn id="15030" xr3:uid="{00000000-0010-0000-0300-0000B63A0000}" name="Column15025" dataDxfId="1378"/>
    <tableColumn id="15031" xr3:uid="{00000000-0010-0000-0300-0000B73A0000}" name="Column15026" dataDxfId="1377"/>
    <tableColumn id="15032" xr3:uid="{00000000-0010-0000-0300-0000B83A0000}" name="Column15027" dataDxfId="1376"/>
    <tableColumn id="15033" xr3:uid="{00000000-0010-0000-0300-0000B93A0000}" name="Column15028" dataDxfId="1375"/>
    <tableColumn id="15034" xr3:uid="{00000000-0010-0000-0300-0000BA3A0000}" name="Column15029" dataDxfId="1374"/>
    <tableColumn id="15035" xr3:uid="{00000000-0010-0000-0300-0000BB3A0000}" name="Column15030" dataDxfId="1373"/>
    <tableColumn id="15036" xr3:uid="{00000000-0010-0000-0300-0000BC3A0000}" name="Column15031" dataDxfId="1372"/>
    <tableColumn id="15037" xr3:uid="{00000000-0010-0000-0300-0000BD3A0000}" name="Column15032" dataDxfId="1371"/>
    <tableColumn id="15038" xr3:uid="{00000000-0010-0000-0300-0000BE3A0000}" name="Column15033" dataDxfId="1370"/>
    <tableColumn id="15039" xr3:uid="{00000000-0010-0000-0300-0000BF3A0000}" name="Column15034" dataDxfId="1369"/>
    <tableColumn id="15040" xr3:uid="{00000000-0010-0000-0300-0000C03A0000}" name="Column15035" dataDxfId="1368"/>
    <tableColumn id="15041" xr3:uid="{00000000-0010-0000-0300-0000C13A0000}" name="Column15036" dataDxfId="1367"/>
    <tableColumn id="15042" xr3:uid="{00000000-0010-0000-0300-0000C23A0000}" name="Column15037" dataDxfId="1366"/>
    <tableColumn id="15043" xr3:uid="{00000000-0010-0000-0300-0000C33A0000}" name="Column15038" dataDxfId="1365"/>
    <tableColumn id="15044" xr3:uid="{00000000-0010-0000-0300-0000C43A0000}" name="Column15039" dataDxfId="1364"/>
    <tableColumn id="15045" xr3:uid="{00000000-0010-0000-0300-0000C53A0000}" name="Column15040" dataDxfId="1363"/>
    <tableColumn id="15046" xr3:uid="{00000000-0010-0000-0300-0000C63A0000}" name="Column15041" dataDxfId="1362"/>
    <tableColumn id="15047" xr3:uid="{00000000-0010-0000-0300-0000C73A0000}" name="Column15042" dataDxfId="1361"/>
    <tableColumn id="15048" xr3:uid="{00000000-0010-0000-0300-0000C83A0000}" name="Column15043" dataDxfId="1360"/>
    <tableColumn id="15049" xr3:uid="{00000000-0010-0000-0300-0000C93A0000}" name="Column15044" dataDxfId="1359"/>
    <tableColumn id="15050" xr3:uid="{00000000-0010-0000-0300-0000CA3A0000}" name="Column15045" dataDxfId="1358"/>
    <tableColumn id="15051" xr3:uid="{00000000-0010-0000-0300-0000CB3A0000}" name="Column15046" dataDxfId="1357"/>
    <tableColumn id="15052" xr3:uid="{00000000-0010-0000-0300-0000CC3A0000}" name="Column15047" dataDxfId="1356"/>
    <tableColumn id="15053" xr3:uid="{00000000-0010-0000-0300-0000CD3A0000}" name="Column15048" dataDxfId="1355"/>
    <tableColumn id="15054" xr3:uid="{00000000-0010-0000-0300-0000CE3A0000}" name="Column15049" dataDxfId="1354"/>
    <tableColumn id="15055" xr3:uid="{00000000-0010-0000-0300-0000CF3A0000}" name="Column15050" dataDxfId="1353"/>
    <tableColumn id="15056" xr3:uid="{00000000-0010-0000-0300-0000D03A0000}" name="Column15051" dataDxfId="1352"/>
    <tableColumn id="15057" xr3:uid="{00000000-0010-0000-0300-0000D13A0000}" name="Column15052" dataDxfId="1351"/>
    <tableColumn id="15058" xr3:uid="{00000000-0010-0000-0300-0000D23A0000}" name="Column15053" dataDxfId="1350"/>
    <tableColumn id="15059" xr3:uid="{00000000-0010-0000-0300-0000D33A0000}" name="Column15054" dataDxfId="1349"/>
    <tableColumn id="15060" xr3:uid="{00000000-0010-0000-0300-0000D43A0000}" name="Column15055" dataDxfId="1348"/>
    <tableColumn id="15061" xr3:uid="{00000000-0010-0000-0300-0000D53A0000}" name="Column15056" dataDxfId="1347"/>
    <tableColumn id="15062" xr3:uid="{00000000-0010-0000-0300-0000D63A0000}" name="Column15057" dataDxfId="1346"/>
    <tableColumn id="15063" xr3:uid="{00000000-0010-0000-0300-0000D73A0000}" name="Column15058" dataDxfId="1345"/>
    <tableColumn id="15064" xr3:uid="{00000000-0010-0000-0300-0000D83A0000}" name="Column15059" dataDxfId="1344"/>
    <tableColumn id="15065" xr3:uid="{00000000-0010-0000-0300-0000D93A0000}" name="Column15060" dataDxfId="1343"/>
    <tableColumn id="15066" xr3:uid="{00000000-0010-0000-0300-0000DA3A0000}" name="Column15061" dataDxfId="1342"/>
    <tableColumn id="15067" xr3:uid="{00000000-0010-0000-0300-0000DB3A0000}" name="Column15062" dataDxfId="1341"/>
    <tableColumn id="15068" xr3:uid="{00000000-0010-0000-0300-0000DC3A0000}" name="Column15063" dataDxfId="1340"/>
    <tableColumn id="15069" xr3:uid="{00000000-0010-0000-0300-0000DD3A0000}" name="Column15064" dataDxfId="1339"/>
    <tableColumn id="15070" xr3:uid="{00000000-0010-0000-0300-0000DE3A0000}" name="Column15065" dataDxfId="1338"/>
    <tableColumn id="15071" xr3:uid="{00000000-0010-0000-0300-0000DF3A0000}" name="Column15066" dataDxfId="1337"/>
    <tableColumn id="15072" xr3:uid="{00000000-0010-0000-0300-0000E03A0000}" name="Column15067" dataDxfId="1336"/>
    <tableColumn id="15073" xr3:uid="{00000000-0010-0000-0300-0000E13A0000}" name="Column15068" dataDxfId="1335"/>
    <tableColumn id="15074" xr3:uid="{00000000-0010-0000-0300-0000E23A0000}" name="Column15069" dataDxfId="1334"/>
    <tableColumn id="15075" xr3:uid="{00000000-0010-0000-0300-0000E33A0000}" name="Column15070" dataDxfId="1333"/>
    <tableColumn id="15076" xr3:uid="{00000000-0010-0000-0300-0000E43A0000}" name="Column15071" dataDxfId="1332"/>
    <tableColumn id="15077" xr3:uid="{00000000-0010-0000-0300-0000E53A0000}" name="Column15072" dataDxfId="1331"/>
    <tableColumn id="15078" xr3:uid="{00000000-0010-0000-0300-0000E63A0000}" name="Column15073" dataDxfId="1330"/>
    <tableColumn id="15079" xr3:uid="{00000000-0010-0000-0300-0000E73A0000}" name="Column15074" dataDxfId="1329"/>
    <tableColumn id="15080" xr3:uid="{00000000-0010-0000-0300-0000E83A0000}" name="Column15075" dataDxfId="1328"/>
    <tableColumn id="15081" xr3:uid="{00000000-0010-0000-0300-0000E93A0000}" name="Column15076" dataDxfId="1327"/>
    <tableColumn id="15082" xr3:uid="{00000000-0010-0000-0300-0000EA3A0000}" name="Column15077" dataDxfId="1326"/>
    <tableColumn id="15083" xr3:uid="{00000000-0010-0000-0300-0000EB3A0000}" name="Column15078" dataDxfId="1325"/>
    <tableColumn id="15084" xr3:uid="{00000000-0010-0000-0300-0000EC3A0000}" name="Column15079" dataDxfId="1324"/>
    <tableColumn id="15085" xr3:uid="{00000000-0010-0000-0300-0000ED3A0000}" name="Column15080" dataDxfId="1323"/>
    <tableColumn id="15086" xr3:uid="{00000000-0010-0000-0300-0000EE3A0000}" name="Column15081" dataDxfId="1322"/>
    <tableColumn id="15087" xr3:uid="{00000000-0010-0000-0300-0000EF3A0000}" name="Column15082" dataDxfId="1321"/>
    <tableColumn id="15088" xr3:uid="{00000000-0010-0000-0300-0000F03A0000}" name="Column15083" dataDxfId="1320"/>
    <tableColumn id="15089" xr3:uid="{00000000-0010-0000-0300-0000F13A0000}" name="Column15084" dataDxfId="1319"/>
    <tableColumn id="15090" xr3:uid="{00000000-0010-0000-0300-0000F23A0000}" name="Column15085" dataDxfId="1318"/>
    <tableColumn id="15091" xr3:uid="{00000000-0010-0000-0300-0000F33A0000}" name="Column15086" dataDxfId="1317"/>
    <tableColumn id="15092" xr3:uid="{00000000-0010-0000-0300-0000F43A0000}" name="Column15087" dataDxfId="1316"/>
    <tableColumn id="15093" xr3:uid="{00000000-0010-0000-0300-0000F53A0000}" name="Column15088" dataDxfId="1315"/>
    <tableColumn id="15094" xr3:uid="{00000000-0010-0000-0300-0000F63A0000}" name="Column15089" dataDxfId="1314"/>
    <tableColumn id="15095" xr3:uid="{00000000-0010-0000-0300-0000F73A0000}" name="Column15090" dataDxfId="1313"/>
    <tableColumn id="15096" xr3:uid="{00000000-0010-0000-0300-0000F83A0000}" name="Column15091" dataDxfId="1312"/>
    <tableColumn id="15097" xr3:uid="{00000000-0010-0000-0300-0000F93A0000}" name="Column15092" dataDxfId="1311"/>
    <tableColumn id="15098" xr3:uid="{00000000-0010-0000-0300-0000FA3A0000}" name="Column15093" dataDxfId="1310"/>
    <tableColumn id="15099" xr3:uid="{00000000-0010-0000-0300-0000FB3A0000}" name="Column15094" dataDxfId="1309"/>
    <tableColumn id="15100" xr3:uid="{00000000-0010-0000-0300-0000FC3A0000}" name="Column15095" dataDxfId="1308"/>
    <tableColumn id="15101" xr3:uid="{00000000-0010-0000-0300-0000FD3A0000}" name="Column15096" dataDxfId="1307"/>
    <tableColumn id="15102" xr3:uid="{00000000-0010-0000-0300-0000FE3A0000}" name="Column15097" dataDxfId="1306"/>
    <tableColumn id="15103" xr3:uid="{00000000-0010-0000-0300-0000FF3A0000}" name="Column15098" dataDxfId="1305"/>
    <tableColumn id="15104" xr3:uid="{00000000-0010-0000-0300-0000003B0000}" name="Column15099" dataDxfId="1304"/>
    <tableColumn id="15105" xr3:uid="{00000000-0010-0000-0300-0000013B0000}" name="Column15100" dataDxfId="1303"/>
    <tableColumn id="15106" xr3:uid="{00000000-0010-0000-0300-0000023B0000}" name="Column15101" dataDxfId="1302"/>
    <tableColumn id="15107" xr3:uid="{00000000-0010-0000-0300-0000033B0000}" name="Column15102" dataDxfId="1301"/>
    <tableColumn id="15108" xr3:uid="{00000000-0010-0000-0300-0000043B0000}" name="Column15103" dataDxfId="1300"/>
    <tableColumn id="15109" xr3:uid="{00000000-0010-0000-0300-0000053B0000}" name="Column15104" dataDxfId="1299"/>
    <tableColumn id="15110" xr3:uid="{00000000-0010-0000-0300-0000063B0000}" name="Column15105" dataDxfId="1298"/>
    <tableColumn id="15111" xr3:uid="{00000000-0010-0000-0300-0000073B0000}" name="Column15106" dataDxfId="1297"/>
    <tableColumn id="15112" xr3:uid="{00000000-0010-0000-0300-0000083B0000}" name="Column15107" dataDxfId="1296"/>
    <tableColumn id="15113" xr3:uid="{00000000-0010-0000-0300-0000093B0000}" name="Column15108" dataDxfId="1295"/>
    <tableColumn id="15114" xr3:uid="{00000000-0010-0000-0300-00000A3B0000}" name="Column15109" dataDxfId="1294"/>
    <tableColumn id="15115" xr3:uid="{00000000-0010-0000-0300-00000B3B0000}" name="Column15110" dataDxfId="1293"/>
    <tableColumn id="15116" xr3:uid="{00000000-0010-0000-0300-00000C3B0000}" name="Column15111" dataDxfId="1292"/>
    <tableColumn id="15117" xr3:uid="{00000000-0010-0000-0300-00000D3B0000}" name="Column15112" dataDxfId="1291"/>
    <tableColumn id="15118" xr3:uid="{00000000-0010-0000-0300-00000E3B0000}" name="Column15113" dataDxfId="1290"/>
    <tableColumn id="15119" xr3:uid="{00000000-0010-0000-0300-00000F3B0000}" name="Column15114" dataDxfId="1289"/>
    <tableColumn id="15120" xr3:uid="{00000000-0010-0000-0300-0000103B0000}" name="Column15115" dataDxfId="1288"/>
    <tableColumn id="15121" xr3:uid="{00000000-0010-0000-0300-0000113B0000}" name="Column15116" dataDxfId="1287"/>
    <tableColumn id="15122" xr3:uid="{00000000-0010-0000-0300-0000123B0000}" name="Column15117" dataDxfId="1286"/>
    <tableColumn id="15123" xr3:uid="{00000000-0010-0000-0300-0000133B0000}" name="Column15118" dataDxfId="1285"/>
    <tableColumn id="15124" xr3:uid="{00000000-0010-0000-0300-0000143B0000}" name="Column15119" dataDxfId="1284"/>
    <tableColumn id="15125" xr3:uid="{00000000-0010-0000-0300-0000153B0000}" name="Column15120" dataDxfId="1283"/>
    <tableColumn id="15126" xr3:uid="{00000000-0010-0000-0300-0000163B0000}" name="Column15121" dataDxfId="1282"/>
    <tableColumn id="15127" xr3:uid="{00000000-0010-0000-0300-0000173B0000}" name="Column15122" dataDxfId="1281"/>
    <tableColumn id="15128" xr3:uid="{00000000-0010-0000-0300-0000183B0000}" name="Column15123" dataDxfId="1280"/>
    <tableColumn id="15129" xr3:uid="{00000000-0010-0000-0300-0000193B0000}" name="Column15124" dataDxfId="1279"/>
    <tableColumn id="15130" xr3:uid="{00000000-0010-0000-0300-00001A3B0000}" name="Column15125" dataDxfId="1278"/>
    <tableColumn id="15131" xr3:uid="{00000000-0010-0000-0300-00001B3B0000}" name="Column15126" dataDxfId="1277"/>
    <tableColumn id="15132" xr3:uid="{00000000-0010-0000-0300-00001C3B0000}" name="Column15127" dataDxfId="1276"/>
    <tableColumn id="15133" xr3:uid="{00000000-0010-0000-0300-00001D3B0000}" name="Column15128" dataDxfId="1275"/>
    <tableColumn id="15134" xr3:uid="{00000000-0010-0000-0300-00001E3B0000}" name="Column15129" dataDxfId="1274"/>
    <tableColumn id="15135" xr3:uid="{00000000-0010-0000-0300-00001F3B0000}" name="Column15130" dataDxfId="1273"/>
    <tableColumn id="15136" xr3:uid="{00000000-0010-0000-0300-0000203B0000}" name="Column15131" dataDxfId="1272"/>
    <tableColumn id="15137" xr3:uid="{00000000-0010-0000-0300-0000213B0000}" name="Column15132" dataDxfId="1271"/>
    <tableColumn id="15138" xr3:uid="{00000000-0010-0000-0300-0000223B0000}" name="Column15133" dataDxfId="1270"/>
    <tableColumn id="15139" xr3:uid="{00000000-0010-0000-0300-0000233B0000}" name="Column15134" dataDxfId="1269"/>
    <tableColumn id="15140" xr3:uid="{00000000-0010-0000-0300-0000243B0000}" name="Column15135" dataDxfId="1268"/>
    <tableColumn id="15141" xr3:uid="{00000000-0010-0000-0300-0000253B0000}" name="Column15136" dataDxfId="1267"/>
    <tableColumn id="15142" xr3:uid="{00000000-0010-0000-0300-0000263B0000}" name="Column15137" dataDxfId="1266"/>
    <tableColumn id="15143" xr3:uid="{00000000-0010-0000-0300-0000273B0000}" name="Column15138" dataDxfId="1265"/>
    <tableColumn id="15144" xr3:uid="{00000000-0010-0000-0300-0000283B0000}" name="Column15139" dataDxfId="1264"/>
    <tableColumn id="15145" xr3:uid="{00000000-0010-0000-0300-0000293B0000}" name="Column15140" dataDxfId="1263"/>
    <tableColumn id="15146" xr3:uid="{00000000-0010-0000-0300-00002A3B0000}" name="Column15141" dataDxfId="1262"/>
    <tableColumn id="15147" xr3:uid="{00000000-0010-0000-0300-00002B3B0000}" name="Column15142" dataDxfId="1261"/>
    <tableColumn id="15148" xr3:uid="{00000000-0010-0000-0300-00002C3B0000}" name="Column15143" dataDxfId="1260"/>
    <tableColumn id="15149" xr3:uid="{00000000-0010-0000-0300-00002D3B0000}" name="Column15144" dataDxfId="1259"/>
    <tableColumn id="15150" xr3:uid="{00000000-0010-0000-0300-00002E3B0000}" name="Column15145" dataDxfId="1258"/>
    <tableColumn id="15151" xr3:uid="{00000000-0010-0000-0300-00002F3B0000}" name="Column15146" dataDxfId="1257"/>
    <tableColumn id="15152" xr3:uid="{00000000-0010-0000-0300-0000303B0000}" name="Column15147" dataDxfId="1256"/>
    <tableColumn id="15153" xr3:uid="{00000000-0010-0000-0300-0000313B0000}" name="Column15148" dataDxfId="1255"/>
    <tableColumn id="15154" xr3:uid="{00000000-0010-0000-0300-0000323B0000}" name="Column15149" dataDxfId="1254"/>
    <tableColumn id="15155" xr3:uid="{00000000-0010-0000-0300-0000333B0000}" name="Column15150" dataDxfId="1253"/>
    <tableColumn id="15156" xr3:uid="{00000000-0010-0000-0300-0000343B0000}" name="Column15151" dataDxfId="1252"/>
    <tableColumn id="15157" xr3:uid="{00000000-0010-0000-0300-0000353B0000}" name="Column15152" dataDxfId="1251"/>
    <tableColumn id="15158" xr3:uid="{00000000-0010-0000-0300-0000363B0000}" name="Column15153" dataDxfId="1250"/>
    <tableColumn id="15159" xr3:uid="{00000000-0010-0000-0300-0000373B0000}" name="Column15154" dataDxfId="1249"/>
    <tableColumn id="15160" xr3:uid="{00000000-0010-0000-0300-0000383B0000}" name="Column15155" dataDxfId="1248"/>
    <tableColumn id="15161" xr3:uid="{00000000-0010-0000-0300-0000393B0000}" name="Column15156" dataDxfId="1247"/>
    <tableColumn id="15162" xr3:uid="{00000000-0010-0000-0300-00003A3B0000}" name="Column15157" dataDxfId="1246"/>
    <tableColumn id="15163" xr3:uid="{00000000-0010-0000-0300-00003B3B0000}" name="Column15158" dataDxfId="1245"/>
    <tableColumn id="15164" xr3:uid="{00000000-0010-0000-0300-00003C3B0000}" name="Column15159" dataDxfId="1244"/>
    <tableColumn id="15165" xr3:uid="{00000000-0010-0000-0300-00003D3B0000}" name="Column15160" dataDxfId="1243"/>
    <tableColumn id="15166" xr3:uid="{00000000-0010-0000-0300-00003E3B0000}" name="Column15161" dataDxfId="1242"/>
    <tableColumn id="15167" xr3:uid="{00000000-0010-0000-0300-00003F3B0000}" name="Column15162" dataDxfId="1241"/>
    <tableColumn id="15168" xr3:uid="{00000000-0010-0000-0300-0000403B0000}" name="Column15163" dataDxfId="1240"/>
    <tableColumn id="15169" xr3:uid="{00000000-0010-0000-0300-0000413B0000}" name="Column15164" dataDxfId="1239"/>
    <tableColumn id="15170" xr3:uid="{00000000-0010-0000-0300-0000423B0000}" name="Column15165" dataDxfId="1238"/>
    <tableColumn id="15171" xr3:uid="{00000000-0010-0000-0300-0000433B0000}" name="Column15166" dataDxfId="1237"/>
    <tableColumn id="15172" xr3:uid="{00000000-0010-0000-0300-0000443B0000}" name="Column15167" dataDxfId="1236"/>
    <tableColumn id="15173" xr3:uid="{00000000-0010-0000-0300-0000453B0000}" name="Column15168" dataDxfId="1235"/>
    <tableColumn id="15174" xr3:uid="{00000000-0010-0000-0300-0000463B0000}" name="Column15169" dataDxfId="1234"/>
    <tableColumn id="15175" xr3:uid="{00000000-0010-0000-0300-0000473B0000}" name="Column15170" dataDxfId="1233"/>
    <tableColumn id="15176" xr3:uid="{00000000-0010-0000-0300-0000483B0000}" name="Column15171" dataDxfId="1232"/>
    <tableColumn id="15177" xr3:uid="{00000000-0010-0000-0300-0000493B0000}" name="Column15172" dataDxfId="1231"/>
    <tableColumn id="15178" xr3:uid="{00000000-0010-0000-0300-00004A3B0000}" name="Column15173" dataDxfId="1230"/>
    <tableColumn id="15179" xr3:uid="{00000000-0010-0000-0300-00004B3B0000}" name="Column15174" dataDxfId="1229"/>
    <tableColumn id="15180" xr3:uid="{00000000-0010-0000-0300-00004C3B0000}" name="Column15175" dataDxfId="1228"/>
    <tableColumn id="15181" xr3:uid="{00000000-0010-0000-0300-00004D3B0000}" name="Column15176" dataDxfId="1227"/>
    <tableColumn id="15182" xr3:uid="{00000000-0010-0000-0300-00004E3B0000}" name="Column15177" dataDxfId="1226"/>
    <tableColumn id="15183" xr3:uid="{00000000-0010-0000-0300-00004F3B0000}" name="Column15178" dataDxfId="1225"/>
    <tableColumn id="15184" xr3:uid="{00000000-0010-0000-0300-0000503B0000}" name="Column15179" dataDxfId="1224"/>
    <tableColumn id="15185" xr3:uid="{00000000-0010-0000-0300-0000513B0000}" name="Column15180" dataDxfId="1223"/>
    <tableColumn id="15186" xr3:uid="{00000000-0010-0000-0300-0000523B0000}" name="Column15181" dataDxfId="1222"/>
    <tableColumn id="15187" xr3:uid="{00000000-0010-0000-0300-0000533B0000}" name="Column15182" dataDxfId="1221"/>
    <tableColumn id="15188" xr3:uid="{00000000-0010-0000-0300-0000543B0000}" name="Column15183" dataDxfId="1220"/>
    <tableColumn id="15189" xr3:uid="{00000000-0010-0000-0300-0000553B0000}" name="Column15184" dataDxfId="1219"/>
    <tableColumn id="15190" xr3:uid="{00000000-0010-0000-0300-0000563B0000}" name="Column15185" dataDxfId="1218"/>
    <tableColumn id="15191" xr3:uid="{00000000-0010-0000-0300-0000573B0000}" name="Column15186" dataDxfId="1217"/>
    <tableColumn id="15192" xr3:uid="{00000000-0010-0000-0300-0000583B0000}" name="Column15187" dataDxfId="1216"/>
    <tableColumn id="15193" xr3:uid="{00000000-0010-0000-0300-0000593B0000}" name="Column15188" dataDxfId="1215"/>
    <tableColumn id="15194" xr3:uid="{00000000-0010-0000-0300-00005A3B0000}" name="Column15189" dataDxfId="1214"/>
    <tableColumn id="15195" xr3:uid="{00000000-0010-0000-0300-00005B3B0000}" name="Column15190" dataDxfId="1213"/>
    <tableColumn id="15196" xr3:uid="{00000000-0010-0000-0300-00005C3B0000}" name="Column15191" dataDxfId="1212"/>
    <tableColumn id="15197" xr3:uid="{00000000-0010-0000-0300-00005D3B0000}" name="Column15192" dataDxfId="1211"/>
    <tableColumn id="15198" xr3:uid="{00000000-0010-0000-0300-00005E3B0000}" name="Column15193" dataDxfId="1210"/>
    <tableColumn id="15199" xr3:uid="{00000000-0010-0000-0300-00005F3B0000}" name="Column15194" dataDxfId="1209"/>
    <tableColumn id="15200" xr3:uid="{00000000-0010-0000-0300-0000603B0000}" name="Column15195" dataDxfId="1208"/>
    <tableColumn id="15201" xr3:uid="{00000000-0010-0000-0300-0000613B0000}" name="Column15196" dataDxfId="1207"/>
    <tableColumn id="15202" xr3:uid="{00000000-0010-0000-0300-0000623B0000}" name="Column15197" dataDxfId="1206"/>
    <tableColumn id="15203" xr3:uid="{00000000-0010-0000-0300-0000633B0000}" name="Column15198" dataDxfId="1205"/>
    <tableColumn id="15204" xr3:uid="{00000000-0010-0000-0300-0000643B0000}" name="Column15199" dataDxfId="1204"/>
    <tableColumn id="15205" xr3:uid="{00000000-0010-0000-0300-0000653B0000}" name="Column15200" dataDxfId="1203"/>
    <tableColumn id="15206" xr3:uid="{00000000-0010-0000-0300-0000663B0000}" name="Column15201" dataDxfId="1202"/>
    <tableColumn id="15207" xr3:uid="{00000000-0010-0000-0300-0000673B0000}" name="Column15202" dataDxfId="1201"/>
    <tableColumn id="15208" xr3:uid="{00000000-0010-0000-0300-0000683B0000}" name="Column15203" dataDxfId="1200"/>
    <tableColumn id="15209" xr3:uid="{00000000-0010-0000-0300-0000693B0000}" name="Column15204" dataDxfId="1199"/>
    <tableColumn id="15210" xr3:uid="{00000000-0010-0000-0300-00006A3B0000}" name="Column15205" dataDxfId="1198"/>
    <tableColumn id="15211" xr3:uid="{00000000-0010-0000-0300-00006B3B0000}" name="Column15206" dataDxfId="1197"/>
    <tableColumn id="15212" xr3:uid="{00000000-0010-0000-0300-00006C3B0000}" name="Column15207" dataDxfId="1196"/>
    <tableColumn id="15213" xr3:uid="{00000000-0010-0000-0300-00006D3B0000}" name="Column15208" dataDxfId="1195"/>
    <tableColumn id="15214" xr3:uid="{00000000-0010-0000-0300-00006E3B0000}" name="Column15209" dataDxfId="1194"/>
    <tableColumn id="15215" xr3:uid="{00000000-0010-0000-0300-00006F3B0000}" name="Column15210" dataDxfId="1193"/>
    <tableColumn id="15216" xr3:uid="{00000000-0010-0000-0300-0000703B0000}" name="Column15211" dataDxfId="1192"/>
    <tableColumn id="15217" xr3:uid="{00000000-0010-0000-0300-0000713B0000}" name="Column15212" dataDxfId="1191"/>
    <tableColumn id="15218" xr3:uid="{00000000-0010-0000-0300-0000723B0000}" name="Column15213" dataDxfId="1190"/>
    <tableColumn id="15219" xr3:uid="{00000000-0010-0000-0300-0000733B0000}" name="Column15214" dataDxfId="1189"/>
    <tableColumn id="15220" xr3:uid="{00000000-0010-0000-0300-0000743B0000}" name="Column15215" dataDxfId="1188"/>
    <tableColumn id="15221" xr3:uid="{00000000-0010-0000-0300-0000753B0000}" name="Column15216" dataDxfId="1187"/>
    <tableColumn id="15222" xr3:uid="{00000000-0010-0000-0300-0000763B0000}" name="Column15217" dataDxfId="1186"/>
    <tableColumn id="15223" xr3:uid="{00000000-0010-0000-0300-0000773B0000}" name="Column15218" dataDxfId="1185"/>
    <tableColumn id="15224" xr3:uid="{00000000-0010-0000-0300-0000783B0000}" name="Column15219" dataDxfId="1184"/>
    <tableColumn id="15225" xr3:uid="{00000000-0010-0000-0300-0000793B0000}" name="Column15220" dataDxfId="1183"/>
    <tableColumn id="15226" xr3:uid="{00000000-0010-0000-0300-00007A3B0000}" name="Column15221" dataDxfId="1182"/>
    <tableColumn id="15227" xr3:uid="{00000000-0010-0000-0300-00007B3B0000}" name="Column15222" dataDxfId="1181"/>
    <tableColumn id="15228" xr3:uid="{00000000-0010-0000-0300-00007C3B0000}" name="Column15223" dataDxfId="1180"/>
    <tableColumn id="15229" xr3:uid="{00000000-0010-0000-0300-00007D3B0000}" name="Column15224" dataDxfId="1179"/>
    <tableColumn id="15230" xr3:uid="{00000000-0010-0000-0300-00007E3B0000}" name="Column15225" dataDxfId="1178"/>
    <tableColumn id="15231" xr3:uid="{00000000-0010-0000-0300-00007F3B0000}" name="Column15226" dataDxfId="1177"/>
    <tableColumn id="15232" xr3:uid="{00000000-0010-0000-0300-0000803B0000}" name="Column15227" dataDxfId="1176"/>
    <tableColumn id="15233" xr3:uid="{00000000-0010-0000-0300-0000813B0000}" name="Column15228" dataDxfId="1175"/>
    <tableColumn id="15234" xr3:uid="{00000000-0010-0000-0300-0000823B0000}" name="Column15229" dataDxfId="1174"/>
    <tableColumn id="15235" xr3:uid="{00000000-0010-0000-0300-0000833B0000}" name="Column15230" dataDxfId="1173"/>
    <tableColumn id="15236" xr3:uid="{00000000-0010-0000-0300-0000843B0000}" name="Column15231" dataDxfId="1172"/>
    <tableColumn id="15237" xr3:uid="{00000000-0010-0000-0300-0000853B0000}" name="Column15232" dataDxfId="1171"/>
    <tableColumn id="15238" xr3:uid="{00000000-0010-0000-0300-0000863B0000}" name="Column15233" dataDxfId="1170"/>
    <tableColumn id="15239" xr3:uid="{00000000-0010-0000-0300-0000873B0000}" name="Column15234" dataDxfId="1169"/>
    <tableColumn id="15240" xr3:uid="{00000000-0010-0000-0300-0000883B0000}" name="Column15235" dataDxfId="1168"/>
    <tableColumn id="15241" xr3:uid="{00000000-0010-0000-0300-0000893B0000}" name="Column15236" dataDxfId="1167"/>
    <tableColumn id="15242" xr3:uid="{00000000-0010-0000-0300-00008A3B0000}" name="Column15237" dataDxfId="1166"/>
    <tableColumn id="15243" xr3:uid="{00000000-0010-0000-0300-00008B3B0000}" name="Column15238" dataDxfId="1165"/>
    <tableColumn id="15244" xr3:uid="{00000000-0010-0000-0300-00008C3B0000}" name="Column15239" dataDxfId="1164"/>
    <tableColumn id="15245" xr3:uid="{00000000-0010-0000-0300-00008D3B0000}" name="Column15240" dataDxfId="1163"/>
    <tableColumn id="15246" xr3:uid="{00000000-0010-0000-0300-00008E3B0000}" name="Column15241" dataDxfId="1162"/>
    <tableColumn id="15247" xr3:uid="{00000000-0010-0000-0300-00008F3B0000}" name="Column15242" dataDxfId="1161"/>
    <tableColumn id="15248" xr3:uid="{00000000-0010-0000-0300-0000903B0000}" name="Column15243" dataDxfId="1160"/>
    <tableColumn id="15249" xr3:uid="{00000000-0010-0000-0300-0000913B0000}" name="Column15244" dataDxfId="1159"/>
    <tableColumn id="15250" xr3:uid="{00000000-0010-0000-0300-0000923B0000}" name="Column15245" dataDxfId="1158"/>
    <tableColumn id="15251" xr3:uid="{00000000-0010-0000-0300-0000933B0000}" name="Column15246" dataDxfId="1157"/>
    <tableColumn id="15252" xr3:uid="{00000000-0010-0000-0300-0000943B0000}" name="Column15247" dataDxfId="1156"/>
    <tableColumn id="15253" xr3:uid="{00000000-0010-0000-0300-0000953B0000}" name="Column15248" dataDxfId="1155"/>
    <tableColumn id="15254" xr3:uid="{00000000-0010-0000-0300-0000963B0000}" name="Column15249" dataDxfId="1154"/>
    <tableColumn id="15255" xr3:uid="{00000000-0010-0000-0300-0000973B0000}" name="Column15250" dataDxfId="1153"/>
    <tableColumn id="15256" xr3:uid="{00000000-0010-0000-0300-0000983B0000}" name="Column15251" dataDxfId="1152"/>
    <tableColumn id="15257" xr3:uid="{00000000-0010-0000-0300-0000993B0000}" name="Column15252" dataDxfId="1151"/>
    <tableColumn id="15258" xr3:uid="{00000000-0010-0000-0300-00009A3B0000}" name="Column15253" dataDxfId="1150"/>
    <tableColumn id="15259" xr3:uid="{00000000-0010-0000-0300-00009B3B0000}" name="Column15254" dataDxfId="1149"/>
    <tableColumn id="15260" xr3:uid="{00000000-0010-0000-0300-00009C3B0000}" name="Column15255" dataDxfId="1148"/>
    <tableColumn id="15261" xr3:uid="{00000000-0010-0000-0300-00009D3B0000}" name="Column15256" dataDxfId="1147"/>
    <tableColumn id="15262" xr3:uid="{00000000-0010-0000-0300-00009E3B0000}" name="Column15257" dataDxfId="1146"/>
    <tableColumn id="15263" xr3:uid="{00000000-0010-0000-0300-00009F3B0000}" name="Column15258" dataDxfId="1145"/>
    <tableColumn id="15264" xr3:uid="{00000000-0010-0000-0300-0000A03B0000}" name="Column15259" dataDxfId="1144"/>
    <tableColumn id="15265" xr3:uid="{00000000-0010-0000-0300-0000A13B0000}" name="Column15260" dataDxfId="1143"/>
    <tableColumn id="15266" xr3:uid="{00000000-0010-0000-0300-0000A23B0000}" name="Column15261" dataDxfId="1142"/>
    <tableColumn id="15267" xr3:uid="{00000000-0010-0000-0300-0000A33B0000}" name="Column15262" dataDxfId="1141"/>
    <tableColumn id="15268" xr3:uid="{00000000-0010-0000-0300-0000A43B0000}" name="Column15263" dataDxfId="1140"/>
    <tableColumn id="15269" xr3:uid="{00000000-0010-0000-0300-0000A53B0000}" name="Column15264" dataDxfId="1139"/>
    <tableColumn id="15270" xr3:uid="{00000000-0010-0000-0300-0000A63B0000}" name="Column15265" dataDxfId="1138"/>
    <tableColumn id="15271" xr3:uid="{00000000-0010-0000-0300-0000A73B0000}" name="Column15266" dataDxfId="1137"/>
    <tableColumn id="15272" xr3:uid="{00000000-0010-0000-0300-0000A83B0000}" name="Column15267" dataDxfId="1136"/>
    <tableColumn id="15273" xr3:uid="{00000000-0010-0000-0300-0000A93B0000}" name="Column15268" dataDxfId="1135"/>
    <tableColumn id="15274" xr3:uid="{00000000-0010-0000-0300-0000AA3B0000}" name="Column15269" dataDxfId="1134"/>
    <tableColumn id="15275" xr3:uid="{00000000-0010-0000-0300-0000AB3B0000}" name="Column15270" dataDxfId="1133"/>
    <tableColumn id="15276" xr3:uid="{00000000-0010-0000-0300-0000AC3B0000}" name="Column15271" dataDxfId="1132"/>
    <tableColumn id="15277" xr3:uid="{00000000-0010-0000-0300-0000AD3B0000}" name="Column15272" dataDxfId="1131"/>
    <tableColumn id="15278" xr3:uid="{00000000-0010-0000-0300-0000AE3B0000}" name="Column15273" dataDxfId="1130"/>
    <tableColumn id="15279" xr3:uid="{00000000-0010-0000-0300-0000AF3B0000}" name="Column15274" dataDxfId="1129"/>
    <tableColumn id="15280" xr3:uid="{00000000-0010-0000-0300-0000B03B0000}" name="Column15275" dataDxfId="1128"/>
    <tableColumn id="15281" xr3:uid="{00000000-0010-0000-0300-0000B13B0000}" name="Column15276" dataDxfId="1127"/>
    <tableColumn id="15282" xr3:uid="{00000000-0010-0000-0300-0000B23B0000}" name="Column15277" dataDxfId="1126"/>
    <tableColumn id="15283" xr3:uid="{00000000-0010-0000-0300-0000B33B0000}" name="Column15278" dataDxfId="1125"/>
    <tableColumn id="15284" xr3:uid="{00000000-0010-0000-0300-0000B43B0000}" name="Column15279" dataDxfId="1124"/>
    <tableColumn id="15285" xr3:uid="{00000000-0010-0000-0300-0000B53B0000}" name="Column15280" dataDxfId="1123"/>
    <tableColumn id="15286" xr3:uid="{00000000-0010-0000-0300-0000B63B0000}" name="Column15281" dataDxfId="1122"/>
    <tableColumn id="15287" xr3:uid="{00000000-0010-0000-0300-0000B73B0000}" name="Column15282" dataDxfId="1121"/>
    <tableColumn id="15288" xr3:uid="{00000000-0010-0000-0300-0000B83B0000}" name="Column15283" dataDxfId="1120"/>
    <tableColumn id="15289" xr3:uid="{00000000-0010-0000-0300-0000B93B0000}" name="Column15284" dataDxfId="1119"/>
    <tableColumn id="15290" xr3:uid="{00000000-0010-0000-0300-0000BA3B0000}" name="Column15285" dataDxfId="1118"/>
    <tableColumn id="15291" xr3:uid="{00000000-0010-0000-0300-0000BB3B0000}" name="Column15286" dataDxfId="1117"/>
    <tableColumn id="15292" xr3:uid="{00000000-0010-0000-0300-0000BC3B0000}" name="Column15287" dataDxfId="1116"/>
    <tableColumn id="15293" xr3:uid="{00000000-0010-0000-0300-0000BD3B0000}" name="Column15288" dataDxfId="1115"/>
    <tableColumn id="15294" xr3:uid="{00000000-0010-0000-0300-0000BE3B0000}" name="Column15289" dataDxfId="1114"/>
    <tableColumn id="15295" xr3:uid="{00000000-0010-0000-0300-0000BF3B0000}" name="Column15290" dataDxfId="1113"/>
    <tableColumn id="15296" xr3:uid="{00000000-0010-0000-0300-0000C03B0000}" name="Column15291" dataDxfId="1112"/>
    <tableColumn id="15297" xr3:uid="{00000000-0010-0000-0300-0000C13B0000}" name="Column15292" dataDxfId="1111"/>
    <tableColumn id="15298" xr3:uid="{00000000-0010-0000-0300-0000C23B0000}" name="Column15293" dataDxfId="1110"/>
    <tableColumn id="15299" xr3:uid="{00000000-0010-0000-0300-0000C33B0000}" name="Column15294" dataDxfId="1109"/>
    <tableColumn id="15300" xr3:uid="{00000000-0010-0000-0300-0000C43B0000}" name="Column15295" dataDxfId="1108"/>
    <tableColumn id="15301" xr3:uid="{00000000-0010-0000-0300-0000C53B0000}" name="Column15296" dataDxfId="1107"/>
    <tableColumn id="15302" xr3:uid="{00000000-0010-0000-0300-0000C63B0000}" name="Column15297" dataDxfId="1106"/>
    <tableColumn id="15303" xr3:uid="{00000000-0010-0000-0300-0000C73B0000}" name="Column15298" dataDxfId="1105"/>
    <tableColumn id="15304" xr3:uid="{00000000-0010-0000-0300-0000C83B0000}" name="Column15299" dataDxfId="1104"/>
    <tableColumn id="15305" xr3:uid="{00000000-0010-0000-0300-0000C93B0000}" name="Column15300" dataDxfId="1103"/>
    <tableColumn id="15306" xr3:uid="{00000000-0010-0000-0300-0000CA3B0000}" name="Column15301" dataDxfId="1102"/>
    <tableColumn id="15307" xr3:uid="{00000000-0010-0000-0300-0000CB3B0000}" name="Column15302" dataDxfId="1101"/>
    <tableColumn id="15308" xr3:uid="{00000000-0010-0000-0300-0000CC3B0000}" name="Column15303" dataDxfId="1100"/>
    <tableColumn id="15309" xr3:uid="{00000000-0010-0000-0300-0000CD3B0000}" name="Column15304" dataDxfId="1099"/>
    <tableColumn id="15310" xr3:uid="{00000000-0010-0000-0300-0000CE3B0000}" name="Column15305" dataDxfId="1098"/>
    <tableColumn id="15311" xr3:uid="{00000000-0010-0000-0300-0000CF3B0000}" name="Column15306" dataDxfId="1097"/>
    <tableColumn id="15312" xr3:uid="{00000000-0010-0000-0300-0000D03B0000}" name="Column15307" dataDxfId="1096"/>
    <tableColumn id="15313" xr3:uid="{00000000-0010-0000-0300-0000D13B0000}" name="Column15308" dataDxfId="1095"/>
    <tableColumn id="15314" xr3:uid="{00000000-0010-0000-0300-0000D23B0000}" name="Column15309" dataDxfId="1094"/>
    <tableColumn id="15315" xr3:uid="{00000000-0010-0000-0300-0000D33B0000}" name="Column15310" dataDxfId="1093"/>
    <tableColumn id="15316" xr3:uid="{00000000-0010-0000-0300-0000D43B0000}" name="Column15311" dataDxfId="1092"/>
    <tableColumn id="15317" xr3:uid="{00000000-0010-0000-0300-0000D53B0000}" name="Column15312" dataDxfId="1091"/>
    <tableColumn id="15318" xr3:uid="{00000000-0010-0000-0300-0000D63B0000}" name="Column15313" dataDxfId="1090"/>
    <tableColumn id="15319" xr3:uid="{00000000-0010-0000-0300-0000D73B0000}" name="Column15314" dataDxfId="1089"/>
    <tableColumn id="15320" xr3:uid="{00000000-0010-0000-0300-0000D83B0000}" name="Column15315" dataDxfId="1088"/>
    <tableColumn id="15321" xr3:uid="{00000000-0010-0000-0300-0000D93B0000}" name="Column15316" dataDxfId="1087"/>
    <tableColumn id="15322" xr3:uid="{00000000-0010-0000-0300-0000DA3B0000}" name="Column15317" dataDxfId="1086"/>
    <tableColumn id="15323" xr3:uid="{00000000-0010-0000-0300-0000DB3B0000}" name="Column15318" dataDxfId="1085"/>
    <tableColumn id="15324" xr3:uid="{00000000-0010-0000-0300-0000DC3B0000}" name="Column15319" dataDxfId="1084"/>
    <tableColumn id="15325" xr3:uid="{00000000-0010-0000-0300-0000DD3B0000}" name="Column15320" dataDxfId="1083"/>
    <tableColumn id="15326" xr3:uid="{00000000-0010-0000-0300-0000DE3B0000}" name="Column15321" dataDxfId="1082"/>
    <tableColumn id="15327" xr3:uid="{00000000-0010-0000-0300-0000DF3B0000}" name="Column15322" dataDxfId="1081"/>
    <tableColumn id="15328" xr3:uid="{00000000-0010-0000-0300-0000E03B0000}" name="Column15323" dataDxfId="1080"/>
    <tableColumn id="15329" xr3:uid="{00000000-0010-0000-0300-0000E13B0000}" name="Column15324" dataDxfId="1079"/>
    <tableColumn id="15330" xr3:uid="{00000000-0010-0000-0300-0000E23B0000}" name="Column15325" dataDxfId="1078"/>
    <tableColumn id="15331" xr3:uid="{00000000-0010-0000-0300-0000E33B0000}" name="Column15326" dataDxfId="1077"/>
    <tableColumn id="15332" xr3:uid="{00000000-0010-0000-0300-0000E43B0000}" name="Column15327" dataDxfId="1076"/>
    <tableColumn id="15333" xr3:uid="{00000000-0010-0000-0300-0000E53B0000}" name="Column15328" dataDxfId="1075"/>
    <tableColumn id="15334" xr3:uid="{00000000-0010-0000-0300-0000E63B0000}" name="Column15329" dataDxfId="1074"/>
    <tableColumn id="15335" xr3:uid="{00000000-0010-0000-0300-0000E73B0000}" name="Column15330" dataDxfId="1073"/>
    <tableColumn id="15336" xr3:uid="{00000000-0010-0000-0300-0000E83B0000}" name="Column15331" dataDxfId="1072"/>
    <tableColumn id="15337" xr3:uid="{00000000-0010-0000-0300-0000E93B0000}" name="Column15332" dataDxfId="1071"/>
    <tableColumn id="15338" xr3:uid="{00000000-0010-0000-0300-0000EA3B0000}" name="Column15333" dataDxfId="1070"/>
    <tableColumn id="15339" xr3:uid="{00000000-0010-0000-0300-0000EB3B0000}" name="Column15334" dataDxfId="1069"/>
    <tableColumn id="15340" xr3:uid="{00000000-0010-0000-0300-0000EC3B0000}" name="Column15335" dataDxfId="1068"/>
    <tableColumn id="15341" xr3:uid="{00000000-0010-0000-0300-0000ED3B0000}" name="Column15336" dataDxfId="1067"/>
    <tableColumn id="15342" xr3:uid="{00000000-0010-0000-0300-0000EE3B0000}" name="Column15337" dataDxfId="1066"/>
    <tableColumn id="15343" xr3:uid="{00000000-0010-0000-0300-0000EF3B0000}" name="Column15338" dataDxfId="1065"/>
    <tableColumn id="15344" xr3:uid="{00000000-0010-0000-0300-0000F03B0000}" name="Column15339" dataDxfId="1064"/>
    <tableColumn id="15345" xr3:uid="{00000000-0010-0000-0300-0000F13B0000}" name="Column15340" dataDxfId="1063"/>
    <tableColumn id="15346" xr3:uid="{00000000-0010-0000-0300-0000F23B0000}" name="Column15341" dataDxfId="1062"/>
    <tableColumn id="15347" xr3:uid="{00000000-0010-0000-0300-0000F33B0000}" name="Column15342" dataDxfId="1061"/>
    <tableColumn id="15348" xr3:uid="{00000000-0010-0000-0300-0000F43B0000}" name="Column15343" dataDxfId="1060"/>
    <tableColumn id="15349" xr3:uid="{00000000-0010-0000-0300-0000F53B0000}" name="Column15344" dataDxfId="1059"/>
    <tableColumn id="15350" xr3:uid="{00000000-0010-0000-0300-0000F63B0000}" name="Column15345" dataDxfId="1058"/>
    <tableColumn id="15351" xr3:uid="{00000000-0010-0000-0300-0000F73B0000}" name="Column15346" dataDxfId="1057"/>
    <tableColumn id="15352" xr3:uid="{00000000-0010-0000-0300-0000F83B0000}" name="Column15347" dataDxfId="1056"/>
    <tableColumn id="15353" xr3:uid="{00000000-0010-0000-0300-0000F93B0000}" name="Column15348" dataDxfId="1055"/>
    <tableColumn id="15354" xr3:uid="{00000000-0010-0000-0300-0000FA3B0000}" name="Column15349" dataDxfId="1054"/>
    <tableColumn id="15355" xr3:uid="{00000000-0010-0000-0300-0000FB3B0000}" name="Column15350" dataDxfId="1053"/>
    <tableColumn id="15356" xr3:uid="{00000000-0010-0000-0300-0000FC3B0000}" name="Column15351" dataDxfId="1052"/>
    <tableColumn id="15357" xr3:uid="{00000000-0010-0000-0300-0000FD3B0000}" name="Column15352" dataDxfId="1051"/>
    <tableColumn id="15358" xr3:uid="{00000000-0010-0000-0300-0000FE3B0000}" name="Column15353" dataDxfId="1050"/>
    <tableColumn id="15359" xr3:uid="{00000000-0010-0000-0300-0000FF3B0000}" name="Column15354" dataDxfId="1049"/>
    <tableColumn id="15360" xr3:uid="{00000000-0010-0000-0300-0000003C0000}" name="Column15355" dataDxfId="1048"/>
    <tableColumn id="15361" xr3:uid="{00000000-0010-0000-0300-0000013C0000}" name="Column15356" dataDxfId="1047"/>
    <tableColumn id="15362" xr3:uid="{00000000-0010-0000-0300-0000023C0000}" name="Column15357" dataDxfId="1046"/>
    <tableColumn id="15363" xr3:uid="{00000000-0010-0000-0300-0000033C0000}" name="Column15358" dataDxfId="1045"/>
    <tableColumn id="15364" xr3:uid="{00000000-0010-0000-0300-0000043C0000}" name="Column15359" dataDxfId="1044"/>
    <tableColumn id="15365" xr3:uid="{00000000-0010-0000-0300-0000053C0000}" name="Column15360" dataDxfId="1043"/>
    <tableColumn id="15366" xr3:uid="{00000000-0010-0000-0300-0000063C0000}" name="Column15361" dataDxfId="1042"/>
    <tableColumn id="15367" xr3:uid="{00000000-0010-0000-0300-0000073C0000}" name="Column15362" dataDxfId="1041"/>
    <tableColumn id="15368" xr3:uid="{00000000-0010-0000-0300-0000083C0000}" name="Column15363" dataDxfId="1040"/>
    <tableColumn id="15369" xr3:uid="{00000000-0010-0000-0300-0000093C0000}" name="Column15364" dataDxfId="1039"/>
    <tableColumn id="15370" xr3:uid="{00000000-0010-0000-0300-00000A3C0000}" name="Column15365" dataDxfId="1038"/>
    <tableColumn id="15371" xr3:uid="{00000000-0010-0000-0300-00000B3C0000}" name="Column15366" dataDxfId="1037"/>
    <tableColumn id="15372" xr3:uid="{00000000-0010-0000-0300-00000C3C0000}" name="Column15367" dataDxfId="1036"/>
    <tableColumn id="15373" xr3:uid="{00000000-0010-0000-0300-00000D3C0000}" name="Column15368" dataDxfId="1035"/>
    <tableColumn id="15374" xr3:uid="{00000000-0010-0000-0300-00000E3C0000}" name="Column15369" dataDxfId="1034"/>
    <tableColumn id="15375" xr3:uid="{00000000-0010-0000-0300-00000F3C0000}" name="Column15370" dataDxfId="1033"/>
    <tableColumn id="15376" xr3:uid="{00000000-0010-0000-0300-0000103C0000}" name="Column15371" dataDxfId="1032"/>
    <tableColumn id="15377" xr3:uid="{00000000-0010-0000-0300-0000113C0000}" name="Column15372" dataDxfId="1031"/>
    <tableColumn id="15378" xr3:uid="{00000000-0010-0000-0300-0000123C0000}" name="Column15373" dataDxfId="1030"/>
    <tableColumn id="15379" xr3:uid="{00000000-0010-0000-0300-0000133C0000}" name="Column15374" dataDxfId="1029"/>
    <tableColumn id="15380" xr3:uid="{00000000-0010-0000-0300-0000143C0000}" name="Column15375" dataDxfId="1028"/>
    <tableColumn id="15381" xr3:uid="{00000000-0010-0000-0300-0000153C0000}" name="Column15376" dataDxfId="1027"/>
    <tableColumn id="15382" xr3:uid="{00000000-0010-0000-0300-0000163C0000}" name="Column15377" dataDxfId="1026"/>
    <tableColumn id="15383" xr3:uid="{00000000-0010-0000-0300-0000173C0000}" name="Column15378" dataDxfId="1025"/>
    <tableColumn id="15384" xr3:uid="{00000000-0010-0000-0300-0000183C0000}" name="Column15379" dataDxfId="1024"/>
    <tableColumn id="15385" xr3:uid="{00000000-0010-0000-0300-0000193C0000}" name="Column15380" dataDxfId="1023"/>
    <tableColumn id="15386" xr3:uid="{00000000-0010-0000-0300-00001A3C0000}" name="Column15381" dataDxfId="1022"/>
    <tableColumn id="15387" xr3:uid="{00000000-0010-0000-0300-00001B3C0000}" name="Column15382" dataDxfId="1021"/>
    <tableColumn id="15388" xr3:uid="{00000000-0010-0000-0300-00001C3C0000}" name="Column15383" dataDxfId="1020"/>
    <tableColumn id="15389" xr3:uid="{00000000-0010-0000-0300-00001D3C0000}" name="Column15384" dataDxfId="1019"/>
    <tableColumn id="15390" xr3:uid="{00000000-0010-0000-0300-00001E3C0000}" name="Column15385" dataDxfId="1018"/>
    <tableColumn id="15391" xr3:uid="{00000000-0010-0000-0300-00001F3C0000}" name="Column15386" dataDxfId="1017"/>
    <tableColumn id="15392" xr3:uid="{00000000-0010-0000-0300-0000203C0000}" name="Column15387" dataDxfId="1016"/>
    <tableColumn id="15393" xr3:uid="{00000000-0010-0000-0300-0000213C0000}" name="Column15388" dataDxfId="1015"/>
    <tableColumn id="15394" xr3:uid="{00000000-0010-0000-0300-0000223C0000}" name="Column15389" dataDxfId="1014"/>
    <tableColumn id="15395" xr3:uid="{00000000-0010-0000-0300-0000233C0000}" name="Column15390" dataDxfId="1013"/>
    <tableColumn id="15396" xr3:uid="{00000000-0010-0000-0300-0000243C0000}" name="Column15391" dataDxfId="1012"/>
    <tableColumn id="15397" xr3:uid="{00000000-0010-0000-0300-0000253C0000}" name="Column15392" dataDxfId="1011"/>
    <tableColumn id="15398" xr3:uid="{00000000-0010-0000-0300-0000263C0000}" name="Column15393" dataDxfId="1010"/>
    <tableColumn id="15399" xr3:uid="{00000000-0010-0000-0300-0000273C0000}" name="Column15394" dataDxfId="1009"/>
    <tableColumn id="15400" xr3:uid="{00000000-0010-0000-0300-0000283C0000}" name="Column15395" dataDxfId="1008"/>
    <tableColumn id="15401" xr3:uid="{00000000-0010-0000-0300-0000293C0000}" name="Column15396" dataDxfId="1007"/>
    <tableColumn id="15402" xr3:uid="{00000000-0010-0000-0300-00002A3C0000}" name="Column15397" dataDxfId="1006"/>
    <tableColumn id="15403" xr3:uid="{00000000-0010-0000-0300-00002B3C0000}" name="Column15398" dataDxfId="1005"/>
    <tableColumn id="15404" xr3:uid="{00000000-0010-0000-0300-00002C3C0000}" name="Column15399" dataDxfId="1004"/>
    <tableColumn id="15405" xr3:uid="{00000000-0010-0000-0300-00002D3C0000}" name="Column15400" dataDxfId="1003"/>
    <tableColumn id="15406" xr3:uid="{00000000-0010-0000-0300-00002E3C0000}" name="Column15401" dataDxfId="1002"/>
    <tableColumn id="15407" xr3:uid="{00000000-0010-0000-0300-00002F3C0000}" name="Column15402" dataDxfId="1001"/>
    <tableColumn id="15408" xr3:uid="{00000000-0010-0000-0300-0000303C0000}" name="Column15403" dataDxfId="1000"/>
    <tableColumn id="15409" xr3:uid="{00000000-0010-0000-0300-0000313C0000}" name="Column15404" dataDxfId="999"/>
    <tableColumn id="15410" xr3:uid="{00000000-0010-0000-0300-0000323C0000}" name="Column15405" dataDxfId="998"/>
    <tableColumn id="15411" xr3:uid="{00000000-0010-0000-0300-0000333C0000}" name="Column15406" dataDxfId="997"/>
    <tableColumn id="15412" xr3:uid="{00000000-0010-0000-0300-0000343C0000}" name="Column15407" dataDxfId="996"/>
    <tableColumn id="15413" xr3:uid="{00000000-0010-0000-0300-0000353C0000}" name="Column15408" dataDxfId="995"/>
    <tableColumn id="15414" xr3:uid="{00000000-0010-0000-0300-0000363C0000}" name="Column15409" dataDxfId="994"/>
    <tableColumn id="15415" xr3:uid="{00000000-0010-0000-0300-0000373C0000}" name="Column15410" dataDxfId="993"/>
    <tableColumn id="15416" xr3:uid="{00000000-0010-0000-0300-0000383C0000}" name="Column15411" dataDxfId="992"/>
    <tableColumn id="15417" xr3:uid="{00000000-0010-0000-0300-0000393C0000}" name="Column15412" dataDxfId="991"/>
    <tableColumn id="15418" xr3:uid="{00000000-0010-0000-0300-00003A3C0000}" name="Column15413" dataDxfId="990"/>
    <tableColumn id="15419" xr3:uid="{00000000-0010-0000-0300-00003B3C0000}" name="Column15414" dataDxfId="989"/>
    <tableColumn id="15420" xr3:uid="{00000000-0010-0000-0300-00003C3C0000}" name="Column15415" dataDxfId="988"/>
    <tableColumn id="15421" xr3:uid="{00000000-0010-0000-0300-00003D3C0000}" name="Column15416" dataDxfId="987"/>
    <tableColumn id="15422" xr3:uid="{00000000-0010-0000-0300-00003E3C0000}" name="Column15417" dataDxfId="986"/>
    <tableColumn id="15423" xr3:uid="{00000000-0010-0000-0300-00003F3C0000}" name="Column15418" dataDxfId="985"/>
    <tableColumn id="15424" xr3:uid="{00000000-0010-0000-0300-0000403C0000}" name="Column15419" dataDxfId="984"/>
    <tableColumn id="15425" xr3:uid="{00000000-0010-0000-0300-0000413C0000}" name="Column15420" dataDxfId="983"/>
    <tableColumn id="15426" xr3:uid="{00000000-0010-0000-0300-0000423C0000}" name="Column15421" dataDxfId="982"/>
    <tableColumn id="15427" xr3:uid="{00000000-0010-0000-0300-0000433C0000}" name="Column15422" dataDxfId="981"/>
    <tableColumn id="15428" xr3:uid="{00000000-0010-0000-0300-0000443C0000}" name="Column15423" dataDxfId="980"/>
    <tableColumn id="15429" xr3:uid="{00000000-0010-0000-0300-0000453C0000}" name="Column15424" dataDxfId="979"/>
    <tableColumn id="15430" xr3:uid="{00000000-0010-0000-0300-0000463C0000}" name="Column15425" dataDxfId="978"/>
    <tableColumn id="15431" xr3:uid="{00000000-0010-0000-0300-0000473C0000}" name="Column15426" dataDxfId="977"/>
    <tableColumn id="15432" xr3:uid="{00000000-0010-0000-0300-0000483C0000}" name="Column15427" dataDxfId="976"/>
    <tableColumn id="15433" xr3:uid="{00000000-0010-0000-0300-0000493C0000}" name="Column15428" dataDxfId="975"/>
    <tableColumn id="15434" xr3:uid="{00000000-0010-0000-0300-00004A3C0000}" name="Column15429" dataDxfId="974"/>
    <tableColumn id="15435" xr3:uid="{00000000-0010-0000-0300-00004B3C0000}" name="Column15430" dataDxfId="973"/>
    <tableColumn id="15436" xr3:uid="{00000000-0010-0000-0300-00004C3C0000}" name="Column15431" dataDxfId="972"/>
    <tableColumn id="15437" xr3:uid="{00000000-0010-0000-0300-00004D3C0000}" name="Column15432" dataDxfId="971"/>
    <tableColumn id="15438" xr3:uid="{00000000-0010-0000-0300-00004E3C0000}" name="Column15433" dataDxfId="970"/>
    <tableColumn id="15439" xr3:uid="{00000000-0010-0000-0300-00004F3C0000}" name="Column15434" dataDxfId="969"/>
    <tableColumn id="15440" xr3:uid="{00000000-0010-0000-0300-0000503C0000}" name="Column15435" dataDxfId="968"/>
    <tableColumn id="15441" xr3:uid="{00000000-0010-0000-0300-0000513C0000}" name="Column15436" dataDxfId="967"/>
    <tableColumn id="15442" xr3:uid="{00000000-0010-0000-0300-0000523C0000}" name="Column15437" dataDxfId="966"/>
    <tableColumn id="15443" xr3:uid="{00000000-0010-0000-0300-0000533C0000}" name="Column15438" dataDxfId="965"/>
    <tableColumn id="15444" xr3:uid="{00000000-0010-0000-0300-0000543C0000}" name="Column15439" dataDxfId="964"/>
    <tableColumn id="15445" xr3:uid="{00000000-0010-0000-0300-0000553C0000}" name="Column15440" dataDxfId="963"/>
    <tableColumn id="15446" xr3:uid="{00000000-0010-0000-0300-0000563C0000}" name="Column15441" dataDxfId="962"/>
    <tableColumn id="15447" xr3:uid="{00000000-0010-0000-0300-0000573C0000}" name="Column15442" dataDxfId="961"/>
    <tableColumn id="15448" xr3:uid="{00000000-0010-0000-0300-0000583C0000}" name="Column15443" dataDxfId="960"/>
    <tableColumn id="15449" xr3:uid="{00000000-0010-0000-0300-0000593C0000}" name="Column15444" dataDxfId="959"/>
    <tableColumn id="15450" xr3:uid="{00000000-0010-0000-0300-00005A3C0000}" name="Column15445" dataDxfId="958"/>
    <tableColumn id="15451" xr3:uid="{00000000-0010-0000-0300-00005B3C0000}" name="Column15446" dataDxfId="957"/>
    <tableColumn id="15452" xr3:uid="{00000000-0010-0000-0300-00005C3C0000}" name="Column15447" dataDxfId="956"/>
    <tableColumn id="15453" xr3:uid="{00000000-0010-0000-0300-00005D3C0000}" name="Column15448" dataDxfId="955"/>
    <tableColumn id="15454" xr3:uid="{00000000-0010-0000-0300-00005E3C0000}" name="Column15449" dataDxfId="954"/>
    <tableColumn id="15455" xr3:uid="{00000000-0010-0000-0300-00005F3C0000}" name="Column15450" dataDxfId="953"/>
    <tableColumn id="15456" xr3:uid="{00000000-0010-0000-0300-0000603C0000}" name="Column15451" dataDxfId="952"/>
    <tableColumn id="15457" xr3:uid="{00000000-0010-0000-0300-0000613C0000}" name="Column15452" dataDxfId="951"/>
    <tableColumn id="15458" xr3:uid="{00000000-0010-0000-0300-0000623C0000}" name="Column15453" dataDxfId="950"/>
    <tableColumn id="15459" xr3:uid="{00000000-0010-0000-0300-0000633C0000}" name="Column15454" dataDxfId="949"/>
    <tableColumn id="15460" xr3:uid="{00000000-0010-0000-0300-0000643C0000}" name="Column15455" dataDxfId="948"/>
    <tableColumn id="15461" xr3:uid="{00000000-0010-0000-0300-0000653C0000}" name="Column15456" dataDxfId="947"/>
    <tableColumn id="15462" xr3:uid="{00000000-0010-0000-0300-0000663C0000}" name="Column15457" dataDxfId="946"/>
    <tableColumn id="15463" xr3:uid="{00000000-0010-0000-0300-0000673C0000}" name="Column15458" dataDxfId="945"/>
    <tableColumn id="15464" xr3:uid="{00000000-0010-0000-0300-0000683C0000}" name="Column15459" dataDxfId="944"/>
    <tableColumn id="15465" xr3:uid="{00000000-0010-0000-0300-0000693C0000}" name="Column15460" dataDxfId="943"/>
    <tableColumn id="15466" xr3:uid="{00000000-0010-0000-0300-00006A3C0000}" name="Column15461" dataDxfId="942"/>
    <tableColumn id="15467" xr3:uid="{00000000-0010-0000-0300-00006B3C0000}" name="Column15462" dataDxfId="941"/>
    <tableColumn id="15468" xr3:uid="{00000000-0010-0000-0300-00006C3C0000}" name="Column15463" dataDxfId="940"/>
    <tableColumn id="15469" xr3:uid="{00000000-0010-0000-0300-00006D3C0000}" name="Column15464" dataDxfId="939"/>
    <tableColumn id="15470" xr3:uid="{00000000-0010-0000-0300-00006E3C0000}" name="Column15465" dataDxfId="938"/>
    <tableColumn id="15471" xr3:uid="{00000000-0010-0000-0300-00006F3C0000}" name="Column15466" dataDxfId="937"/>
    <tableColumn id="15472" xr3:uid="{00000000-0010-0000-0300-0000703C0000}" name="Column15467" dataDxfId="936"/>
    <tableColumn id="15473" xr3:uid="{00000000-0010-0000-0300-0000713C0000}" name="Column15468" dataDxfId="935"/>
    <tableColumn id="15474" xr3:uid="{00000000-0010-0000-0300-0000723C0000}" name="Column15469" dataDxfId="934"/>
    <tableColumn id="15475" xr3:uid="{00000000-0010-0000-0300-0000733C0000}" name="Column15470" dataDxfId="933"/>
    <tableColumn id="15476" xr3:uid="{00000000-0010-0000-0300-0000743C0000}" name="Column15471" dataDxfId="932"/>
    <tableColumn id="15477" xr3:uid="{00000000-0010-0000-0300-0000753C0000}" name="Column15472" dataDxfId="931"/>
    <tableColumn id="15478" xr3:uid="{00000000-0010-0000-0300-0000763C0000}" name="Column15473" dataDxfId="930"/>
    <tableColumn id="15479" xr3:uid="{00000000-0010-0000-0300-0000773C0000}" name="Column15474" dataDxfId="929"/>
    <tableColumn id="15480" xr3:uid="{00000000-0010-0000-0300-0000783C0000}" name="Column15475" dataDxfId="928"/>
    <tableColumn id="15481" xr3:uid="{00000000-0010-0000-0300-0000793C0000}" name="Column15476" dataDxfId="927"/>
    <tableColumn id="15482" xr3:uid="{00000000-0010-0000-0300-00007A3C0000}" name="Column15477" dataDxfId="926"/>
    <tableColumn id="15483" xr3:uid="{00000000-0010-0000-0300-00007B3C0000}" name="Column15478" dataDxfId="925"/>
    <tableColumn id="15484" xr3:uid="{00000000-0010-0000-0300-00007C3C0000}" name="Column15479" dataDxfId="924"/>
    <tableColumn id="15485" xr3:uid="{00000000-0010-0000-0300-00007D3C0000}" name="Column15480" dataDxfId="923"/>
    <tableColumn id="15486" xr3:uid="{00000000-0010-0000-0300-00007E3C0000}" name="Column15481" dataDxfId="922"/>
    <tableColumn id="15487" xr3:uid="{00000000-0010-0000-0300-00007F3C0000}" name="Column15482" dataDxfId="921"/>
    <tableColumn id="15488" xr3:uid="{00000000-0010-0000-0300-0000803C0000}" name="Column15483" dataDxfId="920"/>
    <tableColumn id="15489" xr3:uid="{00000000-0010-0000-0300-0000813C0000}" name="Column15484" dataDxfId="919"/>
    <tableColumn id="15490" xr3:uid="{00000000-0010-0000-0300-0000823C0000}" name="Column15485" dataDxfId="918"/>
    <tableColumn id="15491" xr3:uid="{00000000-0010-0000-0300-0000833C0000}" name="Column15486" dataDxfId="917"/>
    <tableColumn id="15492" xr3:uid="{00000000-0010-0000-0300-0000843C0000}" name="Column15487" dataDxfId="916"/>
    <tableColumn id="15493" xr3:uid="{00000000-0010-0000-0300-0000853C0000}" name="Column15488" dataDxfId="915"/>
    <tableColumn id="15494" xr3:uid="{00000000-0010-0000-0300-0000863C0000}" name="Column15489" dataDxfId="914"/>
    <tableColumn id="15495" xr3:uid="{00000000-0010-0000-0300-0000873C0000}" name="Column15490" dataDxfId="913"/>
    <tableColumn id="15496" xr3:uid="{00000000-0010-0000-0300-0000883C0000}" name="Column15491" dataDxfId="912"/>
    <tableColumn id="15497" xr3:uid="{00000000-0010-0000-0300-0000893C0000}" name="Column15492" dataDxfId="911"/>
    <tableColumn id="15498" xr3:uid="{00000000-0010-0000-0300-00008A3C0000}" name="Column15493" dataDxfId="910"/>
    <tableColumn id="15499" xr3:uid="{00000000-0010-0000-0300-00008B3C0000}" name="Column15494" dataDxfId="909"/>
    <tableColumn id="15500" xr3:uid="{00000000-0010-0000-0300-00008C3C0000}" name="Column15495" dataDxfId="908"/>
    <tableColumn id="15501" xr3:uid="{00000000-0010-0000-0300-00008D3C0000}" name="Column15496" dataDxfId="907"/>
    <tableColumn id="15502" xr3:uid="{00000000-0010-0000-0300-00008E3C0000}" name="Column15497" dataDxfId="906"/>
    <tableColumn id="15503" xr3:uid="{00000000-0010-0000-0300-00008F3C0000}" name="Column15498" dataDxfId="905"/>
    <tableColumn id="15504" xr3:uid="{00000000-0010-0000-0300-0000903C0000}" name="Column15499" dataDxfId="904"/>
    <tableColumn id="15505" xr3:uid="{00000000-0010-0000-0300-0000913C0000}" name="Column15500" dataDxfId="903"/>
    <tableColumn id="15506" xr3:uid="{00000000-0010-0000-0300-0000923C0000}" name="Column15501" dataDxfId="902"/>
    <tableColumn id="15507" xr3:uid="{00000000-0010-0000-0300-0000933C0000}" name="Column15502" dataDxfId="901"/>
    <tableColumn id="15508" xr3:uid="{00000000-0010-0000-0300-0000943C0000}" name="Column15503" dataDxfId="900"/>
    <tableColumn id="15509" xr3:uid="{00000000-0010-0000-0300-0000953C0000}" name="Column15504" dataDxfId="899"/>
    <tableColumn id="15510" xr3:uid="{00000000-0010-0000-0300-0000963C0000}" name="Column15505" dataDxfId="898"/>
    <tableColumn id="15511" xr3:uid="{00000000-0010-0000-0300-0000973C0000}" name="Column15506" dataDxfId="897"/>
    <tableColumn id="15512" xr3:uid="{00000000-0010-0000-0300-0000983C0000}" name="Column15507" dataDxfId="896"/>
    <tableColumn id="15513" xr3:uid="{00000000-0010-0000-0300-0000993C0000}" name="Column15508" dataDxfId="895"/>
    <tableColumn id="15514" xr3:uid="{00000000-0010-0000-0300-00009A3C0000}" name="Column15509" dataDxfId="894"/>
    <tableColumn id="15515" xr3:uid="{00000000-0010-0000-0300-00009B3C0000}" name="Column15510" dataDxfId="893"/>
    <tableColumn id="15516" xr3:uid="{00000000-0010-0000-0300-00009C3C0000}" name="Column15511" dataDxfId="892"/>
    <tableColumn id="15517" xr3:uid="{00000000-0010-0000-0300-00009D3C0000}" name="Column15512" dataDxfId="891"/>
    <tableColumn id="15518" xr3:uid="{00000000-0010-0000-0300-00009E3C0000}" name="Column15513" dataDxfId="890"/>
    <tableColumn id="15519" xr3:uid="{00000000-0010-0000-0300-00009F3C0000}" name="Column15514" dataDxfId="889"/>
    <tableColumn id="15520" xr3:uid="{00000000-0010-0000-0300-0000A03C0000}" name="Column15515" dataDxfId="888"/>
    <tableColumn id="15521" xr3:uid="{00000000-0010-0000-0300-0000A13C0000}" name="Column15516" dataDxfId="887"/>
    <tableColumn id="15522" xr3:uid="{00000000-0010-0000-0300-0000A23C0000}" name="Column15517" dataDxfId="886"/>
    <tableColumn id="15523" xr3:uid="{00000000-0010-0000-0300-0000A33C0000}" name="Column15518" dataDxfId="885"/>
    <tableColumn id="15524" xr3:uid="{00000000-0010-0000-0300-0000A43C0000}" name="Column15519" dataDxfId="884"/>
    <tableColumn id="15525" xr3:uid="{00000000-0010-0000-0300-0000A53C0000}" name="Column15520" dataDxfId="883"/>
    <tableColumn id="15526" xr3:uid="{00000000-0010-0000-0300-0000A63C0000}" name="Column15521" dataDxfId="882"/>
    <tableColumn id="15527" xr3:uid="{00000000-0010-0000-0300-0000A73C0000}" name="Column15522" dataDxfId="881"/>
    <tableColumn id="15528" xr3:uid="{00000000-0010-0000-0300-0000A83C0000}" name="Column15523" dataDxfId="880"/>
    <tableColumn id="15529" xr3:uid="{00000000-0010-0000-0300-0000A93C0000}" name="Column15524" dataDxfId="879"/>
    <tableColumn id="15530" xr3:uid="{00000000-0010-0000-0300-0000AA3C0000}" name="Column15525" dataDxfId="878"/>
    <tableColumn id="15531" xr3:uid="{00000000-0010-0000-0300-0000AB3C0000}" name="Column15526" dataDxfId="877"/>
    <tableColumn id="15532" xr3:uid="{00000000-0010-0000-0300-0000AC3C0000}" name="Column15527" dataDxfId="876"/>
    <tableColumn id="15533" xr3:uid="{00000000-0010-0000-0300-0000AD3C0000}" name="Column15528" dataDxfId="875"/>
    <tableColumn id="15534" xr3:uid="{00000000-0010-0000-0300-0000AE3C0000}" name="Column15529" dataDxfId="874"/>
    <tableColumn id="15535" xr3:uid="{00000000-0010-0000-0300-0000AF3C0000}" name="Column15530" dataDxfId="873"/>
    <tableColumn id="15536" xr3:uid="{00000000-0010-0000-0300-0000B03C0000}" name="Column15531" dataDxfId="872"/>
    <tableColumn id="15537" xr3:uid="{00000000-0010-0000-0300-0000B13C0000}" name="Column15532" dataDxfId="871"/>
    <tableColumn id="15538" xr3:uid="{00000000-0010-0000-0300-0000B23C0000}" name="Column15533" dataDxfId="870"/>
    <tableColumn id="15539" xr3:uid="{00000000-0010-0000-0300-0000B33C0000}" name="Column15534" dataDxfId="869"/>
    <tableColumn id="15540" xr3:uid="{00000000-0010-0000-0300-0000B43C0000}" name="Column15535" dataDxfId="868"/>
    <tableColumn id="15541" xr3:uid="{00000000-0010-0000-0300-0000B53C0000}" name="Column15536" dataDxfId="867"/>
    <tableColumn id="15542" xr3:uid="{00000000-0010-0000-0300-0000B63C0000}" name="Column15537" dataDxfId="866"/>
    <tableColumn id="15543" xr3:uid="{00000000-0010-0000-0300-0000B73C0000}" name="Column15538" dataDxfId="865"/>
    <tableColumn id="15544" xr3:uid="{00000000-0010-0000-0300-0000B83C0000}" name="Column15539" dataDxfId="864"/>
    <tableColumn id="15545" xr3:uid="{00000000-0010-0000-0300-0000B93C0000}" name="Column15540" dataDxfId="863"/>
    <tableColumn id="15546" xr3:uid="{00000000-0010-0000-0300-0000BA3C0000}" name="Column15541" dataDxfId="862"/>
    <tableColumn id="15547" xr3:uid="{00000000-0010-0000-0300-0000BB3C0000}" name="Column15542" dataDxfId="861"/>
    <tableColumn id="15548" xr3:uid="{00000000-0010-0000-0300-0000BC3C0000}" name="Column15543" dataDxfId="860"/>
    <tableColumn id="15549" xr3:uid="{00000000-0010-0000-0300-0000BD3C0000}" name="Column15544" dataDxfId="859"/>
    <tableColumn id="15550" xr3:uid="{00000000-0010-0000-0300-0000BE3C0000}" name="Column15545" dataDxfId="858"/>
    <tableColumn id="15551" xr3:uid="{00000000-0010-0000-0300-0000BF3C0000}" name="Column15546" dataDxfId="857"/>
    <tableColumn id="15552" xr3:uid="{00000000-0010-0000-0300-0000C03C0000}" name="Column15547" dataDxfId="856"/>
    <tableColumn id="15553" xr3:uid="{00000000-0010-0000-0300-0000C13C0000}" name="Column15548" dataDxfId="855"/>
    <tableColumn id="15554" xr3:uid="{00000000-0010-0000-0300-0000C23C0000}" name="Column15549" dataDxfId="854"/>
    <tableColumn id="15555" xr3:uid="{00000000-0010-0000-0300-0000C33C0000}" name="Column15550" dataDxfId="853"/>
    <tableColumn id="15556" xr3:uid="{00000000-0010-0000-0300-0000C43C0000}" name="Column15551" dataDxfId="852"/>
    <tableColumn id="15557" xr3:uid="{00000000-0010-0000-0300-0000C53C0000}" name="Column15552" dataDxfId="851"/>
    <tableColumn id="15558" xr3:uid="{00000000-0010-0000-0300-0000C63C0000}" name="Column15553" dataDxfId="850"/>
    <tableColumn id="15559" xr3:uid="{00000000-0010-0000-0300-0000C73C0000}" name="Column15554" dataDxfId="849"/>
    <tableColumn id="15560" xr3:uid="{00000000-0010-0000-0300-0000C83C0000}" name="Column15555" dataDxfId="848"/>
    <tableColumn id="15561" xr3:uid="{00000000-0010-0000-0300-0000C93C0000}" name="Column15556" dataDxfId="847"/>
    <tableColumn id="15562" xr3:uid="{00000000-0010-0000-0300-0000CA3C0000}" name="Column15557" dataDxfId="846"/>
    <tableColumn id="15563" xr3:uid="{00000000-0010-0000-0300-0000CB3C0000}" name="Column15558" dataDxfId="845"/>
    <tableColumn id="15564" xr3:uid="{00000000-0010-0000-0300-0000CC3C0000}" name="Column15559" dataDxfId="844"/>
    <tableColumn id="15565" xr3:uid="{00000000-0010-0000-0300-0000CD3C0000}" name="Column15560" dataDxfId="843"/>
    <tableColumn id="15566" xr3:uid="{00000000-0010-0000-0300-0000CE3C0000}" name="Column15561" dataDxfId="842"/>
    <tableColumn id="15567" xr3:uid="{00000000-0010-0000-0300-0000CF3C0000}" name="Column15562" dataDxfId="841"/>
    <tableColumn id="15568" xr3:uid="{00000000-0010-0000-0300-0000D03C0000}" name="Column15563" dataDxfId="840"/>
    <tableColumn id="15569" xr3:uid="{00000000-0010-0000-0300-0000D13C0000}" name="Column15564" dataDxfId="839"/>
    <tableColumn id="15570" xr3:uid="{00000000-0010-0000-0300-0000D23C0000}" name="Column15565" dataDxfId="838"/>
    <tableColumn id="15571" xr3:uid="{00000000-0010-0000-0300-0000D33C0000}" name="Column15566" dataDxfId="837"/>
    <tableColumn id="15572" xr3:uid="{00000000-0010-0000-0300-0000D43C0000}" name="Column15567" dataDxfId="836"/>
    <tableColumn id="15573" xr3:uid="{00000000-0010-0000-0300-0000D53C0000}" name="Column15568" dataDxfId="835"/>
    <tableColumn id="15574" xr3:uid="{00000000-0010-0000-0300-0000D63C0000}" name="Column15569" dataDxfId="834"/>
    <tableColumn id="15575" xr3:uid="{00000000-0010-0000-0300-0000D73C0000}" name="Column15570" dataDxfId="833"/>
    <tableColumn id="15576" xr3:uid="{00000000-0010-0000-0300-0000D83C0000}" name="Column15571" dataDxfId="832"/>
    <tableColumn id="15577" xr3:uid="{00000000-0010-0000-0300-0000D93C0000}" name="Column15572" dataDxfId="831"/>
    <tableColumn id="15578" xr3:uid="{00000000-0010-0000-0300-0000DA3C0000}" name="Column15573" dataDxfId="830"/>
    <tableColumn id="15579" xr3:uid="{00000000-0010-0000-0300-0000DB3C0000}" name="Column15574" dataDxfId="829"/>
    <tableColumn id="15580" xr3:uid="{00000000-0010-0000-0300-0000DC3C0000}" name="Column15575" dataDxfId="828"/>
    <tableColumn id="15581" xr3:uid="{00000000-0010-0000-0300-0000DD3C0000}" name="Column15576" dataDxfId="827"/>
    <tableColumn id="15582" xr3:uid="{00000000-0010-0000-0300-0000DE3C0000}" name="Column15577" dataDxfId="826"/>
    <tableColumn id="15583" xr3:uid="{00000000-0010-0000-0300-0000DF3C0000}" name="Column15578" dataDxfId="825"/>
    <tableColumn id="15584" xr3:uid="{00000000-0010-0000-0300-0000E03C0000}" name="Column15579" dataDxfId="824"/>
    <tableColumn id="15585" xr3:uid="{00000000-0010-0000-0300-0000E13C0000}" name="Column15580" dataDxfId="823"/>
    <tableColumn id="15586" xr3:uid="{00000000-0010-0000-0300-0000E23C0000}" name="Column15581" dataDxfId="822"/>
    <tableColumn id="15587" xr3:uid="{00000000-0010-0000-0300-0000E33C0000}" name="Column15582" dataDxfId="821"/>
    <tableColumn id="15588" xr3:uid="{00000000-0010-0000-0300-0000E43C0000}" name="Column15583" dataDxfId="820"/>
    <tableColumn id="15589" xr3:uid="{00000000-0010-0000-0300-0000E53C0000}" name="Column15584" dataDxfId="819"/>
    <tableColumn id="15590" xr3:uid="{00000000-0010-0000-0300-0000E63C0000}" name="Column15585" dataDxfId="818"/>
    <tableColumn id="15591" xr3:uid="{00000000-0010-0000-0300-0000E73C0000}" name="Column15586" dataDxfId="817"/>
    <tableColumn id="15592" xr3:uid="{00000000-0010-0000-0300-0000E83C0000}" name="Column15587" dataDxfId="816"/>
    <tableColumn id="15593" xr3:uid="{00000000-0010-0000-0300-0000E93C0000}" name="Column15588" dataDxfId="815"/>
    <tableColumn id="15594" xr3:uid="{00000000-0010-0000-0300-0000EA3C0000}" name="Column15589" dataDxfId="814"/>
    <tableColumn id="15595" xr3:uid="{00000000-0010-0000-0300-0000EB3C0000}" name="Column15590" dataDxfId="813"/>
    <tableColumn id="15596" xr3:uid="{00000000-0010-0000-0300-0000EC3C0000}" name="Column15591" dataDxfId="812"/>
    <tableColumn id="15597" xr3:uid="{00000000-0010-0000-0300-0000ED3C0000}" name="Column15592" dataDxfId="811"/>
    <tableColumn id="15598" xr3:uid="{00000000-0010-0000-0300-0000EE3C0000}" name="Column15593" dataDxfId="810"/>
    <tableColumn id="15599" xr3:uid="{00000000-0010-0000-0300-0000EF3C0000}" name="Column15594" dataDxfId="809"/>
    <tableColumn id="15600" xr3:uid="{00000000-0010-0000-0300-0000F03C0000}" name="Column15595" dataDxfId="808"/>
    <tableColumn id="15601" xr3:uid="{00000000-0010-0000-0300-0000F13C0000}" name="Column15596" dataDxfId="807"/>
    <tableColumn id="15602" xr3:uid="{00000000-0010-0000-0300-0000F23C0000}" name="Column15597" dataDxfId="806"/>
    <tableColumn id="15603" xr3:uid="{00000000-0010-0000-0300-0000F33C0000}" name="Column15598" dataDxfId="805"/>
    <tableColumn id="15604" xr3:uid="{00000000-0010-0000-0300-0000F43C0000}" name="Column15599" dataDxfId="804"/>
    <tableColumn id="15605" xr3:uid="{00000000-0010-0000-0300-0000F53C0000}" name="Column15600" dataDxfId="803"/>
    <tableColumn id="15606" xr3:uid="{00000000-0010-0000-0300-0000F63C0000}" name="Column15601" dataDxfId="802"/>
    <tableColumn id="15607" xr3:uid="{00000000-0010-0000-0300-0000F73C0000}" name="Column15602" dataDxfId="801"/>
    <tableColumn id="15608" xr3:uid="{00000000-0010-0000-0300-0000F83C0000}" name="Column15603" dataDxfId="800"/>
    <tableColumn id="15609" xr3:uid="{00000000-0010-0000-0300-0000F93C0000}" name="Column15604" dataDxfId="799"/>
    <tableColumn id="15610" xr3:uid="{00000000-0010-0000-0300-0000FA3C0000}" name="Column15605" dataDxfId="798"/>
    <tableColumn id="15611" xr3:uid="{00000000-0010-0000-0300-0000FB3C0000}" name="Column15606" dataDxfId="797"/>
    <tableColumn id="15612" xr3:uid="{00000000-0010-0000-0300-0000FC3C0000}" name="Column15607" dataDxfId="796"/>
    <tableColumn id="15613" xr3:uid="{00000000-0010-0000-0300-0000FD3C0000}" name="Column15608" dataDxfId="795"/>
    <tableColumn id="15614" xr3:uid="{00000000-0010-0000-0300-0000FE3C0000}" name="Column15609" dataDxfId="794"/>
    <tableColumn id="15615" xr3:uid="{00000000-0010-0000-0300-0000FF3C0000}" name="Column15610" dataDxfId="793"/>
    <tableColumn id="15616" xr3:uid="{00000000-0010-0000-0300-0000003D0000}" name="Column15611" dataDxfId="792"/>
    <tableColumn id="15617" xr3:uid="{00000000-0010-0000-0300-0000013D0000}" name="Column15612" dataDxfId="791"/>
    <tableColumn id="15618" xr3:uid="{00000000-0010-0000-0300-0000023D0000}" name="Column15613" dataDxfId="790"/>
    <tableColumn id="15619" xr3:uid="{00000000-0010-0000-0300-0000033D0000}" name="Column15614" dataDxfId="789"/>
    <tableColumn id="15620" xr3:uid="{00000000-0010-0000-0300-0000043D0000}" name="Column15615" dataDxfId="788"/>
    <tableColumn id="15621" xr3:uid="{00000000-0010-0000-0300-0000053D0000}" name="Column15616" dataDxfId="787"/>
    <tableColumn id="15622" xr3:uid="{00000000-0010-0000-0300-0000063D0000}" name="Column15617" dataDxfId="786"/>
    <tableColumn id="15623" xr3:uid="{00000000-0010-0000-0300-0000073D0000}" name="Column15618" dataDxfId="785"/>
    <tableColumn id="15624" xr3:uid="{00000000-0010-0000-0300-0000083D0000}" name="Column15619" dataDxfId="784"/>
    <tableColumn id="15625" xr3:uid="{00000000-0010-0000-0300-0000093D0000}" name="Column15620" dataDxfId="783"/>
    <tableColumn id="15626" xr3:uid="{00000000-0010-0000-0300-00000A3D0000}" name="Column15621" dataDxfId="782"/>
    <tableColumn id="15627" xr3:uid="{00000000-0010-0000-0300-00000B3D0000}" name="Column15622" dataDxfId="781"/>
    <tableColumn id="15628" xr3:uid="{00000000-0010-0000-0300-00000C3D0000}" name="Column15623" dataDxfId="780"/>
    <tableColumn id="15629" xr3:uid="{00000000-0010-0000-0300-00000D3D0000}" name="Column15624" dataDxfId="779"/>
    <tableColumn id="15630" xr3:uid="{00000000-0010-0000-0300-00000E3D0000}" name="Column15625" dataDxfId="778"/>
    <tableColumn id="15631" xr3:uid="{00000000-0010-0000-0300-00000F3D0000}" name="Column15626" dataDxfId="777"/>
    <tableColumn id="15632" xr3:uid="{00000000-0010-0000-0300-0000103D0000}" name="Column15627" dataDxfId="776"/>
    <tableColumn id="15633" xr3:uid="{00000000-0010-0000-0300-0000113D0000}" name="Column15628" dataDxfId="775"/>
    <tableColumn id="15634" xr3:uid="{00000000-0010-0000-0300-0000123D0000}" name="Column15629" dataDxfId="774"/>
    <tableColumn id="15635" xr3:uid="{00000000-0010-0000-0300-0000133D0000}" name="Column15630" dataDxfId="773"/>
    <tableColumn id="15636" xr3:uid="{00000000-0010-0000-0300-0000143D0000}" name="Column15631" dataDxfId="772"/>
    <tableColumn id="15637" xr3:uid="{00000000-0010-0000-0300-0000153D0000}" name="Column15632" dataDxfId="771"/>
    <tableColumn id="15638" xr3:uid="{00000000-0010-0000-0300-0000163D0000}" name="Column15633" dataDxfId="770"/>
    <tableColumn id="15639" xr3:uid="{00000000-0010-0000-0300-0000173D0000}" name="Column15634" dataDxfId="769"/>
    <tableColumn id="15640" xr3:uid="{00000000-0010-0000-0300-0000183D0000}" name="Column15635" dataDxfId="768"/>
    <tableColumn id="15641" xr3:uid="{00000000-0010-0000-0300-0000193D0000}" name="Column15636" dataDxfId="767"/>
    <tableColumn id="15642" xr3:uid="{00000000-0010-0000-0300-00001A3D0000}" name="Column15637" dataDxfId="766"/>
    <tableColumn id="15643" xr3:uid="{00000000-0010-0000-0300-00001B3D0000}" name="Column15638" dataDxfId="765"/>
    <tableColumn id="15644" xr3:uid="{00000000-0010-0000-0300-00001C3D0000}" name="Column15639" dataDxfId="764"/>
    <tableColumn id="15645" xr3:uid="{00000000-0010-0000-0300-00001D3D0000}" name="Column15640" dataDxfId="763"/>
    <tableColumn id="15646" xr3:uid="{00000000-0010-0000-0300-00001E3D0000}" name="Column15641" dataDxfId="762"/>
    <tableColumn id="15647" xr3:uid="{00000000-0010-0000-0300-00001F3D0000}" name="Column15642" dataDxfId="761"/>
    <tableColumn id="15648" xr3:uid="{00000000-0010-0000-0300-0000203D0000}" name="Column15643" dataDxfId="760"/>
    <tableColumn id="15649" xr3:uid="{00000000-0010-0000-0300-0000213D0000}" name="Column15644" dataDxfId="759"/>
    <tableColumn id="15650" xr3:uid="{00000000-0010-0000-0300-0000223D0000}" name="Column15645" dataDxfId="758"/>
    <tableColumn id="15651" xr3:uid="{00000000-0010-0000-0300-0000233D0000}" name="Column15646" dataDxfId="757"/>
    <tableColumn id="15652" xr3:uid="{00000000-0010-0000-0300-0000243D0000}" name="Column15647" dataDxfId="756"/>
    <tableColumn id="15653" xr3:uid="{00000000-0010-0000-0300-0000253D0000}" name="Column15648" dataDxfId="755"/>
    <tableColumn id="15654" xr3:uid="{00000000-0010-0000-0300-0000263D0000}" name="Column15649" dataDxfId="754"/>
    <tableColumn id="15655" xr3:uid="{00000000-0010-0000-0300-0000273D0000}" name="Column15650" dataDxfId="753"/>
    <tableColumn id="15656" xr3:uid="{00000000-0010-0000-0300-0000283D0000}" name="Column15651" dataDxfId="752"/>
    <tableColumn id="15657" xr3:uid="{00000000-0010-0000-0300-0000293D0000}" name="Column15652" dataDxfId="751"/>
    <tableColumn id="15658" xr3:uid="{00000000-0010-0000-0300-00002A3D0000}" name="Column15653" dataDxfId="750"/>
    <tableColumn id="15659" xr3:uid="{00000000-0010-0000-0300-00002B3D0000}" name="Column15654" dataDxfId="749"/>
    <tableColumn id="15660" xr3:uid="{00000000-0010-0000-0300-00002C3D0000}" name="Column15655" dataDxfId="748"/>
    <tableColumn id="15661" xr3:uid="{00000000-0010-0000-0300-00002D3D0000}" name="Column15656" dataDxfId="747"/>
    <tableColumn id="15662" xr3:uid="{00000000-0010-0000-0300-00002E3D0000}" name="Column15657" dataDxfId="746"/>
    <tableColumn id="15663" xr3:uid="{00000000-0010-0000-0300-00002F3D0000}" name="Column15658" dataDxfId="745"/>
    <tableColumn id="15664" xr3:uid="{00000000-0010-0000-0300-0000303D0000}" name="Column15659" dataDxfId="744"/>
    <tableColumn id="15665" xr3:uid="{00000000-0010-0000-0300-0000313D0000}" name="Column15660" dataDxfId="743"/>
    <tableColumn id="15666" xr3:uid="{00000000-0010-0000-0300-0000323D0000}" name="Column15661" dataDxfId="742"/>
    <tableColumn id="15667" xr3:uid="{00000000-0010-0000-0300-0000333D0000}" name="Column15662" dataDxfId="741"/>
    <tableColumn id="15668" xr3:uid="{00000000-0010-0000-0300-0000343D0000}" name="Column15663" dataDxfId="740"/>
    <tableColumn id="15669" xr3:uid="{00000000-0010-0000-0300-0000353D0000}" name="Column15664" dataDxfId="739"/>
    <tableColumn id="15670" xr3:uid="{00000000-0010-0000-0300-0000363D0000}" name="Column15665" dataDxfId="738"/>
    <tableColumn id="15671" xr3:uid="{00000000-0010-0000-0300-0000373D0000}" name="Column15666" dataDxfId="737"/>
    <tableColumn id="15672" xr3:uid="{00000000-0010-0000-0300-0000383D0000}" name="Column15667" dataDxfId="736"/>
    <tableColumn id="15673" xr3:uid="{00000000-0010-0000-0300-0000393D0000}" name="Column15668" dataDxfId="735"/>
    <tableColumn id="15674" xr3:uid="{00000000-0010-0000-0300-00003A3D0000}" name="Column15669" dataDxfId="734"/>
    <tableColumn id="15675" xr3:uid="{00000000-0010-0000-0300-00003B3D0000}" name="Column15670" dataDxfId="733"/>
    <tableColumn id="15676" xr3:uid="{00000000-0010-0000-0300-00003C3D0000}" name="Column15671" dataDxfId="732"/>
    <tableColumn id="15677" xr3:uid="{00000000-0010-0000-0300-00003D3D0000}" name="Column15672" dataDxfId="731"/>
    <tableColumn id="15678" xr3:uid="{00000000-0010-0000-0300-00003E3D0000}" name="Column15673" dataDxfId="730"/>
    <tableColumn id="15679" xr3:uid="{00000000-0010-0000-0300-00003F3D0000}" name="Column15674" dataDxfId="729"/>
    <tableColumn id="15680" xr3:uid="{00000000-0010-0000-0300-0000403D0000}" name="Column15675" dataDxfId="728"/>
    <tableColumn id="15681" xr3:uid="{00000000-0010-0000-0300-0000413D0000}" name="Column15676" dataDxfId="727"/>
    <tableColumn id="15682" xr3:uid="{00000000-0010-0000-0300-0000423D0000}" name="Column15677" dataDxfId="726"/>
    <tableColumn id="15683" xr3:uid="{00000000-0010-0000-0300-0000433D0000}" name="Column15678" dataDxfId="725"/>
    <tableColumn id="15684" xr3:uid="{00000000-0010-0000-0300-0000443D0000}" name="Column15679" dataDxfId="724"/>
    <tableColumn id="15685" xr3:uid="{00000000-0010-0000-0300-0000453D0000}" name="Column15680" dataDxfId="723"/>
    <tableColumn id="15686" xr3:uid="{00000000-0010-0000-0300-0000463D0000}" name="Column15681" dataDxfId="722"/>
    <tableColumn id="15687" xr3:uid="{00000000-0010-0000-0300-0000473D0000}" name="Column15682" dataDxfId="721"/>
    <tableColumn id="15688" xr3:uid="{00000000-0010-0000-0300-0000483D0000}" name="Column15683" dataDxfId="720"/>
    <tableColumn id="15689" xr3:uid="{00000000-0010-0000-0300-0000493D0000}" name="Column15684" dataDxfId="719"/>
    <tableColumn id="15690" xr3:uid="{00000000-0010-0000-0300-00004A3D0000}" name="Column15685" dataDxfId="718"/>
    <tableColumn id="15691" xr3:uid="{00000000-0010-0000-0300-00004B3D0000}" name="Column15686" dataDxfId="717"/>
    <tableColumn id="15692" xr3:uid="{00000000-0010-0000-0300-00004C3D0000}" name="Column15687" dataDxfId="716"/>
    <tableColumn id="15693" xr3:uid="{00000000-0010-0000-0300-00004D3D0000}" name="Column15688" dataDxfId="715"/>
    <tableColumn id="15694" xr3:uid="{00000000-0010-0000-0300-00004E3D0000}" name="Column15689" dataDxfId="714"/>
    <tableColumn id="15695" xr3:uid="{00000000-0010-0000-0300-00004F3D0000}" name="Column15690" dataDxfId="713"/>
    <tableColumn id="15696" xr3:uid="{00000000-0010-0000-0300-0000503D0000}" name="Column15691" dataDxfId="712"/>
    <tableColumn id="15697" xr3:uid="{00000000-0010-0000-0300-0000513D0000}" name="Column15692" dataDxfId="711"/>
    <tableColumn id="15698" xr3:uid="{00000000-0010-0000-0300-0000523D0000}" name="Column15693" dataDxfId="710"/>
    <tableColumn id="15699" xr3:uid="{00000000-0010-0000-0300-0000533D0000}" name="Column15694" dataDxfId="709"/>
    <tableColumn id="15700" xr3:uid="{00000000-0010-0000-0300-0000543D0000}" name="Column15695" dataDxfId="708"/>
    <tableColumn id="15701" xr3:uid="{00000000-0010-0000-0300-0000553D0000}" name="Column15696" dataDxfId="707"/>
    <tableColumn id="15702" xr3:uid="{00000000-0010-0000-0300-0000563D0000}" name="Column15697" dataDxfId="706"/>
    <tableColumn id="15703" xr3:uid="{00000000-0010-0000-0300-0000573D0000}" name="Column15698" dataDxfId="705"/>
    <tableColumn id="15704" xr3:uid="{00000000-0010-0000-0300-0000583D0000}" name="Column15699" dataDxfId="704"/>
    <tableColumn id="15705" xr3:uid="{00000000-0010-0000-0300-0000593D0000}" name="Column15700" dataDxfId="703"/>
    <tableColumn id="15706" xr3:uid="{00000000-0010-0000-0300-00005A3D0000}" name="Column15701" dataDxfId="702"/>
    <tableColumn id="15707" xr3:uid="{00000000-0010-0000-0300-00005B3D0000}" name="Column15702" dataDxfId="701"/>
    <tableColumn id="15708" xr3:uid="{00000000-0010-0000-0300-00005C3D0000}" name="Column15703" dataDxfId="700"/>
    <tableColumn id="15709" xr3:uid="{00000000-0010-0000-0300-00005D3D0000}" name="Column15704" dataDxfId="699"/>
    <tableColumn id="15710" xr3:uid="{00000000-0010-0000-0300-00005E3D0000}" name="Column15705" dataDxfId="698"/>
    <tableColumn id="15711" xr3:uid="{00000000-0010-0000-0300-00005F3D0000}" name="Column15706" dataDxfId="697"/>
    <tableColumn id="15712" xr3:uid="{00000000-0010-0000-0300-0000603D0000}" name="Column15707" dataDxfId="696"/>
    <tableColumn id="15713" xr3:uid="{00000000-0010-0000-0300-0000613D0000}" name="Column15708" dataDxfId="695"/>
    <tableColumn id="15714" xr3:uid="{00000000-0010-0000-0300-0000623D0000}" name="Column15709" dataDxfId="694"/>
    <tableColumn id="15715" xr3:uid="{00000000-0010-0000-0300-0000633D0000}" name="Column15710" dataDxfId="693"/>
    <tableColumn id="15716" xr3:uid="{00000000-0010-0000-0300-0000643D0000}" name="Column15711" dataDxfId="692"/>
    <tableColumn id="15717" xr3:uid="{00000000-0010-0000-0300-0000653D0000}" name="Column15712" dataDxfId="691"/>
    <tableColumn id="15718" xr3:uid="{00000000-0010-0000-0300-0000663D0000}" name="Column15713" dataDxfId="690"/>
    <tableColumn id="15719" xr3:uid="{00000000-0010-0000-0300-0000673D0000}" name="Column15714" dataDxfId="689"/>
    <tableColumn id="15720" xr3:uid="{00000000-0010-0000-0300-0000683D0000}" name="Column15715" dataDxfId="688"/>
    <tableColumn id="15721" xr3:uid="{00000000-0010-0000-0300-0000693D0000}" name="Column15716" dataDxfId="687"/>
    <tableColumn id="15722" xr3:uid="{00000000-0010-0000-0300-00006A3D0000}" name="Column15717" dataDxfId="686"/>
    <tableColumn id="15723" xr3:uid="{00000000-0010-0000-0300-00006B3D0000}" name="Column15718" dataDxfId="685"/>
    <tableColumn id="15724" xr3:uid="{00000000-0010-0000-0300-00006C3D0000}" name="Column15719" dataDxfId="684"/>
    <tableColumn id="15725" xr3:uid="{00000000-0010-0000-0300-00006D3D0000}" name="Column15720" dataDxfId="683"/>
    <tableColumn id="15726" xr3:uid="{00000000-0010-0000-0300-00006E3D0000}" name="Column15721" dataDxfId="682"/>
    <tableColumn id="15727" xr3:uid="{00000000-0010-0000-0300-00006F3D0000}" name="Column15722" dataDxfId="681"/>
    <tableColumn id="15728" xr3:uid="{00000000-0010-0000-0300-0000703D0000}" name="Column15723" dataDxfId="680"/>
    <tableColumn id="15729" xr3:uid="{00000000-0010-0000-0300-0000713D0000}" name="Column15724" dataDxfId="679"/>
    <tableColumn id="15730" xr3:uid="{00000000-0010-0000-0300-0000723D0000}" name="Column15725" dataDxfId="678"/>
    <tableColumn id="15731" xr3:uid="{00000000-0010-0000-0300-0000733D0000}" name="Column15726" dataDxfId="677"/>
    <tableColumn id="15732" xr3:uid="{00000000-0010-0000-0300-0000743D0000}" name="Column15727" dataDxfId="676"/>
    <tableColumn id="15733" xr3:uid="{00000000-0010-0000-0300-0000753D0000}" name="Column15728" dataDxfId="675"/>
    <tableColumn id="15734" xr3:uid="{00000000-0010-0000-0300-0000763D0000}" name="Column15729" dataDxfId="674"/>
    <tableColumn id="15735" xr3:uid="{00000000-0010-0000-0300-0000773D0000}" name="Column15730" dataDxfId="673"/>
    <tableColumn id="15736" xr3:uid="{00000000-0010-0000-0300-0000783D0000}" name="Column15731" dataDxfId="672"/>
    <tableColumn id="15737" xr3:uid="{00000000-0010-0000-0300-0000793D0000}" name="Column15732" dataDxfId="671"/>
    <tableColumn id="15738" xr3:uid="{00000000-0010-0000-0300-00007A3D0000}" name="Column15733" dataDxfId="670"/>
    <tableColumn id="15739" xr3:uid="{00000000-0010-0000-0300-00007B3D0000}" name="Column15734" dataDxfId="669"/>
    <tableColumn id="15740" xr3:uid="{00000000-0010-0000-0300-00007C3D0000}" name="Column15735" dataDxfId="668"/>
    <tableColumn id="15741" xr3:uid="{00000000-0010-0000-0300-00007D3D0000}" name="Column15736" dataDxfId="667"/>
    <tableColumn id="15742" xr3:uid="{00000000-0010-0000-0300-00007E3D0000}" name="Column15737" dataDxfId="666"/>
    <tableColumn id="15743" xr3:uid="{00000000-0010-0000-0300-00007F3D0000}" name="Column15738" dataDxfId="665"/>
    <tableColumn id="15744" xr3:uid="{00000000-0010-0000-0300-0000803D0000}" name="Column15739" dataDxfId="664"/>
    <tableColumn id="15745" xr3:uid="{00000000-0010-0000-0300-0000813D0000}" name="Column15740" dataDxfId="663"/>
    <tableColumn id="15746" xr3:uid="{00000000-0010-0000-0300-0000823D0000}" name="Column15741" dataDxfId="662"/>
    <tableColumn id="15747" xr3:uid="{00000000-0010-0000-0300-0000833D0000}" name="Column15742" dataDxfId="661"/>
    <tableColumn id="15748" xr3:uid="{00000000-0010-0000-0300-0000843D0000}" name="Column15743" dataDxfId="660"/>
    <tableColumn id="15749" xr3:uid="{00000000-0010-0000-0300-0000853D0000}" name="Column15744" dataDxfId="659"/>
    <tableColumn id="15750" xr3:uid="{00000000-0010-0000-0300-0000863D0000}" name="Column15745" dataDxfId="658"/>
    <tableColumn id="15751" xr3:uid="{00000000-0010-0000-0300-0000873D0000}" name="Column15746" dataDxfId="657"/>
    <tableColumn id="15752" xr3:uid="{00000000-0010-0000-0300-0000883D0000}" name="Column15747" dataDxfId="656"/>
    <tableColumn id="15753" xr3:uid="{00000000-0010-0000-0300-0000893D0000}" name="Column15748" dataDxfId="655"/>
    <tableColumn id="15754" xr3:uid="{00000000-0010-0000-0300-00008A3D0000}" name="Column15749" dataDxfId="654"/>
    <tableColumn id="15755" xr3:uid="{00000000-0010-0000-0300-00008B3D0000}" name="Column15750" dataDxfId="653"/>
    <tableColumn id="15756" xr3:uid="{00000000-0010-0000-0300-00008C3D0000}" name="Column15751" dataDxfId="652"/>
    <tableColumn id="15757" xr3:uid="{00000000-0010-0000-0300-00008D3D0000}" name="Column15752" dataDxfId="651"/>
    <tableColumn id="15758" xr3:uid="{00000000-0010-0000-0300-00008E3D0000}" name="Column15753" dataDxfId="650"/>
    <tableColumn id="15759" xr3:uid="{00000000-0010-0000-0300-00008F3D0000}" name="Column15754" dataDxfId="649"/>
    <tableColumn id="15760" xr3:uid="{00000000-0010-0000-0300-0000903D0000}" name="Column15755" dataDxfId="648"/>
    <tableColumn id="15761" xr3:uid="{00000000-0010-0000-0300-0000913D0000}" name="Column15756" dataDxfId="647"/>
    <tableColumn id="15762" xr3:uid="{00000000-0010-0000-0300-0000923D0000}" name="Column15757" dataDxfId="646"/>
    <tableColumn id="15763" xr3:uid="{00000000-0010-0000-0300-0000933D0000}" name="Column15758" dataDxfId="645"/>
    <tableColumn id="15764" xr3:uid="{00000000-0010-0000-0300-0000943D0000}" name="Column15759" dataDxfId="644"/>
    <tableColumn id="15765" xr3:uid="{00000000-0010-0000-0300-0000953D0000}" name="Column15760" dataDxfId="643"/>
    <tableColumn id="15766" xr3:uid="{00000000-0010-0000-0300-0000963D0000}" name="Column15761" dataDxfId="642"/>
    <tableColumn id="15767" xr3:uid="{00000000-0010-0000-0300-0000973D0000}" name="Column15762" dataDxfId="641"/>
    <tableColumn id="15768" xr3:uid="{00000000-0010-0000-0300-0000983D0000}" name="Column15763" dataDxfId="640"/>
    <tableColumn id="15769" xr3:uid="{00000000-0010-0000-0300-0000993D0000}" name="Column15764" dataDxfId="639"/>
    <tableColumn id="15770" xr3:uid="{00000000-0010-0000-0300-00009A3D0000}" name="Column15765" dataDxfId="638"/>
    <tableColumn id="15771" xr3:uid="{00000000-0010-0000-0300-00009B3D0000}" name="Column15766" dataDxfId="637"/>
    <tableColumn id="15772" xr3:uid="{00000000-0010-0000-0300-00009C3D0000}" name="Column15767" dataDxfId="636"/>
    <tableColumn id="15773" xr3:uid="{00000000-0010-0000-0300-00009D3D0000}" name="Column15768" dataDxfId="635"/>
    <tableColumn id="15774" xr3:uid="{00000000-0010-0000-0300-00009E3D0000}" name="Column15769" dataDxfId="634"/>
    <tableColumn id="15775" xr3:uid="{00000000-0010-0000-0300-00009F3D0000}" name="Column15770" dataDxfId="633"/>
    <tableColumn id="15776" xr3:uid="{00000000-0010-0000-0300-0000A03D0000}" name="Column15771" dataDxfId="632"/>
    <tableColumn id="15777" xr3:uid="{00000000-0010-0000-0300-0000A13D0000}" name="Column15772" dataDxfId="631"/>
    <tableColumn id="15778" xr3:uid="{00000000-0010-0000-0300-0000A23D0000}" name="Column15773" dataDxfId="630"/>
    <tableColumn id="15779" xr3:uid="{00000000-0010-0000-0300-0000A33D0000}" name="Column15774" dataDxfId="629"/>
    <tableColumn id="15780" xr3:uid="{00000000-0010-0000-0300-0000A43D0000}" name="Column15775" dataDxfId="628"/>
    <tableColumn id="15781" xr3:uid="{00000000-0010-0000-0300-0000A53D0000}" name="Column15776" dataDxfId="627"/>
    <tableColumn id="15782" xr3:uid="{00000000-0010-0000-0300-0000A63D0000}" name="Column15777" dataDxfId="626"/>
    <tableColumn id="15783" xr3:uid="{00000000-0010-0000-0300-0000A73D0000}" name="Column15778" dataDxfId="625"/>
    <tableColumn id="15784" xr3:uid="{00000000-0010-0000-0300-0000A83D0000}" name="Column15779" dataDxfId="624"/>
    <tableColumn id="15785" xr3:uid="{00000000-0010-0000-0300-0000A93D0000}" name="Column15780" dataDxfId="623"/>
    <tableColumn id="15786" xr3:uid="{00000000-0010-0000-0300-0000AA3D0000}" name="Column15781" dataDxfId="622"/>
    <tableColumn id="15787" xr3:uid="{00000000-0010-0000-0300-0000AB3D0000}" name="Column15782" dataDxfId="621"/>
    <tableColumn id="15788" xr3:uid="{00000000-0010-0000-0300-0000AC3D0000}" name="Column15783" dataDxfId="620"/>
    <tableColumn id="15789" xr3:uid="{00000000-0010-0000-0300-0000AD3D0000}" name="Column15784" dataDxfId="619"/>
    <tableColumn id="15790" xr3:uid="{00000000-0010-0000-0300-0000AE3D0000}" name="Column15785" dataDxfId="618"/>
    <tableColumn id="15791" xr3:uid="{00000000-0010-0000-0300-0000AF3D0000}" name="Column15786" dataDxfId="617"/>
    <tableColumn id="15792" xr3:uid="{00000000-0010-0000-0300-0000B03D0000}" name="Column15787" dataDxfId="616"/>
    <tableColumn id="15793" xr3:uid="{00000000-0010-0000-0300-0000B13D0000}" name="Column15788" dataDxfId="615"/>
    <tableColumn id="15794" xr3:uid="{00000000-0010-0000-0300-0000B23D0000}" name="Column15789" dataDxfId="614"/>
    <tableColumn id="15795" xr3:uid="{00000000-0010-0000-0300-0000B33D0000}" name="Column15790" dataDxfId="613"/>
    <tableColumn id="15796" xr3:uid="{00000000-0010-0000-0300-0000B43D0000}" name="Column15791" dataDxfId="612"/>
    <tableColumn id="15797" xr3:uid="{00000000-0010-0000-0300-0000B53D0000}" name="Column15792" dataDxfId="611"/>
    <tableColumn id="15798" xr3:uid="{00000000-0010-0000-0300-0000B63D0000}" name="Column15793" dataDxfId="610"/>
    <tableColumn id="15799" xr3:uid="{00000000-0010-0000-0300-0000B73D0000}" name="Column15794" dataDxfId="609"/>
    <tableColumn id="15800" xr3:uid="{00000000-0010-0000-0300-0000B83D0000}" name="Column15795" dataDxfId="608"/>
    <tableColumn id="15801" xr3:uid="{00000000-0010-0000-0300-0000B93D0000}" name="Column15796" dataDxfId="607"/>
    <tableColumn id="15802" xr3:uid="{00000000-0010-0000-0300-0000BA3D0000}" name="Column15797" dataDxfId="606"/>
    <tableColumn id="15803" xr3:uid="{00000000-0010-0000-0300-0000BB3D0000}" name="Column15798" dataDxfId="605"/>
    <tableColumn id="15804" xr3:uid="{00000000-0010-0000-0300-0000BC3D0000}" name="Column15799" dataDxfId="604"/>
    <tableColumn id="15805" xr3:uid="{00000000-0010-0000-0300-0000BD3D0000}" name="Column15800" dataDxfId="603"/>
    <tableColumn id="15806" xr3:uid="{00000000-0010-0000-0300-0000BE3D0000}" name="Column15801" dataDxfId="602"/>
    <tableColumn id="15807" xr3:uid="{00000000-0010-0000-0300-0000BF3D0000}" name="Column15802" dataDxfId="601"/>
    <tableColumn id="15808" xr3:uid="{00000000-0010-0000-0300-0000C03D0000}" name="Column15803" dataDxfId="600"/>
    <tableColumn id="15809" xr3:uid="{00000000-0010-0000-0300-0000C13D0000}" name="Column15804" dataDxfId="599"/>
    <tableColumn id="15810" xr3:uid="{00000000-0010-0000-0300-0000C23D0000}" name="Column15805" dataDxfId="598"/>
    <tableColumn id="15811" xr3:uid="{00000000-0010-0000-0300-0000C33D0000}" name="Column15806" dataDxfId="597"/>
    <tableColumn id="15812" xr3:uid="{00000000-0010-0000-0300-0000C43D0000}" name="Column15807" dataDxfId="596"/>
    <tableColumn id="15813" xr3:uid="{00000000-0010-0000-0300-0000C53D0000}" name="Column15808" dataDxfId="595"/>
    <tableColumn id="15814" xr3:uid="{00000000-0010-0000-0300-0000C63D0000}" name="Column15809" dataDxfId="594"/>
    <tableColumn id="15815" xr3:uid="{00000000-0010-0000-0300-0000C73D0000}" name="Column15810" dataDxfId="593"/>
    <tableColumn id="15816" xr3:uid="{00000000-0010-0000-0300-0000C83D0000}" name="Column15811" dataDxfId="592"/>
    <tableColumn id="15817" xr3:uid="{00000000-0010-0000-0300-0000C93D0000}" name="Column15812" dataDxfId="591"/>
    <tableColumn id="15818" xr3:uid="{00000000-0010-0000-0300-0000CA3D0000}" name="Column15813" dataDxfId="590"/>
    <tableColumn id="15819" xr3:uid="{00000000-0010-0000-0300-0000CB3D0000}" name="Column15814" dataDxfId="589"/>
    <tableColumn id="15820" xr3:uid="{00000000-0010-0000-0300-0000CC3D0000}" name="Column15815" dataDxfId="588"/>
    <tableColumn id="15821" xr3:uid="{00000000-0010-0000-0300-0000CD3D0000}" name="Column15816" dataDxfId="587"/>
    <tableColumn id="15822" xr3:uid="{00000000-0010-0000-0300-0000CE3D0000}" name="Column15817" dataDxfId="586"/>
    <tableColumn id="15823" xr3:uid="{00000000-0010-0000-0300-0000CF3D0000}" name="Column15818" dataDxfId="585"/>
    <tableColumn id="15824" xr3:uid="{00000000-0010-0000-0300-0000D03D0000}" name="Column15819" dataDxfId="584"/>
    <tableColumn id="15825" xr3:uid="{00000000-0010-0000-0300-0000D13D0000}" name="Column15820" dataDxfId="583"/>
    <tableColumn id="15826" xr3:uid="{00000000-0010-0000-0300-0000D23D0000}" name="Column15821" dataDxfId="582"/>
    <tableColumn id="15827" xr3:uid="{00000000-0010-0000-0300-0000D33D0000}" name="Column15822" dataDxfId="581"/>
    <tableColumn id="15828" xr3:uid="{00000000-0010-0000-0300-0000D43D0000}" name="Column15823" dataDxfId="580"/>
    <tableColumn id="15829" xr3:uid="{00000000-0010-0000-0300-0000D53D0000}" name="Column15824" dataDxfId="579"/>
    <tableColumn id="15830" xr3:uid="{00000000-0010-0000-0300-0000D63D0000}" name="Column15825" dataDxfId="578"/>
    <tableColumn id="15831" xr3:uid="{00000000-0010-0000-0300-0000D73D0000}" name="Column15826" dataDxfId="577"/>
    <tableColumn id="15832" xr3:uid="{00000000-0010-0000-0300-0000D83D0000}" name="Column15827" dataDxfId="576"/>
    <tableColumn id="15833" xr3:uid="{00000000-0010-0000-0300-0000D93D0000}" name="Column15828" dataDxfId="575"/>
    <tableColumn id="15834" xr3:uid="{00000000-0010-0000-0300-0000DA3D0000}" name="Column15829" dataDxfId="574"/>
    <tableColumn id="15835" xr3:uid="{00000000-0010-0000-0300-0000DB3D0000}" name="Column15830" dataDxfId="573"/>
    <tableColumn id="15836" xr3:uid="{00000000-0010-0000-0300-0000DC3D0000}" name="Column15831" dataDxfId="572"/>
    <tableColumn id="15837" xr3:uid="{00000000-0010-0000-0300-0000DD3D0000}" name="Column15832" dataDxfId="571"/>
    <tableColumn id="15838" xr3:uid="{00000000-0010-0000-0300-0000DE3D0000}" name="Column15833" dataDxfId="570"/>
    <tableColumn id="15839" xr3:uid="{00000000-0010-0000-0300-0000DF3D0000}" name="Column15834" dataDxfId="569"/>
    <tableColumn id="15840" xr3:uid="{00000000-0010-0000-0300-0000E03D0000}" name="Column15835" dataDxfId="568"/>
    <tableColumn id="15841" xr3:uid="{00000000-0010-0000-0300-0000E13D0000}" name="Column15836" dataDxfId="567"/>
    <tableColumn id="15842" xr3:uid="{00000000-0010-0000-0300-0000E23D0000}" name="Column15837" dataDxfId="566"/>
    <tableColumn id="15843" xr3:uid="{00000000-0010-0000-0300-0000E33D0000}" name="Column15838" dataDxfId="565"/>
    <tableColumn id="15844" xr3:uid="{00000000-0010-0000-0300-0000E43D0000}" name="Column15839" dataDxfId="564"/>
    <tableColumn id="15845" xr3:uid="{00000000-0010-0000-0300-0000E53D0000}" name="Column15840" dataDxfId="563"/>
    <tableColumn id="15846" xr3:uid="{00000000-0010-0000-0300-0000E63D0000}" name="Column15841" dataDxfId="562"/>
    <tableColumn id="15847" xr3:uid="{00000000-0010-0000-0300-0000E73D0000}" name="Column15842" dataDxfId="561"/>
    <tableColumn id="15848" xr3:uid="{00000000-0010-0000-0300-0000E83D0000}" name="Column15843" dataDxfId="560"/>
    <tableColumn id="15849" xr3:uid="{00000000-0010-0000-0300-0000E93D0000}" name="Column15844" dataDxfId="559"/>
    <tableColumn id="15850" xr3:uid="{00000000-0010-0000-0300-0000EA3D0000}" name="Column15845" dataDxfId="558"/>
    <tableColumn id="15851" xr3:uid="{00000000-0010-0000-0300-0000EB3D0000}" name="Column15846" dataDxfId="557"/>
    <tableColumn id="15852" xr3:uid="{00000000-0010-0000-0300-0000EC3D0000}" name="Column15847" dataDxfId="556"/>
    <tableColumn id="15853" xr3:uid="{00000000-0010-0000-0300-0000ED3D0000}" name="Column15848" dataDxfId="555"/>
    <tableColumn id="15854" xr3:uid="{00000000-0010-0000-0300-0000EE3D0000}" name="Column15849" dataDxfId="554"/>
    <tableColumn id="15855" xr3:uid="{00000000-0010-0000-0300-0000EF3D0000}" name="Column15850" dataDxfId="553"/>
    <tableColumn id="15856" xr3:uid="{00000000-0010-0000-0300-0000F03D0000}" name="Column15851" dataDxfId="552"/>
    <tableColumn id="15857" xr3:uid="{00000000-0010-0000-0300-0000F13D0000}" name="Column15852" dataDxfId="551"/>
    <tableColumn id="15858" xr3:uid="{00000000-0010-0000-0300-0000F23D0000}" name="Column15853" dataDxfId="550"/>
    <tableColumn id="15859" xr3:uid="{00000000-0010-0000-0300-0000F33D0000}" name="Column15854" dataDxfId="549"/>
    <tableColumn id="15860" xr3:uid="{00000000-0010-0000-0300-0000F43D0000}" name="Column15855" dataDxfId="548"/>
    <tableColumn id="15861" xr3:uid="{00000000-0010-0000-0300-0000F53D0000}" name="Column15856" dataDxfId="547"/>
    <tableColumn id="15862" xr3:uid="{00000000-0010-0000-0300-0000F63D0000}" name="Column15857" dataDxfId="546"/>
    <tableColumn id="15863" xr3:uid="{00000000-0010-0000-0300-0000F73D0000}" name="Column15858" dataDxfId="545"/>
    <tableColumn id="15864" xr3:uid="{00000000-0010-0000-0300-0000F83D0000}" name="Column15859" dataDxfId="544"/>
    <tableColumn id="15865" xr3:uid="{00000000-0010-0000-0300-0000F93D0000}" name="Column15860" dataDxfId="543"/>
    <tableColumn id="15866" xr3:uid="{00000000-0010-0000-0300-0000FA3D0000}" name="Column15861" dataDxfId="542"/>
    <tableColumn id="15867" xr3:uid="{00000000-0010-0000-0300-0000FB3D0000}" name="Column15862" dataDxfId="541"/>
    <tableColumn id="15868" xr3:uid="{00000000-0010-0000-0300-0000FC3D0000}" name="Column15863" dataDxfId="540"/>
    <tableColumn id="15869" xr3:uid="{00000000-0010-0000-0300-0000FD3D0000}" name="Column15864" dataDxfId="539"/>
    <tableColumn id="15870" xr3:uid="{00000000-0010-0000-0300-0000FE3D0000}" name="Column15865" dataDxfId="538"/>
    <tableColumn id="15871" xr3:uid="{00000000-0010-0000-0300-0000FF3D0000}" name="Column15866" dataDxfId="537"/>
    <tableColumn id="15872" xr3:uid="{00000000-0010-0000-0300-0000003E0000}" name="Column15867" dataDxfId="536"/>
    <tableColumn id="15873" xr3:uid="{00000000-0010-0000-0300-0000013E0000}" name="Column15868" dataDxfId="535"/>
    <tableColumn id="15874" xr3:uid="{00000000-0010-0000-0300-0000023E0000}" name="Column15869" dataDxfId="534"/>
    <tableColumn id="15875" xr3:uid="{00000000-0010-0000-0300-0000033E0000}" name="Column15870" dataDxfId="533"/>
    <tableColumn id="15876" xr3:uid="{00000000-0010-0000-0300-0000043E0000}" name="Column15871" dataDxfId="532"/>
    <tableColumn id="15877" xr3:uid="{00000000-0010-0000-0300-0000053E0000}" name="Column15872" dataDxfId="531"/>
    <tableColumn id="15878" xr3:uid="{00000000-0010-0000-0300-0000063E0000}" name="Column15873" dataDxfId="530"/>
    <tableColumn id="15879" xr3:uid="{00000000-0010-0000-0300-0000073E0000}" name="Column15874" dataDxfId="529"/>
    <tableColumn id="15880" xr3:uid="{00000000-0010-0000-0300-0000083E0000}" name="Column15875" dataDxfId="528"/>
    <tableColumn id="15881" xr3:uid="{00000000-0010-0000-0300-0000093E0000}" name="Column15876" dataDxfId="527"/>
    <tableColumn id="15882" xr3:uid="{00000000-0010-0000-0300-00000A3E0000}" name="Column15877" dataDxfId="526"/>
    <tableColumn id="15883" xr3:uid="{00000000-0010-0000-0300-00000B3E0000}" name="Column15878" dataDxfId="525"/>
    <tableColumn id="15884" xr3:uid="{00000000-0010-0000-0300-00000C3E0000}" name="Column15879" dataDxfId="524"/>
    <tableColumn id="15885" xr3:uid="{00000000-0010-0000-0300-00000D3E0000}" name="Column15880" dataDxfId="523"/>
    <tableColumn id="15886" xr3:uid="{00000000-0010-0000-0300-00000E3E0000}" name="Column15881" dataDxfId="522"/>
    <tableColumn id="15887" xr3:uid="{00000000-0010-0000-0300-00000F3E0000}" name="Column15882" dataDxfId="521"/>
    <tableColumn id="15888" xr3:uid="{00000000-0010-0000-0300-0000103E0000}" name="Column15883" dataDxfId="520"/>
    <tableColumn id="15889" xr3:uid="{00000000-0010-0000-0300-0000113E0000}" name="Column15884" dataDxfId="519"/>
    <tableColumn id="15890" xr3:uid="{00000000-0010-0000-0300-0000123E0000}" name="Column15885" dataDxfId="518"/>
    <tableColumn id="15891" xr3:uid="{00000000-0010-0000-0300-0000133E0000}" name="Column15886" dataDxfId="517"/>
    <tableColumn id="15892" xr3:uid="{00000000-0010-0000-0300-0000143E0000}" name="Column15887" dataDxfId="516"/>
    <tableColumn id="15893" xr3:uid="{00000000-0010-0000-0300-0000153E0000}" name="Column15888" dataDxfId="515"/>
    <tableColumn id="15894" xr3:uid="{00000000-0010-0000-0300-0000163E0000}" name="Column15889" dataDxfId="514"/>
    <tableColumn id="15895" xr3:uid="{00000000-0010-0000-0300-0000173E0000}" name="Column15890" dataDxfId="513"/>
    <tableColumn id="15896" xr3:uid="{00000000-0010-0000-0300-0000183E0000}" name="Column15891" dataDxfId="512"/>
    <tableColumn id="15897" xr3:uid="{00000000-0010-0000-0300-0000193E0000}" name="Column15892" dataDxfId="511"/>
    <tableColumn id="15898" xr3:uid="{00000000-0010-0000-0300-00001A3E0000}" name="Column15893" dataDxfId="510"/>
    <tableColumn id="15899" xr3:uid="{00000000-0010-0000-0300-00001B3E0000}" name="Column15894" dataDxfId="509"/>
    <tableColumn id="15900" xr3:uid="{00000000-0010-0000-0300-00001C3E0000}" name="Column15895" dataDxfId="508"/>
    <tableColumn id="15901" xr3:uid="{00000000-0010-0000-0300-00001D3E0000}" name="Column15896" dataDxfId="507"/>
    <tableColumn id="15902" xr3:uid="{00000000-0010-0000-0300-00001E3E0000}" name="Column15897" dataDxfId="506"/>
    <tableColumn id="15903" xr3:uid="{00000000-0010-0000-0300-00001F3E0000}" name="Column15898" dataDxfId="505"/>
    <tableColumn id="15904" xr3:uid="{00000000-0010-0000-0300-0000203E0000}" name="Column15899" dataDxfId="504"/>
    <tableColumn id="15905" xr3:uid="{00000000-0010-0000-0300-0000213E0000}" name="Column15900" dataDxfId="503"/>
    <tableColumn id="15906" xr3:uid="{00000000-0010-0000-0300-0000223E0000}" name="Column15901" dataDxfId="502"/>
    <tableColumn id="15907" xr3:uid="{00000000-0010-0000-0300-0000233E0000}" name="Column15902" dataDxfId="501"/>
    <tableColumn id="15908" xr3:uid="{00000000-0010-0000-0300-0000243E0000}" name="Column15903" dataDxfId="500"/>
    <tableColumn id="15909" xr3:uid="{00000000-0010-0000-0300-0000253E0000}" name="Column15904" dataDxfId="499"/>
    <tableColumn id="15910" xr3:uid="{00000000-0010-0000-0300-0000263E0000}" name="Column15905" dataDxfId="498"/>
    <tableColumn id="15911" xr3:uid="{00000000-0010-0000-0300-0000273E0000}" name="Column15906" dataDxfId="497"/>
    <tableColumn id="15912" xr3:uid="{00000000-0010-0000-0300-0000283E0000}" name="Column15907" dataDxfId="496"/>
    <tableColumn id="15913" xr3:uid="{00000000-0010-0000-0300-0000293E0000}" name="Column15908" dataDxfId="495"/>
    <tableColumn id="15914" xr3:uid="{00000000-0010-0000-0300-00002A3E0000}" name="Column15909" dataDxfId="494"/>
    <tableColumn id="15915" xr3:uid="{00000000-0010-0000-0300-00002B3E0000}" name="Column15910" dataDxfId="493"/>
    <tableColumn id="15916" xr3:uid="{00000000-0010-0000-0300-00002C3E0000}" name="Column15911" dataDxfId="492"/>
    <tableColumn id="15917" xr3:uid="{00000000-0010-0000-0300-00002D3E0000}" name="Column15912" dataDxfId="491"/>
    <tableColumn id="15918" xr3:uid="{00000000-0010-0000-0300-00002E3E0000}" name="Column15913" dataDxfId="490"/>
    <tableColumn id="15919" xr3:uid="{00000000-0010-0000-0300-00002F3E0000}" name="Column15914" dataDxfId="489"/>
    <tableColumn id="15920" xr3:uid="{00000000-0010-0000-0300-0000303E0000}" name="Column15915" dataDxfId="488"/>
    <tableColumn id="15921" xr3:uid="{00000000-0010-0000-0300-0000313E0000}" name="Column15916" dataDxfId="487"/>
    <tableColumn id="15922" xr3:uid="{00000000-0010-0000-0300-0000323E0000}" name="Column15917" dataDxfId="486"/>
    <tableColumn id="15923" xr3:uid="{00000000-0010-0000-0300-0000333E0000}" name="Column15918" dataDxfId="485"/>
    <tableColumn id="15924" xr3:uid="{00000000-0010-0000-0300-0000343E0000}" name="Column15919" dataDxfId="484"/>
    <tableColumn id="15925" xr3:uid="{00000000-0010-0000-0300-0000353E0000}" name="Column15920" dataDxfId="483"/>
    <tableColumn id="15926" xr3:uid="{00000000-0010-0000-0300-0000363E0000}" name="Column15921" dataDxfId="482"/>
    <tableColumn id="15927" xr3:uid="{00000000-0010-0000-0300-0000373E0000}" name="Column15922" dataDxfId="481"/>
    <tableColumn id="15928" xr3:uid="{00000000-0010-0000-0300-0000383E0000}" name="Column15923" dataDxfId="480"/>
    <tableColumn id="15929" xr3:uid="{00000000-0010-0000-0300-0000393E0000}" name="Column15924" dataDxfId="479"/>
    <tableColumn id="15930" xr3:uid="{00000000-0010-0000-0300-00003A3E0000}" name="Column15925" dataDxfId="478"/>
    <tableColumn id="15931" xr3:uid="{00000000-0010-0000-0300-00003B3E0000}" name="Column15926" dataDxfId="477"/>
    <tableColumn id="15932" xr3:uid="{00000000-0010-0000-0300-00003C3E0000}" name="Column15927" dataDxfId="476"/>
    <tableColumn id="15933" xr3:uid="{00000000-0010-0000-0300-00003D3E0000}" name="Column15928" dataDxfId="475"/>
    <tableColumn id="15934" xr3:uid="{00000000-0010-0000-0300-00003E3E0000}" name="Column15929" dataDxfId="474"/>
    <tableColumn id="15935" xr3:uid="{00000000-0010-0000-0300-00003F3E0000}" name="Column15930" dataDxfId="473"/>
    <tableColumn id="15936" xr3:uid="{00000000-0010-0000-0300-0000403E0000}" name="Column15931" dataDxfId="472"/>
    <tableColumn id="15937" xr3:uid="{00000000-0010-0000-0300-0000413E0000}" name="Column15932" dataDxfId="471"/>
    <tableColumn id="15938" xr3:uid="{00000000-0010-0000-0300-0000423E0000}" name="Column15933" dataDxfId="470"/>
    <tableColumn id="15939" xr3:uid="{00000000-0010-0000-0300-0000433E0000}" name="Column15934" dataDxfId="469"/>
    <tableColumn id="15940" xr3:uid="{00000000-0010-0000-0300-0000443E0000}" name="Column15935" dataDxfId="468"/>
    <tableColumn id="15941" xr3:uid="{00000000-0010-0000-0300-0000453E0000}" name="Column15936" dataDxfId="467"/>
    <tableColumn id="15942" xr3:uid="{00000000-0010-0000-0300-0000463E0000}" name="Column15937" dataDxfId="466"/>
    <tableColumn id="15943" xr3:uid="{00000000-0010-0000-0300-0000473E0000}" name="Column15938" dataDxfId="465"/>
    <tableColumn id="15944" xr3:uid="{00000000-0010-0000-0300-0000483E0000}" name="Column15939" dataDxfId="464"/>
    <tableColumn id="15945" xr3:uid="{00000000-0010-0000-0300-0000493E0000}" name="Column15940" dataDxfId="463"/>
    <tableColumn id="15946" xr3:uid="{00000000-0010-0000-0300-00004A3E0000}" name="Column15941" dataDxfId="462"/>
    <tableColumn id="15947" xr3:uid="{00000000-0010-0000-0300-00004B3E0000}" name="Column15942" dataDxfId="461"/>
    <tableColumn id="15948" xr3:uid="{00000000-0010-0000-0300-00004C3E0000}" name="Column15943" dataDxfId="460"/>
    <tableColumn id="15949" xr3:uid="{00000000-0010-0000-0300-00004D3E0000}" name="Column15944" dataDxfId="459"/>
    <tableColumn id="15950" xr3:uid="{00000000-0010-0000-0300-00004E3E0000}" name="Column15945" dataDxfId="458"/>
    <tableColumn id="15951" xr3:uid="{00000000-0010-0000-0300-00004F3E0000}" name="Column15946" dataDxfId="457"/>
    <tableColumn id="15952" xr3:uid="{00000000-0010-0000-0300-0000503E0000}" name="Column15947" dataDxfId="456"/>
    <tableColumn id="15953" xr3:uid="{00000000-0010-0000-0300-0000513E0000}" name="Column15948" dataDxfId="455"/>
    <tableColumn id="15954" xr3:uid="{00000000-0010-0000-0300-0000523E0000}" name="Column15949" dataDxfId="454"/>
    <tableColumn id="15955" xr3:uid="{00000000-0010-0000-0300-0000533E0000}" name="Column15950" dataDxfId="453"/>
    <tableColumn id="15956" xr3:uid="{00000000-0010-0000-0300-0000543E0000}" name="Column15951" dataDxfId="452"/>
    <tableColumn id="15957" xr3:uid="{00000000-0010-0000-0300-0000553E0000}" name="Column15952" dataDxfId="451"/>
    <tableColumn id="15958" xr3:uid="{00000000-0010-0000-0300-0000563E0000}" name="Column15953" dataDxfId="450"/>
    <tableColumn id="15959" xr3:uid="{00000000-0010-0000-0300-0000573E0000}" name="Column15954" dataDxfId="449"/>
    <tableColumn id="15960" xr3:uid="{00000000-0010-0000-0300-0000583E0000}" name="Column15955" dataDxfId="448"/>
    <tableColumn id="15961" xr3:uid="{00000000-0010-0000-0300-0000593E0000}" name="Column15956" dataDxfId="447"/>
    <tableColumn id="15962" xr3:uid="{00000000-0010-0000-0300-00005A3E0000}" name="Column15957" dataDxfId="446"/>
    <tableColumn id="15963" xr3:uid="{00000000-0010-0000-0300-00005B3E0000}" name="Column15958" dataDxfId="445"/>
    <tableColumn id="15964" xr3:uid="{00000000-0010-0000-0300-00005C3E0000}" name="Column15959" dataDxfId="444"/>
    <tableColumn id="15965" xr3:uid="{00000000-0010-0000-0300-00005D3E0000}" name="Column15960" dataDxfId="443"/>
    <tableColumn id="15966" xr3:uid="{00000000-0010-0000-0300-00005E3E0000}" name="Column15961" dataDxfId="442"/>
    <tableColumn id="15967" xr3:uid="{00000000-0010-0000-0300-00005F3E0000}" name="Column15962" dataDxfId="441"/>
    <tableColumn id="15968" xr3:uid="{00000000-0010-0000-0300-0000603E0000}" name="Column15963" dataDxfId="440"/>
    <tableColumn id="15969" xr3:uid="{00000000-0010-0000-0300-0000613E0000}" name="Column15964" dataDxfId="439"/>
    <tableColumn id="15970" xr3:uid="{00000000-0010-0000-0300-0000623E0000}" name="Column15965" dataDxfId="438"/>
    <tableColumn id="15971" xr3:uid="{00000000-0010-0000-0300-0000633E0000}" name="Column15966" dataDxfId="437"/>
    <tableColumn id="15972" xr3:uid="{00000000-0010-0000-0300-0000643E0000}" name="Column15967" dataDxfId="436"/>
    <tableColumn id="15973" xr3:uid="{00000000-0010-0000-0300-0000653E0000}" name="Column15968" dataDxfId="435"/>
    <tableColumn id="15974" xr3:uid="{00000000-0010-0000-0300-0000663E0000}" name="Column15969" dataDxfId="434"/>
    <tableColumn id="15975" xr3:uid="{00000000-0010-0000-0300-0000673E0000}" name="Column15970" dataDxfId="433"/>
    <tableColumn id="15976" xr3:uid="{00000000-0010-0000-0300-0000683E0000}" name="Column15971" dataDxfId="432"/>
    <tableColumn id="15977" xr3:uid="{00000000-0010-0000-0300-0000693E0000}" name="Column15972" dataDxfId="431"/>
    <tableColumn id="15978" xr3:uid="{00000000-0010-0000-0300-00006A3E0000}" name="Column15973" dataDxfId="430"/>
    <tableColumn id="15979" xr3:uid="{00000000-0010-0000-0300-00006B3E0000}" name="Column15974" dataDxfId="429"/>
    <tableColumn id="15980" xr3:uid="{00000000-0010-0000-0300-00006C3E0000}" name="Column15975" dataDxfId="428"/>
    <tableColumn id="15981" xr3:uid="{00000000-0010-0000-0300-00006D3E0000}" name="Column15976" dataDxfId="427"/>
    <tableColumn id="15982" xr3:uid="{00000000-0010-0000-0300-00006E3E0000}" name="Column15977" dataDxfId="426"/>
    <tableColumn id="15983" xr3:uid="{00000000-0010-0000-0300-00006F3E0000}" name="Column15978" dataDxfId="425"/>
    <tableColumn id="15984" xr3:uid="{00000000-0010-0000-0300-0000703E0000}" name="Column15979" dataDxfId="424"/>
    <tableColumn id="15985" xr3:uid="{00000000-0010-0000-0300-0000713E0000}" name="Column15980" dataDxfId="423"/>
    <tableColumn id="15986" xr3:uid="{00000000-0010-0000-0300-0000723E0000}" name="Column15981" dataDxfId="422"/>
    <tableColumn id="15987" xr3:uid="{00000000-0010-0000-0300-0000733E0000}" name="Column15982" dataDxfId="421"/>
    <tableColumn id="15988" xr3:uid="{00000000-0010-0000-0300-0000743E0000}" name="Column15983" dataDxfId="420"/>
    <tableColumn id="15989" xr3:uid="{00000000-0010-0000-0300-0000753E0000}" name="Column15984" dataDxfId="419"/>
    <tableColumn id="15990" xr3:uid="{00000000-0010-0000-0300-0000763E0000}" name="Column15985" dataDxfId="418"/>
    <tableColumn id="15991" xr3:uid="{00000000-0010-0000-0300-0000773E0000}" name="Column15986" dataDxfId="417"/>
    <tableColumn id="15992" xr3:uid="{00000000-0010-0000-0300-0000783E0000}" name="Column15987" dataDxfId="416"/>
    <tableColumn id="15993" xr3:uid="{00000000-0010-0000-0300-0000793E0000}" name="Column15988" dataDxfId="415"/>
    <tableColumn id="15994" xr3:uid="{00000000-0010-0000-0300-00007A3E0000}" name="Column15989" dataDxfId="414"/>
    <tableColumn id="15995" xr3:uid="{00000000-0010-0000-0300-00007B3E0000}" name="Column15990" dataDxfId="413"/>
    <tableColumn id="15996" xr3:uid="{00000000-0010-0000-0300-00007C3E0000}" name="Column15991" dataDxfId="412"/>
    <tableColumn id="15997" xr3:uid="{00000000-0010-0000-0300-00007D3E0000}" name="Column15992" dataDxfId="411"/>
    <tableColumn id="15998" xr3:uid="{00000000-0010-0000-0300-00007E3E0000}" name="Column15993" dataDxfId="410"/>
    <tableColumn id="15999" xr3:uid="{00000000-0010-0000-0300-00007F3E0000}" name="Column15994" dataDxfId="409"/>
    <tableColumn id="16000" xr3:uid="{00000000-0010-0000-0300-0000803E0000}" name="Column15995" dataDxfId="408"/>
    <tableColumn id="16001" xr3:uid="{00000000-0010-0000-0300-0000813E0000}" name="Column15996" dataDxfId="407"/>
    <tableColumn id="16002" xr3:uid="{00000000-0010-0000-0300-0000823E0000}" name="Column15997" dataDxfId="406"/>
    <tableColumn id="16003" xr3:uid="{00000000-0010-0000-0300-0000833E0000}" name="Column15998" dataDxfId="405"/>
    <tableColumn id="16004" xr3:uid="{00000000-0010-0000-0300-0000843E0000}" name="Column15999" dataDxfId="404"/>
    <tableColumn id="16005" xr3:uid="{00000000-0010-0000-0300-0000853E0000}" name="Column16000" dataDxfId="403"/>
    <tableColumn id="16006" xr3:uid="{00000000-0010-0000-0300-0000863E0000}" name="Column16001" dataDxfId="402"/>
    <tableColumn id="16007" xr3:uid="{00000000-0010-0000-0300-0000873E0000}" name="Column16002" dataDxfId="401"/>
    <tableColumn id="16008" xr3:uid="{00000000-0010-0000-0300-0000883E0000}" name="Column16003" dataDxfId="400"/>
    <tableColumn id="16009" xr3:uid="{00000000-0010-0000-0300-0000893E0000}" name="Column16004" dataDxfId="399"/>
    <tableColumn id="16010" xr3:uid="{00000000-0010-0000-0300-00008A3E0000}" name="Column16005" dataDxfId="398"/>
    <tableColumn id="16011" xr3:uid="{00000000-0010-0000-0300-00008B3E0000}" name="Column16006" dataDxfId="397"/>
    <tableColumn id="16012" xr3:uid="{00000000-0010-0000-0300-00008C3E0000}" name="Column16007" dataDxfId="396"/>
    <tableColumn id="16013" xr3:uid="{00000000-0010-0000-0300-00008D3E0000}" name="Column16008" dataDxfId="395"/>
    <tableColumn id="16014" xr3:uid="{00000000-0010-0000-0300-00008E3E0000}" name="Column16009" dataDxfId="394"/>
    <tableColumn id="16015" xr3:uid="{00000000-0010-0000-0300-00008F3E0000}" name="Column16010" dataDxfId="393"/>
    <tableColumn id="16016" xr3:uid="{00000000-0010-0000-0300-0000903E0000}" name="Column16011" dataDxfId="392"/>
    <tableColumn id="16017" xr3:uid="{00000000-0010-0000-0300-0000913E0000}" name="Column16012" dataDxfId="391"/>
    <tableColumn id="16018" xr3:uid="{00000000-0010-0000-0300-0000923E0000}" name="Column16013" dataDxfId="390"/>
    <tableColumn id="16019" xr3:uid="{00000000-0010-0000-0300-0000933E0000}" name="Column16014" dataDxfId="389"/>
    <tableColumn id="16020" xr3:uid="{00000000-0010-0000-0300-0000943E0000}" name="Column16015" dataDxfId="388"/>
    <tableColumn id="16021" xr3:uid="{00000000-0010-0000-0300-0000953E0000}" name="Column16016" dataDxfId="387"/>
    <tableColumn id="16022" xr3:uid="{00000000-0010-0000-0300-0000963E0000}" name="Column16017" dataDxfId="386"/>
    <tableColumn id="16023" xr3:uid="{00000000-0010-0000-0300-0000973E0000}" name="Column16018" dataDxfId="385"/>
    <tableColumn id="16024" xr3:uid="{00000000-0010-0000-0300-0000983E0000}" name="Column16019" dataDxfId="384"/>
    <tableColumn id="16025" xr3:uid="{00000000-0010-0000-0300-0000993E0000}" name="Column16020" dataDxfId="383"/>
    <tableColumn id="16026" xr3:uid="{00000000-0010-0000-0300-00009A3E0000}" name="Column16021" dataDxfId="382"/>
    <tableColumn id="16027" xr3:uid="{00000000-0010-0000-0300-00009B3E0000}" name="Column16022" dataDxfId="381"/>
    <tableColumn id="16028" xr3:uid="{00000000-0010-0000-0300-00009C3E0000}" name="Column16023" dataDxfId="380"/>
    <tableColumn id="16029" xr3:uid="{00000000-0010-0000-0300-00009D3E0000}" name="Column16024" dataDxfId="379"/>
    <tableColumn id="16030" xr3:uid="{00000000-0010-0000-0300-00009E3E0000}" name="Column16025" dataDxfId="378"/>
    <tableColumn id="16031" xr3:uid="{00000000-0010-0000-0300-00009F3E0000}" name="Column16026" dataDxfId="377"/>
    <tableColumn id="16032" xr3:uid="{00000000-0010-0000-0300-0000A03E0000}" name="Column16027" dataDxfId="376"/>
    <tableColumn id="16033" xr3:uid="{00000000-0010-0000-0300-0000A13E0000}" name="Column16028" dataDxfId="375"/>
    <tableColumn id="16034" xr3:uid="{00000000-0010-0000-0300-0000A23E0000}" name="Column16029" dataDxfId="374"/>
    <tableColumn id="16035" xr3:uid="{00000000-0010-0000-0300-0000A33E0000}" name="Column16030" dataDxfId="373"/>
    <tableColumn id="16036" xr3:uid="{00000000-0010-0000-0300-0000A43E0000}" name="Column16031" dataDxfId="372"/>
    <tableColumn id="16037" xr3:uid="{00000000-0010-0000-0300-0000A53E0000}" name="Column16032" dataDxfId="371"/>
    <tableColumn id="16038" xr3:uid="{00000000-0010-0000-0300-0000A63E0000}" name="Column16033" dataDxfId="370"/>
    <tableColumn id="16039" xr3:uid="{00000000-0010-0000-0300-0000A73E0000}" name="Column16034" dataDxfId="369"/>
    <tableColumn id="16040" xr3:uid="{00000000-0010-0000-0300-0000A83E0000}" name="Column16035" dataDxfId="368"/>
    <tableColumn id="16041" xr3:uid="{00000000-0010-0000-0300-0000A93E0000}" name="Column16036" dataDxfId="367"/>
    <tableColumn id="16042" xr3:uid="{00000000-0010-0000-0300-0000AA3E0000}" name="Column16037" dataDxfId="366"/>
    <tableColumn id="16043" xr3:uid="{00000000-0010-0000-0300-0000AB3E0000}" name="Column16038" dataDxfId="365"/>
    <tableColumn id="16044" xr3:uid="{00000000-0010-0000-0300-0000AC3E0000}" name="Column16039" dataDxfId="364"/>
    <tableColumn id="16045" xr3:uid="{00000000-0010-0000-0300-0000AD3E0000}" name="Column16040" dataDxfId="363"/>
    <tableColumn id="16046" xr3:uid="{00000000-0010-0000-0300-0000AE3E0000}" name="Column16041" dataDxfId="362"/>
    <tableColumn id="16047" xr3:uid="{00000000-0010-0000-0300-0000AF3E0000}" name="Column16042" dataDxfId="361"/>
    <tableColumn id="16048" xr3:uid="{00000000-0010-0000-0300-0000B03E0000}" name="Column16043" dataDxfId="360"/>
    <tableColumn id="16049" xr3:uid="{00000000-0010-0000-0300-0000B13E0000}" name="Column16044" dataDxfId="359"/>
    <tableColumn id="16050" xr3:uid="{00000000-0010-0000-0300-0000B23E0000}" name="Column16045" dataDxfId="358"/>
    <tableColumn id="16051" xr3:uid="{00000000-0010-0000-0300-0000B33E0000}" name="Column16046" dataDxfId="357"/>
    <tableColumn id="16052" xr3:uid="{00000000-0010-0000-0300-0000B43E0000}" name="Column16047" dataDxfId="356"/>
    <tableColumn id="16053" xr3:uid="{00000000-0010-0000-0300-0000B53E0000}" name="Column16048" dataDxfId="355"/>
    <tableColumn id="16054" xr3:uid="{00000000-0010-0000-0300-0000B63E0000}" name="Column16049" dataDxfId="354"/>
    <tableColumn id="16055" xr3:uid="{00000000-0010-0000-0300-0000B73E0000}" name="Column16050" dataDxfId="353"/>
    <tableColumn id="16056" xr3:uid="{00000000-0010-0000-0300-0000B83E0000}" name="Column16051" dataDxfId="352"/>
    <tableColumn id="16057" xr3:uid="{00000000-0010-0000-0300-0000B93E0000}" name="Column16052" dataDxfId="351"/>
    <tableColumn id="16058" xr3:uid="{00000000-0010-0000-0300-0000BA3E0000}" name="Column16053" dataDxfId="350"/>
    <tableColumn id="16059" xr3:uid="{00000000-0010-0000-0300-0000BB3E0000}" name="Column16054" dataDxfId="349"/>
    <tableColumn id="16060" xr3:uid="{00000000-0010-0000-0300-0000BC3E0000}" name="Column16055" dataDxfId="348"/>
    <tableColumn id="16061" xr3:uid="{00000000-0010-0000-0300-0000BD3E0000}" name="Column16056" dataDxfId="347"/>
    <tableColumn id="16062" xr3:uid="{00000000-0010-0000-0300-0000BE3E0000}" name="Column16057" dataDxfId="346"/>
    <tableColumn id="16063" xr3:uid="{00000000-0010-0000-0300-0000BF3E0000}" name="Column16058" dataDxfId="345"/>
    <tableColumn id="16064" xr3:uid="{00000000-0010-0000-0300-0000C03E0000}" name="Column16059" dataDxfId="344"/>
    <tableColumn id="16065" xr3:uid="{00000000-0010-0000-0300-0000C13E0000}" name="Column16060" dataDxfId="343"/>
    <tableColumn id="16066" xr3:uid="{00000000-0010-0000-0300-0000C23E0000}" name="Column16061" dataDxfId="342"/>
    <tableColumn id="16067" xr3:uid="{00000000-0010-0000-0300-0000C33E0000}" name="Column16062" dataDxfId="341"/>
    <tableColumn id="16068" xr3:uid="{00000000-0010-0000-0300-0000C43E0000}" name="Column16063" dataDxfId="340"/>
    <tableColumn id="16069" xr3:uid="{00000000-0010-0000-0300-0000C53E0000}" name="Column16064" dataDxfId="339"/>
    <tableColumn id="16070" xr3:uid="{00000000-0010-0000-0300-0000C63E0000}" name="Column16065" dataDxfId="338"/>
    <tableColumn id="16071" xr3:uid="{00000000-0010-0000-0300-0000C73E0000}" name="Column16066" dataDxfId="337"/>
    <tableColumn id="16072" xr3:uid="{00000000-0010-0000-0300-0000C83E0000}" name="Column16067" dataDxfId="336"/>
    <tableColumn id="16073" xr3:uid="{00000000-0010-0000-0300-0000C93E0000}" name="Column16068" dataDxfId="335"/>
    <tableColumn id="16074" xr3:uid="{00000000-0010-0000-0300-0000CA3E0000}" name="Column16069" dataDxfId="334"/>
    <tableColumn id="16075" xr3:uid="{00000000-0010-0000-0300-0000CB3E0000}" name="Column16070" dataDxfId="333"/>
    <tableColumn id="16076" xr3:uid="{00000000-0010-0000-0300-0000CC3E0000}" name="Column16071" dataDxfId="332"/>
    <tableColumn id="16077" xr3:uid="{00000000-0010-0000-0300-0000CD3E0000}" name="Column16072" dataDxfId="331"/>
    <tableColumn id="16078" xr3:uid="{00000000-0010-0000-0300-0000CE3E0000}" name="Column16073" dataDxfId="330"/>
    <tableColumn id="16079" xr3:uid="{00000000-0010-0000-0300-0000CF3E0000}" name="Column16074" dataDxfId="329"/>
    <tableColumn id="16080" xr3:uid="{00000000-0010-0000-0300-0000D03E0000}" name="Column16075" dataDxfId="328"/>
    <tableColumn id="16081" xr3:uid="{00000000-0010-0000-0300-0000D13E0000}" name="Column16076" dataDxfId="327"/>
    <tableColumn id="16082" xr3:uid="{00000000-0010-0000-0300-0000D23E0000}" name="Column16077" dataDxfId="326"/>
    <tableColumn id="16083" xr3:uid="{00000000-0010-0000-0300-0000D33E0000}" name="Column16078" dataDxfId="325"/>
    <tableColumn id="16084" xr3:uid="{00000000-0010-0000-0300-0000D43E0000}" name="Column16079" dataDxfId="324"/>
    <tableColumn id="16085" xr3:uid="{00000000-0010-0000-0300-0000D53E0000}" name="Column16080" dataDxfId="323"/>
    <tableColumn id="16086" xr3:uid="{00000000-0010-0000-0300-0000D63E0000}" name="Column16081" dataDxfId="322"/>
    <tableColumn id="16087" xr3:uid="{00000000-0010-0000-0300-0000D73E0000}" name="Column16082" dataDxfId="321"/>
    <tableColumn id="16088" xr3:uid="{00000000-0010-0000-0300-0000D83E0000}" name="Column16083" dataDxfId="320"/>
    <tableColumn id="16089" xr3:uid="{00000000-0010-0000-0300-0000D93E0000}" name="Column16084" dataDxfId="319"/>
    <tableColumn id="16090" xr3:uid="{00000000-0010-0000-0300-0000DA3E0000}" name="Column16085" dataDxfId="318"/>
    <tableColumn id="16091" xr3:uid="{00000000-0010-0000-0300-0000DB3E0000}" name="Column16086" dataDxfId="317"/>
    <tableColumn id="16092" xr3:uid="{00000000-0010-0000-0300-0000DC3E0000}" name="Column16087" dataDxfId="316"/>
    <tableColumn id="16093" xr3:uid="{00000000-0010-0000-0300-0000DD3E0000}" name="Column16088" dataDxfId="315"/>
    <tableColumn id="16094" xr3:uid="{00000000-0010-0000-0300-0000DE3E0000}" name="Column16089" dataDxfId="314"/>
    <tableColumn id="16095" xr3:uid="{00000000-0010-0000-0300-0000DF3E0000}" name="Column16090" dataDxfId="313"/>
    <tableColumn id="16096" xr3:uid="{00000000-0010-0000-0300-0000E03E0000}" name="Column16091" dataDxfId="312"/>
    <tableColumn id="16097" xr3:uid="{00000000-0010-0000-0300-0000E13E0000}" name="Column16092" dataDxfId="311"/>
    <tableColumn id="16098" xr3:uid="{00000000-0010-0000-0300-0000E23E0000}" name="Column16093" dataDxfId="310"/>
    <tableColumn id="16099" xr3:uid="{00000000-0010-0000-0300-0000E33E0000}" name="Column16094" dataDxfId="309"/>
    <tableColumn id="16100" xr3:uid="{00000000-0010-0000-0300-0000E43E0000}" name="Column16095" dataDxfId="308"/>
    <tableColumn id="16101" xr3:uid="{00000000-0010-0000-0300-0000E53E0000}" name="Column16096" dataDxfId="307"/>
    <tableColumn id="16102" xr3:uid="{00000000-0010-0000-0300-0000E63E0000}" name="Column16097" dataDxfId="306"/>
    <tableColumn id="16103" xr3:uid="{00000000-0010-0000-0300-0000E73E0000}" name="Column16098" dataDxfId="305"/>
    <tableColumn id="16104" xr3:uid="{00000000-0010-0000-0300-0000E83E0000}" name="Column16099" dataDxfId="304"/>
    <tableColumn id="16105" xr3:uid="{00000000-0010-0000-0300-0000E93E0000}" name="Column16100" dataDxfId="303"/>
    <tableColumn id="16106" xr3:uid="{00000000-0010-0000-0300-0000EA3E0000}" name="Column16101" dataDxfId="302"/>
    <tableColumn id="16107" xr3:uid="{00000000-0010-0000-0300-0000EB3E0000}" name="Column16102" dataDxfId="301"/>
    <tableColumn id="16108" xr3:uid="{00000000-0010-0000-0300-0000EC3E0000}" name="Column16103" dataDxfId="300"/>
    <tableColumn id="16109" xr3:uid="{00000000-0010-0000-0300-0000ED3E0000}" name="Column16104" dataDxfId="299"/>
    <tableColumn id="16110" xr3:uid="{00000000-0010-0000-0300-0000EE3E0000}" name="Column16105" dataDxfId="298"/>
    <tableColumn id="16111" xr3:uid="{00000000-0010-0000-0300-0000EF3E0000}" name="Column16106" dataDxfId="297"/>
    <tableColumn id="16112" xr3:uid="{00000000-0010-0000-0300-0000F03E0000}" name="Column16107" dataDxfId="296"/>
    <tableColumn id="16113" xr3:uid="{00000000-0010-0000-0300-0000F13E0000}" name="Column16108" dataDxfId="295"/>
    <tableColumn id="16114" xr3:uid="{00000000-0010-0000-0300-0000F23E0000}" name="Column16109" dataDxfId="294"/>
    <tableColumn id="16115" xr3:uid="{00000000-0010-0000-0300-0000F33E0000}" name="Column16110" dataDxfId="293"/>
    <tableColumn id="16116" xr3:uid="{00000000-0010-0000-0300-0000F43E0000}" name="Column16111" dataDxfId="292"/>
    <tableColumn id="16117" xr3:uid="{00000000-0010-0000-0300-0000F53E0000}" name="Column16112" dataDxfId="291"/>
    <tableColumn id="16118" xr3:uid="{00000000-0010-0000-0300-0000F63E0000}" name="Column16113" dataDxfId="290"/>
    <tableColumn id="16119" xr3:uid="{00000000-0010-0000-0300-0000F73E0000}" name="Column16114" dataDxfId="289"/>
    <tableColumn id="16120" xr3:uid="{00000000-0010-0000-0300-0000F83E0000}" name="Column16115" dataDxfId="288"/>
    <tableColumn id="16121" xr3:uid="{00000000-0010-0000-0300-0000F93E0000}" name="Column16116" dataDxfId="287"/>
    <tableColumn id="16122" xr3:uid="{00000000-0010-0000-0300-0000FA3E0000}" name="Column16117" dataDxfId="286"/>
    <tableColumn id="16123" xr3:uid="{00000000-0010-0000-0300-0000FB3E0000}" name="Column16118" dataDxfId="285"/>
    <tableColumn id="16124" xr3:uid="{00000000-0010-0000-0300-0000FC3E0000}" name="Column16119" dataDxfId="284"/>
    <tableColumn id="16125" xr3:uid="{00000000-0010-0000-0300-0000FD3E0000}" name="Column16120" dataDxfId="283"/>
    <tableColumn id="16126" xr3:uid="{00000000-0010-0000-0300-0000FE3E0000}" name="Column16121" dataDxfId="282"/>
    <tableColumn id="16127" xr3:uid="{00000000-0010-0000-0300-0000FF3E0000}" name="Column16122" dataDxfId="281"/>
    <tableColumn id="16128" xr3:uid="{00000000-0010-0000-0300-0000003F0000}" name="Column16123" dataDxfId="280"/>
    <tableColumn id="16129" xr3:uid="{00000000-0010-0000-0300-0000013F0000}" name="Column16124" dataDxfId="279"/>
    <tableColumn id="16130" xr3:uid="{00000000-0010-0000-0300-0000023F0000}" name="Column16125" dataDxfId="278"/>
    <tableColumn id="16131" xr3:uid="{00000000-0010-0000-0300-0000033F0000}" name="Column16126" dataDxfId="277"/>
    <tableColumn id="16132" xr3:uid="{00000000-0010-0000-0300-0000043F0000}" name="Column16127" dataDxfId="276"/>
    <tableColumn id="16133" xr3:uid="{00000000-0010-0000-0300-0000053F0000}" name="Column16128" dataDxfId="275"/>
    <tableColumn id="16134" xr3:uid="{00000000-0010-0000-0300-0000063F0000}" name="Column16129" dataDxfId="274"/>
    <tableColumn id="16135" xr3:uid="{00000000-0010-0000-0300-0000073F0000}" name="Column16130" dataDxfId="273"/>
    <tableColumn id="16136" xr3:uid="{00000000-0010-0000-0300-0000083F0000}" name="Column16131" dataDxfId="272"/>
    <tableColumn id="16137" xr3:uid="{00000000-0010-0000-0300-0000093F0000}" name="Column16132" dataDxfId="271"/>
    <tableColumn id="16138" xr3:uid="{00000000-0010-0000-0300-00000A3F0000}" name="Column16133" dataDxfId="270"/>
    <tableColumn id="16139" xr3:uid="{00000000-0010-0000-0300-00000B3F0000}" name="Column16134" dataDxfId="269"/>
    <tableColumn id="16140" xr3:uid="{00000000-0010-0000-0300-00000C3F0000}" name="Column16135" dataDxfId="268"/>
    <tableColumn id="16141" xr3:uid="{00000000-0010-0000-0300-00000D3F0000}" name="Column16136" dataDxfId="267"/>
    <tableColumn id="16142" xr3:uid="{00000000-0010-0000-0300-00000E3F0000}" name="Column16137" dataDxfId="266"/>
    <tableColumn id="16143" xr3:uid="{00000000-0010-0000-0300-00000F3F0000}" name="Column16138" dataDxfId="265"/>
    <tableColumn id="16144" xr3:uid="{00000000-0010-0000-0300-0000103F0000}" name="Column16139" dataDxfId="264"/>
    <tableColumn id="16145" xr3:uid="{00000000-0010-0000-0300-0000113F0000}" name="Column16140" dataDxfId="263"/>
    <tableColumn id="16146" xr3:uid="{00000000-0010-0000-0300-0000123F0000}" name="Column16141" dataDxfId="262"/>
    <tableColumn id="16147" xr3:uid="{00000000-0010-0000-0300-0000133F0000}" name="Column16142" dataDxfId="261"/>
    <tableColumn id="16148" xr3:uid="{00000000-0010-0000-0300-0000143F0000}" name="Column16143" dataDxfId="260"/>
    <tableColumn id="16149" xr3:uid="{00000000-0010-0000-0300-0000153F0000}" name="Column16144" dataDxfId="259"/>
    <tableColumn id="16150" xr3:uid="{00000000-0010-0000-0300-0000163F0000}" name="Column16145" dataDxfId="258"/>
    <tableColumn id="16151" xr3:uid="{00000000-0010-0000-0300-0000173F0000}" name="Column16146" dataDxfId="257"/>
    <tableColumn id="16152" xr3:uid="{00000000-0010-0000-0300-0000183F0000}" name="Column16147" dataDxfId="256"/>
    <tableColumn id="16153" xr3:uid="{00000000-0010-0000-0300-0000193F0000}" name="Column16148" dataDxfId="255"/>
    <tableColumn id="16154" xr3:uid="{00000000-0010-0000-0300-00001A3F0000}" name="Column16149" dataDxfId="254"/>
    <tableColumn id="16155" xr3:uid="{00000000-0010-0000-0300-00001B3F0000}" name="Column16150" dataDxfId="253"/>
    <tableColumn id="16156" xr3:uid="{00000000-0010-0000-0300-00001C3F0000}" name="Column16151" dataDxfId="252"/>
    <tableColumn id="16157" xr3:uid="{00000000-0010-0000-0300-00001D3F0000}" name="Column16152" dataDxfId="251"/>
    <tableColumn id="16158" xr3:uid="{00000000-0010-0000-0300-00001E3F0000}" name="Column16153" dataDxfId="250"/>
    <tableColumn id="16159" xr3:uid="{00000000-0010-0000-0300-00001F3F0000}" name="Column16154" dataDxfId="249"/>
    <tableColumn id="16160" xr3:uid="{00000000-0010-0000-0300-0000203F0000}" name="Column16155" dataDxfId="248"/>
    <tableColumn id="16161" xr3:uid="{00000000-0010-0000-0300-0000213F0000}" name="Column16156" dataDxfId="247"/>
    <tableColumn id="16162" xr3:uid="{00000000-0010-0000-0300-0000223F0000}" name="Column16157" dataDxfId="246"/>
    <tableColumn id="16163" xr3:uid="{00000000-0010-0000-0300-0000233F0000}" name="Column16158" dataDxfId="245"/>
    <tableColumn id="16164" xr3:uid="{00000000-0010-0000-0300-0000243F0000}" name="Column16159" dataDxfId="244"/>
    <tableColumn id="16165" xr3:uid="{00000000-0010-0000-0300-0000253F0000}" name="Column16160" dataDxfId="243"/>
    <tableColumn id="16166" xr3:uid="{00000000-0010-0000-0300-0000263F0000}" name="Column16161" dataDxfId="242"/>
    <tableColumn id="16167" xr3:uid="{00000000-0010-0000-0300-0000273F0000}" name="Column16162" dataDxfId="241"/>
    <tableColumn id="16168" xr3:uid="{00000000-0010-0000-0300-0000283F0000}" name="Column16163" dataDxfId="240"/>
    <tableColumn id="16169" xr3:uid="{00000000-0010-0000-0300-0000293F0000}" name="Column16164" dataDxfId="239"/>
    <tableColumn id="16170" xr3:uid="{00000000-0010-0000-0300-00002A3F0000}" name="Column16165" dataDxfId="238"/>
    <tableColumn id="16171" xr3:uid="{00000000-0010-0000-0300-00002B3F0000}" name="Column16166" dataDxfId="237"/>
    <tableColumn id="16172" xr3:uid="{00000000-0010-0000-0300-00002C3F0000}" name="Column16167" dataDxfId="236"/>
    <tableColumn id="16173" xr3:uid="{00000000-0010-0000-0300-00002D3F0000}" name="Column16168" dataDxfId="235"/>
    <tableColumn id="16174" xr3:uid="{00000000-0010-0000-0300-00002E3F0000}" name="Column16169" dataDxfId="234"/>
    <tableColumn id="16175" xr3:uid="{00000000-0010-0000-0300-00002F3F0000}" name="Column16170" dataDxfId="233"/>
    <tableColumn id="16176" xr3:uid="{00000000-0010-0000-0300-0000303F0000}" name="Column16171" dataDxfId="232"/>
    <tableColumn id="16177" xr3:uid="{00000000-0010-0000-0300-0000313F0000}" name="Column16172" dataDxfId="231"/>
    <tableColumn id="16178" xr3:uid="{00000000-0010-0000-0300-0000323F0000}" name="Column16173" dataDxfId="230"/>
    <tableColumn id="16179" xr3:uid="{00000000-0010-0000-0300-0000333F0000}" name="Column16174" dataDxfId="229"/>
    <tableColumn id="16180" xr3:uid="{00000000-0010-0000-0300-0000343F0000}" name="Column16175" dataDxfId="228"/>
    <tableColumn id="16181" xr3:uid="{00000000-0010-0000-0300-0000353F0000}" name="Column16176" dataDxfId="227"/>
    <tableColumn id="16182" xr3:uid="{00000000-0010-0000-0300-0000363F0000}" name="Column16177" dataDxfId="226"/>
    <tableColumn id="16183" xr3:uid="{00000000-0010-0000-0300-0000373F0000}" name="Column16178" dataDxfId="225"/>
    <tableColumn id="16184" xr3:uid="{00000000-0010-0000-0300-0000383F0000}" name="Column16179" dataDxfId="224"/>
    <tableColumn id="16185" xr3:uid="{00000000-0010-0000-0300-0000393F0000}" name="Column16180" dataDxfId="223"/>
    <tableColumn id="16186" xr3:uid="{00000000-0010-0000-0300-00003A3F0000}" name="Column16181" dataDxfId="222"/>
    <tableColumn id="16187" xr3:uid="{00000000-0010-0000-0300-00003B3F0000}" name="Column16182" dataDxfId="221"/>
    <tableColumn id="16188" xr3:uid="{00000000-0010-0000-0300-00003C3F0000}" name="Column16183" dataDxfId="220"/>
    <tableColumn id="16189" xr3:uid="{00000000-0010-0000-0300-00003D3F0000}" name="Column16184" dataDxfId="219"/>
    <tableColumn id="16190" xr3:uid="{00000000-0010-0000-0300-00003E3F0000}" name="Column16185" dataDxfId="218"/>
    <tableColumn id="16191" xr3:uid="{00000000-0010-0000-0300-00003F3F0000}" name="Column16186" dataDxfId="217"/>
    <tableColumn id="16192" xr3:uid="{00000000-0010-0000-0300-0000403F0000}" name="Column16187" dataDxfId="216"/>
    <tableColumn id="16193" xr3:uid="{00000000-0010-0000-0300-0000413F0000}" name="Column16188" dataDxfId="215"/>
    <tableColumn id="16194" xr3:uid="{00000000-0010-0000-0300-0000423F0000}" name="Column16189" dataDxfId="214"/>
    <tableColumn id="16195" xr3:uid="{00000000-0010-0000-0300-0000433F0000}" name="Column16190" dataDxfId="213"/>
    <tableColumn id="16196" xr3:uid="{00000000-0010-0000-0300-0000443F0000}" name="Column16191" dataDxfId="212"/>
    <tableColumn id="16197" xr3:uid="{00000000-0010-0000-0300-0000453F0000}" name="Column16192" dataDxfId="211"/>
    <tableColumn id="16198" xr3:uid="{00000000-0010-0000-0300-0000463F0000}" name="Column16193" dataDxfId="210"/>
    <tableColumn id="16199" xr3:uid="{00000000-0010-0000-0300-0000473F0000}" name="Column16194" dataDxfId="209"/>
    <tableColumn id="16200" xr3:uid="{00000000-0010-0000-0300-0000483F0000}" name="Column16195" dataDxfId="208"/>
    <tableColumn id="16201" xr3:uid="{00000000-0010-0000-0300-0000493F0000}" name="Column16196" dataDxfId="207"/>
    <tableColumn id="16202" xr3:uid="{00000000-0010-0000-0300-00004A3F0000}" name="Column16197" dataDxfId="206"/>
    <tableColumn id="16203" xr3:uid="{00000000-0010-0000-0300-00004B3F0000}" name="Column16198" dataDxfId="205"/>
    <tableColumn id="16204" xr3:uid="{00000000-0010-0000-0300-00004C3F0000}" name="Column16199" dataDxfId="204"/>
    <tableColumn id="16205" xr3:uid="{00000000-0010-0000-0300-00004D3F0000}" name="Column16200" dataDxfId="203"/>
    <tableColumn id="16206" xr3:uid="{00000000-0010-0000-0300-00004E3F0000}" name="Column16201" dataDxfId="202"/>
    <tableColumn id="16207" xr3:uid="{00000000-0010-0000-0300-00004F3F0000}" name="Column16202" dataDxfId="201"/>
    <tableColumn id="16208" xr3:uid="{00000000-0010-0000-0300-0000503F0000}" name="Column16203" dataDxfId="200"/>
    <tableColumn id="16209" xr3:uid="{00000000-0010-0000-0300-0000513F0000}" name="Column16204" dataDxfId="199"/>
    <tableColumn id="16210" xr3:uid="{00000000-0010-0000-0300-0000523F0000}" name="Column16205" dataDxfId="198"/>
    <tableColumn id="16211" xr3:uid="{00000000-0010-0000-0300-0000533F0000}" name="Column16206" dataDxfId="197"/>
    <tableColumn id="16212" xr3:uid="{00000000-0010-0000-0300-0000543F0000}" name="Column16207" dataDxfId="196"/>
    <tableColumn id="16213" xr3:uid="{00000000-0010-0000-0300-0000553F0000}" name="Column16208" dataDxfId="195"/>
    <tableColumn id="16214" xr3:uid="{00000000-0010-0000-0300-0000563F0000}" name="Column16209" dataDxfId="194"/>
    <tableColumn id="16215" xr3:uid="{00000000-0010-0000-0300-0000573F0000}" name="Column16210" dataDxfId="193"/>
    <tableColumn id="16216" xr3:uid="{00000000-0010-0000-0300-0000583F0000}" name="Column16211" dataDxfId="192"/>
    <tableColumn id="16217" xr3:uid="{00000000-0010-0000-0300-0000593F0000}" name="Column16212" dataDxfId="191"/>
    <tableColumn id="16218" xr3:uid="{00000000-0010-0000-0300-00005A3F0000}" name="Column16213" dataDxfId="190"/>
    <tableColumn id="16219" xr3:uid="{00000000-0010-0000-0300-00005B3F0000}" name="Column16214" dataDxfId="189"/>
    <tableColumn id="16220" xr3:uid="{00000000-0010-0000-0300-00005C3F0000}" name="Column16215" dataDxfId="188"/>
    <tableColumn id="16221" xr3:uid="{00000000-0010-0000-0300-00005D3F0000}" name="Column16216" dataDxfId="187"/>
    <tableColumn id="16222" xr3:uid="{00000000-0010-0000-0300-00005E3F0000}" name="Column16217" dataDxfId="186"/>
    <tableColumn id="16223" xr3:uid="{00000000-0010-0000-0300-00005F3F0000}" name="Column16218" dataDxfId="185"/>
    <tableColumn id="16224" xr3:uid="{00000000-0010-0000-0300-0000603F0000}" name="Column16219" dataDxfId="184"/>
    <tableColumn id="16225" xr3:uid="{00000000-0010-0000-0300-0000613F0000}" name="Column16220" dataDxfId="183"/>
    <tableColumn id="16226" xr3:uid="{00000000-0010-0000-0300-0000623F0000}" name="Column16221" dataDxfId="182"/>
    <tableColumn id="16227" xr3:uid="{00000000-0010-0000-0300-0000633F0000}" name="Column16222" dataDxfId="181"/>
    <tableColumn id="16228" xr3:uid="{00000000-0010-0000-0300-0000643F0000}" name="Column16223" dataDxfId="180"/>
    <tableColumn id="16229" xr3:uid="{00000000-0010-0000-0300-0000653F0000}" name="Column16224" dataDxfId="179"/>
    <tableColumn id="16230" xr3:uid="{00000000-0010-0000-0300-0000663F0000}" name="Column16225" dataDxfId="178"/>
    <tableColumn id="16231" xr3:uid="{00000000-0010-0000-0300-0000673F0000}" name="Column16226" dataDxfId="177"/>
    <tableColumn id="16232" xr3:uid="{00000000-0010-0000-0300-0000683F0000}" name="Column16227" dataDxfId="176"/>
    <tableColumn id="16233" xr3:uid="{00000000-0010-0000-0300-0000693F0000}" name="Column16228" dataDxfId="175"/>
    <tableColumn id="16234" xr3:uid="{00000000-0010-0000-0300-00006A3F0000}" name="Column16229" dataDxfId="174"/>
    <tableColumn id="16235" xr3:uid="{00000000-0010-0000-0300-00006B3F0000}" name="Column16230" dataDxfId="173"/>
    <tableColumn id="16236" xr3:uid="{00000000-0010-0000-0300-00006C3F0000}" name="Column16231" dataDxfId="172"/>
    <tableColumn id="16237" xr3:uid="{00000000-0010-0000-0300-00006D3F0000}" name="Column16232" dataDxfId="171"/>
    <tableColumn id="16238" xr3:uid="{00000000-0010-0000-0300-00006E3F0000}" name="Column16233" dataDxfId="170"/>
    <tableColumn id="16239" xr3:uid="{00000000-0010-0000-0300-00006F3F0000}" name="Column16234" dataDxfId="169"/>
    <tableColumn id="16240" xr3:uid="{00000000-0010-0000-0300-0000703F0000}" name="Column16235" dataDxfId="168"/>
    <tableColumn id="16241" xr3:uid="{00000000-0010-0000-0300-0000713F0000}" name="Column16236" dataDxfId="167"/>
    <tableColumn id="16242" xr3:uid="{00000000-0010-0000-0300-0000723F0000}" name="Column16237" dataDxfId="166"/>
    <tableColumn id="16243" xr3:uid="{00000000-0010-0000-0300-0000733F0000}" name="Column16238" dataDxfId="165"/>
    <tableColumn id="16244" xr3:uid="{00000000-0010-0000-0300-0000743F0000}" name="Column16239" dataDxfId="164"/>
    <tableColumn id="16245" xr3:uid="{00000000-0010-0000-0300-0000753F0000}" name="Column16240" dataDxfId="163"/>
    <tableColumn id="16246" xr3:uid="{00000000-0010-0000-0300-0000763F0000}" name="Column16241" dataDxfId="162"/>
    <tableColumn id="16247" xr3:uid="{00000000-0010-0000-0300-0000773F0000}" name="Column16242" dataDxfId="161"/>
    <tableColumn id="16248" xr3:uid="{00000000-0010-0000-0300-0000783F0000}" name="Column16243" dataDxfId="160"/>
    <tableColumn id="16249" xr3:uid="{00000000-0010-0000-0300-0000793F0000}" name="Column16244" dataDxfId="159"/>
    <tableColumn id="16250" xr3:uid="{00000000-0010-0000-0300-00007A3F0000}" name="Column16245" dataDxfId="158"/>
    <tableColumn id="16251" xr3:uid="{00000000-0010-0000-0300-00007B3F0000}" name="Column16246" dataDxfId="157"/>
    <tableColumn id="16252" xr3:uid="{00000000-0010-0000-0300-00007C3F0000}" name="Column16247" dataDxfId="156"/>
    <tableColumn id="16253" xr3:uid="{00000000-0010-0000-0300-00007D3F0000}" name="Column16248" dataDxfId="155"/>
    <tableColumn id="16254" xr3:uid="{00000000-0010-0000-0300-00007E3F0000}" name="Column16249" dataDxfId="154"/>
    <tableColumn id="16255" xr3:uid="{00000000-0010-0000-0300-00007F3F0000}" name="Column16250" dataDxfId="153"/>
    <tableColumn id="16256" xr3:uid="{00000000-0010-0000-0300-0000803F0000}" name="Column16251" dataDxfId="152"/>
    <tableColumn id="16257" xr3:uid="{00000000-0010-0000-0300-0000813F0000}" name="Column16252" dataDxfId="151"/>
    <tableColumn id="16258" xr3:uid="{00000000-0010-0000-0300-0000823F0000}" name="Column16253" dataDxfId="150"/>
    <tableColumn id="16259" xr3:uid="{00000000-0010-0000-0300-0000833F0000}" name="Column16254" dataDxfId="149"/>
    <tableColumn id="16260" xr3:uid="{00000000-0010-0000-0300-0000843F0000}" name="Column16255" dataDxfId="148"/>
    <tableColumn id="16261" xr3:uid="{00000000-0010-0000-0300-0000853F0000}" name="Column16256" dataDxfId="147"/>
    <tableColumn id="16262" xr3:uid="{00000000-0010-0000-0300-0000863F0000}" name="Column16257" dataDxfId="146"/>
    <tableColumn id="16263" xr3:uid="{00000000-0010-0000-0300-0000873F0000}" name="Column16258" dataDxfId="145"/>
    <tableColumn id="16264" xr3:uid="{00000000-0010-0000-0300-0000883F0000}" name="Column16259" dataDxfId="144"/>
    <tableColumn id="16265" xr3:uid="{00000000-0010-0000-0300-0000893F0000}" name="Column16260" dataDxfId="143"/>
    <tableColumn id="16266" xr3:uid="{00000000-0010-0000-0300-00008A3F0000}" name="Column16261" dataDxfId="142"/>
    <tableColumn id="16267" xr3:uid="{00000000-0010-0000-0300-00008B3F0000}" name="Column16262" dataDxfId="141"/>
    <tableColumn id="16268" xr3:uid="{00000000-0010-0000-0300-00008C3F0000}" name="Column16263" dataDxfId="140"/>
    <tableColumn id="16269" xr3:uid="{00000000-0010-0000-0300-00008D3F0000}" name="Column16264" dataDxfId="139"/>
    <tableColumn id="16270" xr3:uid="{00000000-0010-0000-0300-00008E3F0000}" name="Column16265" dataDxfId="138"/>
    <tableColumn id="16271" xr3:uid="{00000000-0010-0000-0300-00008F3F0000}" name="Column16266" dataDxfId="137"/>
    <tableColumn id="16272" xr3:uid="{00000000-0010-0000-0300-0000903F0000}" name="Column16267" dataDxfId="136"/>
    <tableColumn id="16273" xr3:uid="{00000000-0010-0000-0300-0000913F0000}" name="Column16268" dataDxfId="135"/>
    <tableColumn id="16274" xr3:uid="{00000000-0010-0000-0300-0000923F0000}" name="Column16269" dataDxfId="134"/>
    <tableColumn id="16275" xr3:uid="{00000000-0010-0000-0300-0000933F0000}" name="Column16270" dataDxfId="133"/>
    <tableColumn id="16276" xr3:uid="{00000000-0010-0000-0300-0000943F0000}" name="Column16271" dataDxfId="132"/>
    <tableColumn id="16277" xr3:uid="{00000000-0010-0000-0300-0000953F0000}" name="Column16272" dataDxfId="131"/>
    <tableColumn id="16278" xr3:uid="{00000000-0010-0000-0300-0000963F0000}" name="Column16273" dataDxfId="130"/>
    <tableColumn id="16279" xr3:uid="{00000000-0010-0000-0300-0000973F0000}" name="Column16274" dataDxfId="129"/>
    <tableColumn id="16280" xr3:uid="{00000000-0010-0000-0300-0000983F0000}" name="Column16275" dataDxfId="128"/>
    <tableColumn id="16281" xr3:uid="{00000000-0010-0000-0300-0000993F0000}" name="Column16276" dataDxfId="127"/>
    <tableColumn id="16282" xr3:uid="{00000000-0010-0000-0300-00009A3F0000}" name="Column16277" dataDxfId="126"/>
    <tableColumn id="16283" xr3:uid="{00000000-0010-0000-0300-00009B3F0000}" name="Column16278" dataDxfId="125"/>
    <tableColumn id="16284" xr3:uid="{00000000-0010-0000-0300-00009C3F0000}" name="Column16279" dataDxfId="124"/>
    <tableColumn id="16285" xr3:uid="{00000000-0010-0000-0300-00009D3F0000}" name="Column16280" dataDxfId="123"/>
    <tableColumn id="16286" xr3:uid="{00000000-0010-0000-0300-00009E3F0000}" name="Column16281" dataDxfId="122"/>
    <tableColumn id="16287" xr3:uid="{00000000-0010-0000-0300-00009F3F0000}" name="Column16282" dataDxfId="121"/>
    <tableColumn id="16288" xr3:uid="{00000000-0010-0000-0300-0000A03F0000}" name="Column16283" dataDxfId="120"/>
    <tableColumn id="16289" xr3:uid="{00000000-0010-0000-0300-0000A13F0000}" name="Column16284" dataDxfId="119"/>
    <tableColumn id="16290" xr3:uid="{00000000-0010-0000-0300-0000A23F0000}" name="Column16285" dataDxfId="118"/>
    <tableColumn id="16291" xr3:uid="{00000000-0010-0000-0300-0000A33F0000}" name="Column16286" dataDxfId="117"/>
    <tableColumn id="16292" xr3:uid="{00000000-0010-0000-0300-0000A43F0000}" name="Column16287" dataDxfId="116"/>
    <tableColumn id="16293" xr3:uid="{00000000-0010-0000-0300-0000A53F0000}" name="Column16288" dataDxfId="115"/>
    <tableColumn id="16294" xr3:uid="{00000000-0010-0000-0300-0000A63F0000}" name="Column16289" dataDxfId="114"/>
    <tableColumn id="16295" xr3:uid="{00000000-0010-0000-0300-0000A73F0000}" name="Column16290" dataDxfId="113"/>
    <tableColumn id="16296" xr3:uid="{00000000-0010-0000-0300-0000A83F0000}" name="Column16291" dataDxfId="112"/>
    <tableColumn id="16297" xr3:uid="{00000000-0010-0000-0300-0000A93F0000}" name="Column16292" dataDxfId="111"/>
    <tableColumn id="16298" xr3:uid="{00000000-0010-0000-0300-0000AA3F0000}" name="Column16293" dataDxfId="110"/>
    <tableColumn id="16299" xr3:uid="{00000000-0010-0000-0300-0000AB3F0000}" name="Column16294" dataDxfId="109"/>
    <tableColumn id="16300" xr3:uid="{00000000-0010-0000-0300-0000AC3F0000}" name="Column16295" dataDxfId="108"/>
    <tableColumn id="16301" xr3:uid="{00000000-0010-0000-0300-0000AD3F0000}" name="Column16296" dataDxfId="107"/>
    <tableColumn id="16302" xr3:uid="{00000000-0010-0000-0300-0000AE3F0000}" name="Column16297" dataDxfId="106"/>
    <tableColumn id="16303" xr3:uid="{00000000-0010-0000-0300-0000AF3F0000}" name="Column16298" dataDxfId="105"/>
    <tableColumn id="16304" xr3:uid="{00000000-0010-0000-0300-0000B03F0000}" name="Column16299" dataDxfId="104"/>
    <tableColumn id="16305" xr3:uid="{00000000-0010-0000-0300-0000B13F0000}" name="Column16300" dataDxfId="103"/>
    <tableColumn id="16306" xr3:uid="{00000000-0010-0000-0300-0000B23F0000}" name="Column16301" dataDxfId="102"/>
    <tableColumn id="16307" xr3:uid="{00000000-0010-0000-0300-0000B33F0000}" name="Column16302" dataDxfId="101"/>
    <tableColumn id="16308" xr3:uid="{00000000-0010-0000-0300-0000B43F0000}" name="Column16303" dataDxfId="100"/>
    <tableColumn id="16309" xr3:uid="{00000000-0010-0000-0300-0000B53F0000}" name="Column16304" dataDxfId="99"/>
    <tableColumn id="16310" xr3:uid="{00000000-0010-0000-0300-0000B63F0000}" name="Column16305" dataDxfId="98"/>
    <tableColumn id="16311" xr3:uid="{00000000-0010-0000-0300-0000B73F0000}" name="Column16306" dataDxfId="97"/>
    <tableColumn id="16312" xr3:uid="{00000000-0010-0000-0300-0000B83F0000}" name="Column16307" dataDxfId="96"/>
    <tableColumn id="16313" xr3:uid="{00000000-0010-0000-0300-0000B93F0000}" name="Column16308" dataDxfId="95"/>
    <tableColumn id="16314" xr3:uid="{00000000-0010-0000-0300-0000BA3F0000}" name="Column16309" dataDxfId="94"/>
    <tableColumn id="16315" xr3:uid="{00000000-0010-0000-0300-0000BB3F0000}" name="Column16310" dataDxfId="93"/>
    <tableColumn id="16316" xr3:uid="{00000000-0010-0000-0300-0000BC3F0000}" name="Column16311" dataDxfId="92"/>
    <tableColumn id="16317" xr3:uid="{00000000-0010-0000-0300-0000BD3F0000}" name="Column16312" dataDxfId="91"/>
    <tableColumn id="16318" xr3:uid="{00000000-0010-0000-0300-0000BE3F0000}" name="Column16313" dataDxfId="90"/>
    <tableColumn id="16319" xr3:uid="{00000000-0010-0000-0300-0000BF3F0000}" name="Column16314" dataDxfId="89"/>
    <tableColumn id="16320" xr3:uid="{00000000-0010-0000-0300-0000C03F0000}" name="Column16315" dataDxfId="88"/>
    <tableColumn id="16321" xr3:uid="{00000000-0010-0000-0300-0000C13F0000}" name="Column16316" dataDxfId="87"/>
    <tableColumn id="16322" xr3:uid="{00000000-0010-0000-0300-0000C23F0000}" name="Column16317" dataDxfId="86"/>
    <tableColumn id="16323" xr3:uid="{00000000-0010-0000-0300-0000C33F0000}" name="Column16318" dataDxfId="85"/>
    <tableColumn id="16324" xr3:uid="{00000000-0010-0000-0300-0000C43F0000}" name="Column16319" dataDxfId="84"/>
    <tableColumn id="16325" xr3:uid="{00000000-0010-0000-0300-0000C53F0000}" name="Column16320" dataDxfId="83"/>
    <tableColumn id="16326" xr3:uid="{00000000-0010-0000-0300-0000C63F0000}" name="Column16321" dataDxfId="82"/>
    <tableColumn id="16327" xr3:uid="{00000000-0010-0000-0300-0000C73F0000}" name="Column16322" dataDxfId="81"/>
    <tableColumn id="16328" xr3:uid="{00000000-0010-0000-0300-0000C83F0000}" name="Column16323" dataDxfId="80"/>
    <tableColumn id="16329" xr3:uid="{00000000-0010-0000-0300-0000C93F0000}" name="Column16324" dataDxfId="79"/>
    <tableColumn id="16330" xr3:uid="{00000000-0010-0000-0300-0000CA3F0000}" name="Column16325" dataDxfId="78"/>
    <tableColumn id="16331" xr3:uid="{00000000-0010-0000-0300-0000CB3F0000}" name="Column16326" dataDxfId="77"/>
    <tableColumn id="16332" xr3:uid="{00000000-0010-0000-0300-0000CC3F0000}" name="Column16327" dataDxfId="76"/>
    <tableColumn id="16333" xr3:uid="{00000000-0010-0000-0300-0000CD3F0000}" name="Column16328" dataDxfId="75"/>
    <tableColumn id="16334" xr3:uid="{00000000-0010-0000-0300-0000CE3F0000}" name="Column16329" dataDxfId="74"/>
    <tableColumn id="16335" xr3:uid="{00000000-0010-0000-0300-0000CF3F0000}" name="Column16330" dataDxfId="73"/>
    <tableColumn id="16336" xr3:uid="{00000000-0010-0000-0300-0000D03F0000}" name="Column16331" dataDxfId="72"/>
    <tableColumn id="16337" xr3:uid="{00000000-0010-0000-0300-0000D13F0000}" name="Column16332" dataDxfId="71"/>
    <tableColumn id="16338" xr3:uid="{00000000-0010-0000-0300-0000D23F0000}" name="Column16333" dataDxfId="70"/>
    <tableColumn id="16339" xr3:uid="{00000000-0010-0000-0300-0000D33F0000}" name="Column16334" dataDxfId="69"/>
    <tableColumn id="16340" xr3:uid="{00000000-0010-0000-0300-0000D43F0000}" name="Column16335" dataDxfId="68"/>
    <tableColumn id="16341" xr3:uid="{00000000-0010-0000-0300-0000D53F0000}" name="Column16336" dataDxfId="67"/>
    <tableColumn id="16342" xr3:uid="{00000000-0010-0000-0300-0000D63F0000}" name="Column16337" dataDxfId="66"/>
    <tableColumn id="16343" xr3:uid="{00000000-0010-0000-0300-0000D73F0000}" name="Column16338" dataDxfId="65"/>
    <tableColumn id="16344" xr3:uid="{00000000-0010-0000-0300-0000D83F0000}" name="Column16339" dataDxfId="64"/>
    <tableColumn id="16345" xr3:uid="{00000000-0010-0000-0300-0000D93F0000}" name="Column16340" dataDxfId="63"/>
    <tableColumn id="16346" xr3:uid="{00000000-0010-0000-0300-0000DA3F0000}" name="Column16341" dataDxfId="62"/>
    <tableColumn id="16347" xr3:uid="{00000000-0010-0000-0300-0000DB3F0000}" name="Column16342" dataDxfId="61"/>
    <tableColumn id="16348" xr3:uid="{00000000-0010-0000-0300-0000DC3F0000}" name="Column16343" dataDxfId="60"/>
    <tableColumn id="16349" xr3:uid="{00000000-0010-0000-0300-0000DD3F0000}" name="Column16344" dataDxfId="59"/>
    <tableColumn id="16350" xr3:uid="{00000000-0010-0000-0300-0000DE3F0000}" name="Column16345" dataDxfId="58"/>
    <tableColumn id="16351" xr3:uid="{00000000-0010-0000-0300-0000DF3F0000}" name="Column16346" dataDxfId="57"/>
    <tableColumn id="16352" xr3:uid="{00000000-0010-0000-0300-0000E03F0000}" name="Column16347" dataDxfId="56"/>
    <tableColumn id="16353" xr3:uid="{00000000-0010-0000-0300-0000E13F0000}" name="Column16348" dataDxfId="55"/>
    <tableColumn id="16354" xr3:uid="{00000000-0010-0000-0300-0000E23F0000}" name="Column16349" dataDxfId="54"/>
    <tableColumn id="16355" xr3:uid="{00000000-0010-0000-0300-0000E33F0000}" name="Column16350" dataDxfId="53"/>
    <tableColumn id="16356" xr3:uid="{00000000-0010-0000-0300-0000E43F0000}" name="Column16351" dataDxfId="52"/>
    <tableColumn id="16357" xr3:uid="{00000000-0010-0000-0300-0000E53F0000}" name="Column16352" dataDxfId="51"/>
    <tableColumn id="16358" xr3:uid="{00000000-0010-0000-0300-0000E63F0000}" name="Column16353" dataDxfId="50"/>
    <tableColumn id="16359" xr3:uid="{00000000-0010-0000-0300-0000E73F0000}" name="Column16354" dataDxfId="49"/>
    <tableColumn id="16360" xr3:uid="{00000000-0010-0000-0300-0000E83F0000}" name="Column16355" dataDxfId="48"/>
    <tableColumn id="16361" xr3:uid="{00000000-0010-0000-0300-0000E93F0000}" name="Column16356" dataDxfId="47"/>
    <tableColumn id="16362" xr3:uid="{00000000-0010-0000-0300-0000EA3F0000}" name="Column16357" dataDxfId="46"/>
    <tableColumn id="16363" xr3:uid="{00000000-0010-0000-0300-0000EB3F0000}" name="Column16358" dataDxfId="45"/>
    <tableColumn id="16364" xr3:uid="{00000000-0010-0000-0300-0000EC3F0000}" name="Column16359" dataDxfId="44"/>
    <tableColumn id="16365" xr3:uid="{00000000-0010-0000-0300-0000ED3F0000}" name="Column16360" dataDxfId="43"/>
    <tableColumn id="16366" xr3:uid="{00000000-0010-0000-0300-0000EE3F0000}" name="Column16361" dataDxfId="42"/>
    <tableColumn id="16367" xr3:uid="{00000000-0010-0000-0300-0000EF3F0000}" name="Column16362" dataDxfId="41"/>
    <tableColumn id="16368" xr3:uid="{00000000-0010-0000-0300-0000F03F0000}" name="Column16363" dataDxfId="40"/>
    <tableColumn id="16369" xr3:uid="{00000000-0010-0000-0300-0000F13F0000}" name="Column16364" dataDxfId="39"/>
    <tableColumn id="16370" xr3:uid="{00000000-0010-0000-0300-0000F23F0000}" name="Column16365" dataDxfId="38"/>
    <tableColumn id="16371" xr3:uid="{00000000-0010-0000-0300-0000F33F0000}" name="Column16366" dataDxfId="37"/>
    <tableColumn id="16372" xr3:uid="{00000000-0010-0000-0300-0000F43F0000}" name="Column16367" dataDxfId="36"/>
    <tableColumn id="16373" xr3:uid="{00000000-0010-0000-0300-0000F53F0000}" name="Column16368" dataDxfId="35"/>
    <tableColumn id="16374" xr3:uid="{00000000-0010-0000-0300-0000F63F0000}" name="Column16369" dataDxfId="34"/>
    <tableColumn id="16375" xr3:uid="{00000000-0010-0000-0300-0000F73F0000}" name="Column16370" dataDxfId="33"/>
    <tableColumn id="16376" xr3:uid="{00000000-0010-0000-0300-0000F83F0000}" name="Column16371" dataDxfId="32"/>
    <tableColumn id="16377" xr3:uid="{00000000-0010-0000-0300-0000F93F0000}" name="Column16372" dataDxfId="31"/>
    <tableColumn id="16378" xr3:uid="{00000000-0010-0000-0300-0000FA3F0000}" name="Column16373" dataDxfId="30"/>
    <tableColumn id="16379" xr3:uid="{00000000-0010-0000-0300-0000FB3F0000}" name="Column16374" dataDxfId="29"/>
    <tableColumn id="16380" xr3:uid="{00000000-0010-0000-0300-0000FC3F0000}" name="Column16375" dataDxfId="28"/>
    <tableColumn id="16381" xr3:uid="{00000000-0010-0000-0300-0000FD3F0000}" name="Column16376" dataDxfId="27"/>
    <tableColumn id="16382" xr3:uid="{00000000-0010-0000-0300-0000FE3F0000}" name="Column16377" dataDxfId="26"/>
    <tableColumn id="16383" xr3:uid="{00000000-0010-0000-0300-0000FF3F0000}" name="Column16378" dataDxfId="25"/>
    <tableColumn id="16384" xr3:uid="{00000000-0010-0000-0300-000000400000}" name="Column16379" dataDxfId="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15" displayName="Table15" ref="A1:K109" totalsRowShown="0" headerRowDxfId="18" dataDxfId="17">
  <autoFilter ref="A1:K109" xr:uid="{00000000-0009-0000-0100-000004000000}"/>
  <tableColumns count="11">
    <tableColumn id="1" xr3:uid="{00000000-0010-0000-0400-000001000000}" name="ID" dataDxfId="16"/>
    <tableColumn id="2" xr3:uid="{00000000-0010-0000-0400-000002000000}" name="Section" dataDxfId="15"/>
    <tableColumn id="8" xr3:uid="{00000000-0010-0000-0400-000008000000}" name="Sub-Section" dataDxfId="14"/>
    <tableColumn id="3" xr3:uid="{00000000-0010-0000-0400-000003000000}" name="Title" dataDxfId="13"/>
    <tableColumn id="5" xr3:uid="{00000000-0010-0000-0400-000005000000}" name="Description" dataDxfId="12">
      <calculatedColumnFormula>Table15[[#This Row],[ID]]&amp;" Description TBD"</calculatedColumnFormula>
    </tableColumn>
    <tableColumn id="9" xr3:uid="{00000000-0010-0000-0400-000009000000}" name="Details" dataDxfId="11"/>
    <tableColumn id="6" xr3:uid="{00000000-0010-0000-0400-000006000000}" name="Desktop" dataDxfId="10"/>
    <tableColumn id="7" xr3:uid="{00000000-0010-0000-0400-000007000000}" name="Mobile _x000a_Web" dataDxfId="9"/>
    <tableColumn id="4" xr3:uid="{00000000-0010-0000-0400-000004000000}" name="Mobile _x000a_Native _x000a_App" dataDxfId="8"/>
    <tableColumn id="12" xr3:uid="{00000000-0010-0000-0400-00000C000000}" name="Hybrid App" dataDxfId="7"/>
    <tableColumn id="11" xr3:uid="{00000000-0010-0000-0400-00000B000000}" name="Comments" dataDxfId="6"/>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2" displayName="Table2" ref="A1:D13" totalsRowShown="0" headerRowDxfId="5" dataDxfId="4">
  <autoFilter ref="A1:D13" xr:uid="{00000000-0009-0000-0100-000002000000}"/>
  <tableColumns count="4">
    <tableColumn id="1" xr3:uid="{00000000-0010-0000-0500-000001000000}" name="Version" dataDxfId="3"/>
    <tableColumn id="2" xr3:uid="{00000000-0010-0000-0500-000002000000}" name="Description" dataDxfId="2"/>
    <tableColumn id="3" xr3:uid="{00000000-0010-0000-0500-000003000000}" name="Date" dataDxfId="1"/>
    <tableColumn id="4" xr3:uid="{00000000-0010-0000-0500-000004000000}" name="Changed B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iki.web.att.com/pages/viewpage.action?pageId=46167971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3"/>
  <sheetViews>
    <sheetView workbookViewId="0">
      <selection activeCell="B8" sqref="B8"/>
    </sheetView>
  </sheetViews>
  <sheetFormatPr defaultColWidth="9.1796875" defaultRowHeight="15" x14ac:dyDescent="0.3"/>
  <cols>
    <col min="1" max="1" width="29.26953125" style="13" customWidth="1"/>
    <col min="2" max="2" width="70.7265625" style="13" customWidth="1"/>
    <col min="3" max="16384" width="9.1796875" style="13"/>
  </cols>
  <sheetData>
    <row r="1" spans="1:2" s="7" customFormat="1" ht="32.25" customHeight="1" x14ac:dyDescent="0.35">
      <c r="A1" s="5" t="s">
        <v>138</v>
      </c>
      <c r="B1" s="6"/>
    </row>
    <row r="2" spans="1:2" s="7" customFormat="1" ht="14.5" x14ac:dyDescent="0.35">
      <c r="A2" s="19" t="s">
        <v>90</v>
      </c>
      <c r="B2" s="36" t="s">
        <v>16977</v>
      </c>
    </row>
    <row r="3" spans="1:2" s="7" customFormat="1" ht="14.5" x14ac:dyDescent="0.35">
      <c r="A3" s="19" t="s">
        <v>136</v>
      </c>
      <c r="B3" s="33" t="s">
        <v>139</v>
      </c>
    </row>
    <row r="4" spans="1:2" s="7" customFormat="1" ht="24" customHeight="1" x14ac:dyDescent="0.35">
      <c r="A4" s="8" t="s">
        <v>71</v>
      </c>
      <c r="B4" s="8"/>
    </row>
    <row r="5" spans="1:2" s="7" customFormat="1" ht="24" customHeight="1" x14ac:dyDescent="0.35">
      <c r="A5" s="9" t="s">
        <v>72</v>
      </c>
      <c r="B5" s="34"/>
    </row>
    <row r="6" spans="1:2" s="7" customFormat="1" ht="24" customHeight="1" x14ac:dyDescent="0.35">
      <c r="A6" s="9" t="s">
        <v>73</v>
      </c>
      <c r="B6" s="20"/>
    </row>
    <row r="7" spans="1:2" s="7" customFormat="1" ht="13" x14ac:dyDescent="0.35">
      <c r="A7" s="10" t="s">
        <v>16760</v>
      </c>
      <c r="B7" s="21"/>
    </row>
    <row r="8" spans="1:2" s="7" customFormat="1" ht="24" customHeight="1" x14ac:dyDescent="0.35">
      <c r="A8" s="10" t="s">
        <v>74</v>
      </c>
      <c r="B8" s="21" t="s">
        <v>16983</v>
      </c>
    </row>
    <row r="9" spans="1:2" s="7" customFormat="1" ht="24" customHeight="1" x14ac:dyDescent="0.35">
      <c r="A9" s="9" t="s">
        <v>75</v>
      </c>
      <c r="B9" s="22"/>
    </row>
    <row r="10" spans="1:2" s="7" customFormat="1" ht="70.5" customHeight="1" x14ac:dyDescent="0.35">
      <c r="A10" s="10" t="s">
        <v>76</v>
      </c>
      <c r="B10" s="21" t="s">
        <v>16982</v>
      </c>
    </row>
    <row r="11" spans="1:2" s="7" customFormat="1" ht="12.5" x14ac:dyDescent="0.25">
      <c r="A11" s="11" t="s">
        <v>77</v>
      </c>
      <c r="B11" s="11"/>
    </row>
    <row r="12" spans="1:2" s="7" customFormat="1" ht="12.5" x14ac:dyDescent="0.2">
      <c r="A12" s="12" t="s">
        <v>78</v>
      </c>
      <c r="B12" s="12"/>
    </row>
    <row r="13" spans="1:2" s="7" customFormat="1" ht="12.5" x14ac:dyDescent="0.35"/>
  </sheetData>
  <hyperlinks>
    <hyperlink ref="B3" r:id="rId1" xr:uid="{00000000-0004-0000-0000-000000000000}"/>
    <hyperlink ref="B2" location="'Cover Page'!A1" display="1.0.2" xr:uid="{00000000-0004-0000-0000-000001000000}"/>
  </hyperlinks>
  <pageMargins left="0.25" right="0.25" top="0.75" bottom="0.75" header="0.3" footer="0.3"/>
  <pageSetup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9"/>
  <sheetViews>
    <sheetView topLeftCell="A7" workbookViewId="0">
      <selection activeCell="D13" sqref="D13"/>
    </sheetView>
  </sheetViews>
  <sheetFormatPr defaultRowHeight="14.5" x14ac:dyDescent="0.35"/>
  <cols>
    <col min="1" max="1" width="20.54296875" customWidth="1"/>
    <col min="2" max="2" width="44.81640625" style="4" customWidth="1"/>
    <col min="3" max="3" width="13.1796875" style="14" customWidth="1"/>
    <col min="4" max="4" width="38.453125" customWidth="1"/>
  </cols>
  <sheetData>
    <row r="1" spans="1:4" ht="29.25" customHeight="1" x14ac:dyDescent="0.35">
      <c r="A1" s="51" t="s">
        <v>86</v>
      </c>
      <c r="B1" s="71"/>
      <c r="C1" s="75"/>
      <c r="D1" s="51"/>
    </row>
    <row r="2" spans="1:4" ht="31" x14ac:dyDescent="0.35">
      <c r="A2" s="49" t="s">
        <v>173</v>
      </c>
      <c r="B2" s="72" t="s">
        <v>174</v>
      </c>
      <c r="C2" s="50" t="s">
        <v>84</v>
      </c>
      <c r="D2" s="50" t="s">
        <v>16673</v>
      </c>
    </row>
    <row r="3" spans="1:4" ht="111.5" x14ac:dyDescent="0.35">
      <c r="A3" s="53" t="s">
        <v>16665</v>
      </c>
      <c r="B3" s="82" t="s">
        <v>16667</v>
      </c>
      <c r="C3" s="54" t="s">
        <v>85</v>
      </c>
      <c r="D3" s="88" t="s">
        <v>16672</v>
      </c>
    </row>
    <row r="4" spans="1:4" ht="85.5" x14ac:dyDescent="0.35">
      <c r="A4" s="53" t="s">
        <v>16664</v>
      </c>
      <c r="B4" s="82" t="s">
        <v>16668</v>
      </c>
      <c r="C4" s="54" t="s">
        <v>141</v>
      </c>
      <c r="D4" s="88" t="s">
        <v>16674</v>
      </c>
    </row>
    <row r="5" spans="1:4" ht="59.5" x14ac:dyDescent="0.35">
      <c r="A5" s="49" t="s">
        <v>16666</v>
      </c>
      <c r="B5" s="74" t="s">
        <v>16669</v>
      </c>
      <c r="C5" s="54" t="s">
        <v>85</v>
      </c>
      <c r="D5" s="88" t="s">
        <v>16675</v>
      </c>
    </row>
    <row r="6" spans="1:4" ht="9.75" customHeight="1" x14ac:dyDescent="0.35">
      <c r="A6" s="83"/>
      <c r="B6" s="84"/>
      <c r="C6" s="87"/>
      <c r="D6" s="85"/>
    </row>
    <row r="7" spans="1:4" ht="29.25" customHeight="1" x14ac:dyDescent="0.35">
      <c r="A7" s="51" t="s">
        <v>175</v>
      </c>
      <c r="B7" s="71"/>
      <c r="C7" s="75"/>
      <c r="D7" s="51"/>
    </row>
    <row r="8" spans="1:4" ht="37.5" customHeight="1" x14ac:dyDescent="0.35">
      <c r="A8" s="107" t="s">
        <v>16654</v>
      </c>
      <c r="B8" s="107"/>
      <c r="C8" s="107"/>
      <c r="D8" s="86"/>
    </row>
    <row r="9" spans="1:4" ht="31" x14ac:dyDescent="0.35">
      <c r="A9" s="49" t="s">
        <v>173</v>
      </c>
      <c r="B9" s="72" t="s">
        <v>174</v>
      </c>
      <c r="C9" s="50" t="s">
        <v>84</v>
      </c>
      <c r="D9" s="89"/>
    </row>
    <row r="10" spans="1:4" ht="43.5" x14ac:dyDescent="0.35">
      <c r="A10" s="52" t="s">
        <v>7</v>
      </c>
      <c r="B10" s="73" t="s">
        <v>16655</v>
      </c>
      <c r="C10" s="76" t="s">
        <v>85</v>
      </c>
      <c r="D10" s="90"/>
    </row>
    <row r="11" spans="1:4" ht="29" x14ac:dyDescent="0.35">
      <c r="A11" s="52" t="s">
        <v>147</v>
      </c>
      <c r="B11" s="73" t="s">
        <v>16656</v>
      </c>
      <c r="C11" s="76" t="s">
        <v>85</v>
      </c>
      <c r="D11" s="90"/>
    </row>
    <row r="12" spans="1:4" ht="29" x14ac:dyDescent="0.35">
      <c r="A12" s="52" t="s">
        <v>176</v>
      </c>
      <c r="B12" s="73" t="s">
        <v>16670</v>
      </c>
      <c r="C12" s="76" t="s">
        <v>85</v>
      </c>
      <c r="D12" s="90"/>
    </row>
    <row r="13" spans="1:4" ht="58" x14ac:dyDescent="0.35">
      <c r="A13" s="52" t="s">
        <v>16657</v>
      </c>
      <c r="B13" s="73" t="s">
        <v>16671</v>
      </c>
      <c r="C13" s="76" t="s">
        <v>85</v>
      </c>
      <c r="D13" s="90"/>
    </row>
    <row r="14" spans="1:4" ht="29" x14ac:dyDescent="0.35">
      <c r="A14" s="52" t="s">
        <v>177</v>
      </c>
      <c r="B14" s="73" t="s">
        <v>16658</v>
      </c>
      <c r="C14" s="76" t="s">
        <v>85</v>
      </c>
      <c r="D14" s="90"/>
    </row>
    <row r="15" spans="1:4" ht="58" x14ac:dyDescent="0.35">
      <c r="A15" s="52" t="s">
        <v>101</v>
      </c>
      <c r="B15" s="73" t="s">
        <v>16659</v>
      </c>
      <c r="C15" s="76" t="s">
        <v>85</v>
      </c>
      <c r="D15" s="90"/>
    </row>
    <row r="16" spans="1:4" ht="29" x14ac:dyDescent="0.35">
      <c r="A16" s="52" t="s">
        <v>16630</v>
      </c>
      <c r="B16" s="73" t="s">
        <v>16660</v>
      </c>
      <c r="C16" s="76" t="s">
        <v>85</v>
      </c>
      <c r="D16" s="90"/>
    </row>
    <row r="17" spans="1:4" ht="29" x14ac:dyDescent="0.35">
      <c r="A17" s="52" t="s">
        <v>178</v>
      </c>
      <c r="B17" s="73" t="s">
        <v>16661</v>
      </c>
      <c r="C17" s="76" t="s">
        <v>85</v>
      </c>
      <c r="D17" s="90"/>
    </row>
    <row r="18" spans="1:4" ht="76.5" customHeight="1" x14ac:dyDescent="0.35">
      <c r="A18" s="94" t="s">
        <v>16726</v>
      </c>
      <c r="B18" s="73" t="s">
        <v>16703</v>
      </c>
      <c r="C18" s="76" t="s">
        <v>85</v>
      </c>
    </row>
    <row r="19" spans="1:4" ht="29" x14ac:dyDescent="0.35">
      <c r="A19" s="52" t="s">
        <v>16723</v>
      </c>
      <c r="B19" s="73" t="s">
        <v>16721</v>
      </c>
      <c r="C19" s="76" t="s">
        <v>85</v>
      </c>
    </row>
  </sheetData>
  <mergeCells count="1">
    <mergeCell ref="A8:C8"/>
  </mergeCells>
  <conditionalFormatting sqref="C10:C17">
    <cfRule type="containsText" dxfId="16449" priority="13" operator="containsText" text="No">
      <formula>NOT(ISERROR(SEARCH("No",C10)))</formula>
    </cfRule>
    <cfRule type="containsText" dxfId="16448" priority="14" operator="containsText" text="Yes">
      <formula>NOT(ISERROR(SEARCH("Yes",C10)))</formula>
    </cfRule>
  </conditionalFormatting>
  <conditionalFormatting sqref="C5:C6 C1 C3">
    <cfRule type="containsText" dxfId="16447" priority="9" operator="containsText" text="No">
      <formula>NOT(ISERROR(SEARCH("No",C1)))</formula>
    </cfRule>
    <cfRule type="containsText" dxfId="16446" priority="10" operator="containsText" text="Yes">
      <formula>NOT(ISERROR(SEARCH("Yes",C1)))</formula>
    </cfRule>
  </conditionalFormatting>
  <conditionalFormatting sqref="C18">
    <cfRule type="containsText" dxfId="16445" priority="5" operator="containsText" text="No">
      <formula>NOT(ISERROR(SEARCH("No",C18)))</formula>
    </cfRule>
    <cfRule type="containsText" dxfId="16444" priority="6" operator="containsText" text="Yes">
      <formula>NOT(ISERROR(SEARCH("Yes",C18)))</formula>
    </cfRule>
  </conditionalFormatting>
  <conditionalFormatting sqref="C19">
    <cfRule type="containsText" dxfId="16443" priority="3" operator="containsText" text="No">
      <formula>NOT(ISERROR(SEARCH("No",C19)))</formula>
    </cfRule>
    <cfRule type="containsText" dxfId="16442" priority="4" operator="containsText" text="Yes">
      <formula>NOT(ISERROR(SEARCH("Yes",C19)))</formula>
    </cfRule>
  </conditionalFormatting>
  <conditionalFormatting sqref="C4">
    <cfRule type="containsText" dxfId="16441" priority="1" operator="containsText" text="No">
      <formula>NOT(ISERROR(SEARCH("No",C4)))</formula>
    </cfRule>
    <cfRule type="containsText" dxfId="16440" priority="2" operator="containsText" text="Yes">
      <formula>NOT(ISERROR(SEARCH("Yes",C4)))</formula>
    </cfRule>
  </conditionalFormatting>
  <dataValidations xWindow="530" yWindow="604" count="3">
    <dataValidation type="list" allowBlank="1" showInputMessage="1" showErrorMessage="1" prompt="Mobile Native Application Chat?" sqref="C5:C6 C3" xr:uid="{00000000-0002-0000-0100-000000000000}">
      <formula1>"Yes, No"</formula1>
    </dataValidation>
    <dataValidation type="list" allowBlank="1" showInputMessage="1" showErrorMessage="1" sqref="C10:C19" xr:uid="{00000000-0002-0000-0100-000002000000}">
      <formula1>"Yes, No"</formula1>
    </dataValidation>
    <dataValidation type="list" allowBlank="1" showInputMessage="1" showErrorMessage="1" prompt="Desktop Chat?" sqref="C4"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F43"/>
  <sheetViews>
    <sheetView workbookViewId="0">
      <selection activeCell="A15" sqref="A15"/>
    </sheetView>
  </sheetViews>
  <sheetFormatPr defaultRowHeight="14.5" x14ac:dyDescent="0.35"/>
  <cols>
    <col min="1" max="1" width="28.7265625" style="48" customWidth="1"/>
    <col min="2" max="6" width="30.7265625" style="48" customWidth="1"/>
  </cols>
  <sheetData>
    <row r="1" spans="1:6" ht="23.5" x14ac:dyDescent="0.55000000000000004">
      <c r="A1" s="106" t="s">
        <v>16856</v>
      </c>
      <c r="B1" s="101"/>
      <c r="C1" s="101"/>
      <c r="D1" s="101"/>
      <c r="E1" s="101"/>
      <c r="F1" s="101"/>
    </row>
    <row r="2" spans="1:6" x14ac:dyDescent="0.35">
      <c r="A2" s="103" t="s">
        <v>16855</v>
      </c>
      <c r="B2" s="103" t="s">
        <v>16865</v>
      </c>
      <c r="C2" s="103" t="s">
        <v>16865</v>
      </c>
      <c r="D2" s="103" t="s">
        <v>16761</v>
      </c>
      <c r="E2" s="103" t="s">
        <v>16762</v>
      </c>
      <c r="F2" s="103" t="s">
        <v>16854</v>
      </c>
    </row>
    <row r="3" spans="1:6" ht="101.5" x14ac:dyDescent="0.35">
      <c r="A3" s="104" t="s">
        <v>16850</v>
      </c>
      <c r="B3" s="48" t="s">
        <v>16865</v>
      </c>
      <c r="C3" s="48" t="s">
        <v>16865</v>
      </c>
      <c r="D3" s="48" t="s">
        <v>16853</v>
      </c>
      <c r="E3" s="48" t="s">
        <v>16851</v>
      </c>
      <c r="F3" s="48" t="s">
        <v>16852</v>
      </c>
    </row>
    <row r="4" spans="1:6" x14ac:dyDescent="0.35">
      <c r="A4" s="104"/>
    </row>
    <row r="5" spans="1:6" x14ac:dyDescent="0.35">
      <c r="A5" s="104" t="s">
        <v>16884</v>
      </c>
    </row>
    <row r="6" spans="1:6" x14ac:dyDescent="0.35">
      <c r="A6" s="104" t="s">
        <v>16857</v>
      </c>
      <c r="B6" s="48" t="s">
        <v>16865</v>
      </c>
      <c r="C6" s="48" t="s">
        <v>16865</v>
      </c>
      <c r="D6" s="104" t="s">
        <v>16761</v>
      </c>
      <c r="E6" s="104" t="s">
        <v>16762</v>
      </c>
      <c r="F6" s="104" t="s">
        <v>16854</v>
      </c>
    </row>
    <row r="7" spans="1:6" x14ac:dyDescent="0.35">
      <c r="A7" s="104" t="s">
        <v>16844</v>
      </c>
      <c r="D7" s="63"/>
      <c r="E7" s="63" t="s">
        <v>16849</v>
      </c>
      <c r="F7" s="63"/>
    </row>
    <row r="8" spans="1:6" x14ac:dyDescent="0.35">
      <c r="A8" s="104" t="s">
        <v>16845</v>
      </c>
      <c r="D8" s="63"/>
      <c r="E8" s="63" t="s">
        <v>16849</v>
      </c>
      <c r="F8" s="63"/>
    </row>
    <row r="9" spans="1:6" x14ac:dyDescent="0.35">
      <c r="A9" s="104" t="s">
        <v>16858</v>
      </c>
      <c r="D9" s="63"/>
      <c r="E9" s="63" t="s">
        <v>16849</v>
      </c>
      <c r="F9" s="63"/>
    </row>
    <row r="10" spans="1:6" x14ac:dyDescent="0.35">
      <c r="A10" s="104" t="s">
        <v>16846</v>
      </c>
      <c r="D10" s="63" t="s">
        <v>16849</v>
      </c>
      <c r="E10" s="63"/>
      <c r="F10" s="63"/>
    </row>
    <row r="11" spans="1:6" x14ac:dyDescent="0.35">
      <c r="A11" s="104" t="s">
        <v>16859</v>
      </c>
      <c r="D11" s="63" t="s">
        <v>16849</v>
      </c>
      <c r="E11" s="63"/>
      <c r="F11" s="63"/>
    </row>
    <row r="12" spans="1:6" x14ac:dyDescent="0.35">
      <c r="A12" s="104" t="s">
        <v>16860</v>
      </c>
      <c r="D12" s="63" t="s">
        <v>16849</v>
      </c>
      <c r="E12" s="63"/>
      <c r="F12" s="63"/>
    </row>
    <row r="13" spans="1:6" x14ac:dyDescent="0.35">
      <c r="A13" s="104" t="s">
        <v>16861</v>
      </c>
      <c r="D13" s="63" t="s">
        <v>16849</v>
      </c>
      <c r="E13" s="63"/>
      <c r="F13" s="63"/>
    </row>
    <row r="14" spans="1:6" x14ac:dyDescent="0.35">
      <c r="A14" s="104" t="s">
        <v>16847</v>
      </c>
      <c r="D14" s="63"/>
      <c r="E14" s="63"/>
      <c r="F14" s="63" t="s">
        <v>16849</v>
      </c>
    </row>
    <row r="15" spans="1:6" x14ac:dyDescent="0.35">
      <c r="A15" s="104" t="s">
        <v>16848</v>
      </c>
      <c r="D15" s="63"/>
      <c r="E15" s="63"/>
      <c r="F15" s="63" t="s">
        <v>16849</v>
      </c>
    </row>
    <row r="16" spans="1:6" x14ac:dyDescent="0.35">
      <c r="A16" s="104" t="s">
        <v>16882</v>
      </c>
      <c r="D16" s="63" t="s">
        <v>16849</v>
      </c>
      <c r="E16" s="63"/>
      <c r="F16" s="63"/>
    </row>
    <row r="17" spans="1:6" x14ac:dyDescent="0.35">
      <c r="A17" s="103"/>
      <c r="B17" s="102"/>
      <c r="C17" s="102"/>
      <c r="D17" s="105"/>
      <c r="E17" s="105"/>
      <c r="F17" s="105"/>
    </row>
    <row r="18" spans="1:6" x14ac:dyDescent="0.35">
      <c r="A18" s="104" t="s">
        <v>16883</v>
      </c>
      <c r="D18" s="63"/>
      <c r="E18" s="63"/>
      <c r="F18" s="63"/>
    </row>
    <row r="19" spans="1:6" x14ac:dyDescent="0.35">
      <c r="A19" s="104" t="s">
        <v>4</v>
      </c>
      <c r="B19" s="48" t="s">
        <v>16766</v>
      </c>
      <c r="C19" s="48" t="s">
        <v>16837</v>
      </c>
      <c r="D19" s="48" t="s">
        <v>16761</v>
      </c>
      <c r="E19" s="48" t="s">
        <v>16762</v>
      </c>
      <c r="F19" s="48" t="s">
        <v>16763</v>
      </c>
    </row>
    <row r="20" spans="1:6" ht="58" x14ac:dyDescent="0.35">
      <c r="A20" s="48" t="s">
        <v>16768</v>
      </c>
      <c r="B20" s="48" t="s">
        <v>16767</v>
      </c>
      <c r="C20" s="48" t="s">
        <v>16815</v>
      </c>
      <c r="D20" s="48" t="s">
        <v>16799</v>
      </c>
      <c r="E20" s="48" t="s">
        <v>16821</v>
      </c>
      <c r="F20" s="48" t="s">
        <v>16862</v>
      </c>
    </row>
    <row r="21" spans="1:6" ht="58" x14ac:dyDescent="0.35">
      <c r="A21" s="48" t="s">
        <v>16769</v>
      </c>
      <c r="B21" s="48" t="s">
        <v>16767</v>
      </c>
      <c r="C21" s="48" t="s">
        <v>16816</v>
      </c>
      <c r="D21" s="48" t="s">
        <v>16800</v>
      </c>
      <c r="E21" s="48" t="s">
        <v>16822</v>
      </c>
      <c r="F21" s="48" t="s">
        <v>16863</v>
      </c>
    </row>
    <row r="22" spans="1:6" ht="58" x14ac:dyDescent="0.35">
      <c r="A22" s="48" t="s">
        <v>16770</v>
      </c>
      <c r="B22" s="48" t="s">
        <v>16767</v>
      </c>
      <c r="C22" s="48" t="s">
        <v>16801</v>
      </c>
      <c r="D22" s="48" t="s">
        <v>16794</v>
      </c>
      <c r="E22" s="48" t="s">
        <v>16823</v>
      </c>
      <c r="F22" s="48" t="s">
        <v>16864</v>
      </c>
    </row>
    <row r="23" spans="1:6" ht="58" x14ac:dyDescent="0.35">
      <c r="A23" s="48" t="s">
        <v>16771</v>
      </c>
      <c r="B23" s="48" t="s">
        <v>16767</v>
      </c>
      <c r="C23" s="48" t="s">
        <v>16802</v>
      </c>
      <c r="D23" s="48" t="s">
        <v>16795</v>
      </c>
      <c r="E23" s="48" t="s">
        <v>16824</v>
      </c>
      <c r="F23" s="48" t="s">
        <v>16864</v>
      </c>
    </row>
    <row r="24" spans="1:6" ht="58" x14ac:dyDescent="0.35">
      <c r="A24" s="48" t="s">
        <v>16772</v>
      </c>
      <c r="B24" s="48" t="s">
        <v>16767</v>
      </c>
      <c r="C24" s="48" t="s">
        <v>16803</v>
      </c>
      <c r="D24" s="48" t="s">
        <v>16796</v>
      </c>
      <c r="E24" s="48" t="s">
        <v>16825</v>
      </c>
      <c r="F24" s="48" t="s">
        <v>16864</v>
      </c>
    </row>
    <row r="25" spans="1:6" ht="58" x14ac:dyDescent="0.35">
      <c r="A25" s="48" t="s">
        <v>16773</v>
      </c>
      <c r="B25" s="48" t="s">
        <v>16767</v>
      </c>
      <c r="C25" s="48" t="s">
        <v>16804</v>
      </c>
      <c r="D25" s="48" t="s">
        <v>16797</v>
      </c>
      <c r="E25" s="48" t="s">
        <v>16826</v>
      </c>
      <c r="F25" s="48" t="s">
        <v>16864</v>
      </c>
    </row>
    <row r="26" spans="1:6" ht="58" x14ac:dyDescent="0.35">
      <c r="A26" s="48" t="s">
        <v>16774</v>
      </c>
      <c r="B26" s="48" t="s">
        <v>16767</v>
      </c>
      <c r="C26" s="48" t="s">
        <v>16805</v>
      </c>
      <c r="D26" s="48" t="s">
        <v>16764</v>
      </c>
      <c r="E26" s="48" t="s">
        <v>16785</v>
      </c>
      <c r="F26" s="48" t="s">
        <v>16864</v>
      </c>
    </row>
    <row r="27" spans="1:6" ht="58" x14ac:dyDescent="0.35">
      <c r="A27" s="48" t="s">
        <v>16775</v>
      </c>
      <c r="B27" s="48" t="s">
        <v>16767</v>
      </c>
      <c r="C27" s="48" t="s">
        <v>16806</v>
      </c>
      <c r="D27" s="48" t="s">
        <v>16765</v>
      </c>
      <c r="E27" s="48" t="s">
        <v>16785</v>
      </c>
      <c r="F27" s="48" t="s">
        <v>16864</v>
      </c>
    </row>
    <row r="28" spans="1:6" ht="58" x14ac:dyDescent="0.35">
      <c r="A28" s="48" t="s">
        <v>16776</v>
      </c>
      <c r="B28" s="48" t="s">
        <v>16767</v>
      </c>
      <c r="C28" s="48" t="s">
        <v>16807</v>
      </c>
      <c r="D28" s="48" t="s">
        <v>16798</v>
      </c>
      <c r="E28" s="48" t="s">
        <v>16827</v>
      </c>
      <c r="F28" s="48" t="s">
        <v>16864</v>
      </c>
    </row>
    <row r="29" spans="1:6" ht="58" x14ac:dyDescent="0.35">
      <c r="A29" s="48" t="s">
        <v>16777</v>
      </c>
      <c r="B29" s="48" t="s">
        <v>16767</v>
      </c>
      <c r="C29" s="48" t="s">
        <v>16808</v>
      </c>
      <c r="D29" s="48" t="s">
        <v>16798</v>
      </c>
      <c r="E29" s="48" t="s">
        <v>16827</v>
      </c>
      <c r="F29" s="48" t="s">
        <v>16864</v>
      </c>
    </row>
    <row r="30" spans="1:6" x14ac:dyDescent="0.35">
      <c r="A30" s="102"/>
      <c r="B30" s="102"/>
      <c r="C30" s="102"/>
      <c r="D30" s="102"/>
      <c r="E30" s="102"/>
      <c r="F30" s="102"/>
    </row>
    <row r="31" spans="1:6" ht="58" x14ac:dyDescent="0.35">
      <c r="A31" s="48" t="s">
        <v>16779</v>
      </c>
      <c r="B31" s="48" t="s">
        <v>16778</v>
      </c>
      <c r="C31" s="48" t="s">
        <v>16809</v>
      </c>
      <c r="D31" s="48" t="s">
        <v>16834</v>
      </c>
      <c r="E31" s="48" t="s">
        <v>16834</v>
      </c>
      <c r="F31" s="48" t="s">
        <v>16839</v>
      </c>
    </row>
    <row r="32" spans="1:6" ht="58" x14ac:dyDescent="0.35">
      <c r="A32" s="48" t="s">
        <v>16780</v>
      </c>
      <c r="B32" s="48" t="s">
        <v>16778</v>
      </c>
      <c r="C32" s="48" t="s">
        <v>16810</v>
      </c>
      <c r="D32" s="48" t="s">
        <v>16835</v>
      </c>
      <c r="E32" s="48" t="s">
        <v>16835</v>
      </c>
      <c r="F32" s="48" t="s">
        <v>16840</v>
      </c>
    </row>
    <row r="33" spans="1:6" ht="58" x14ac:dyDescent="0.35">
      <c r="A33" s="48" t="s">
        <v>16781</v>
      </c>
      <c r="B33" s="48" t="s">
        <v>16778</v>
      </c>
      <c r="C33" s="48" t="s">
        <v>16811</v>
      </c>
      <c r="D33" s="48" t="s">
        <v>16828</v>
      </c>
      <c r="E33" s="48" t="s">
        <v>16828</v>
      </c>
      <c r="F33" s="48" t="s">
        <v>16838</v>
      </c>
    </row>
    <row r="34" spans="1:6" ht="58" x14ac:dyDescent="0.35">
      <c r="A34" s="48" t="s">
        <v>16782</v>
      </c>
      <c r="B34" s="48" t="s">
        <v>16778</v>
      </c>
      <c r="C34" s="48" t="s">
        <v>16812</v>
      </c>
      <c r="D34" s="48" t="s">
        <v>16824</v>
      </c>
      <c r="E34" s="48" t="s">
        <v>16824</v>
      </c>
      <c r="F34" s="48" t="s">
        <v>16838</v>
      </c>
    </row>
    <row r="35" spans="1:6" ht="58" x14ac:dyDescent="0.35">
      <c r="A35" s="48" t="s">
        <v>16783</v>
      </c>
      <c r="B35" s="48" t="s">
        <v>16778</v>
      </c>
      <c r="C35" s="48" t="s">
        <v>16813</v>
      </c>
      <c r="D35" s="48" t="s">
        <v>16828</v>
      </c>
      <c r="E35" s="48" t="s">
        <v>16785</v>
      </c>
      <c r="F35" s="48" t="s">
        <v>16838</v>
      </c>
    </row>
    <row r="36" spans="1:6" ht="58" x14ac:dyDescent="0.35">
      <c r="A36" s="48" t="s">
        <v>16784</v>
      </c>
      <c r="B36" s="48" t="s">
        <v>16778</v>
      </c>
      <c r="C36" s="48" t="s">
        <v>16814</v>
      </c>
      <c r="D36" s="48" t="s">
        <v>16836</v>
      </c>
      <c r="E36" s="48" t="s">
        <v>16785</v>
      </c>
      <c r="F36" s="48" t="s">
        <v>16838</v>
      </c>
    </row>
    <row r="37" spans="1:6" x14ac:dyDescent="0.35">
      <c r="A37" s="102"/>
      <c r="B37" s="102"/>
      <c r="C37" s="102"/>
      <c r="D37" s="102"/>
      <c r="E37" s="102"/>
      <c r="F37" s="102"/>
    </row>
    <row r="38" spans="1:6" ht="58" x14ac:dyDescent="0.35">
      <c r="A38" s="48" t="s">
        <v>16792</v>
      </c>
      <c r="B38" s="48" t="s">
        <v>16791</v>
      </c>
      <c r="C38" s="48" t="s">
        <v>16815</v>
      </c>
      <c r="D38" s="48" t="s">
        <v>16830</v>
      </c>
      <c r="E38" s="48" t="s">
        <v>16830</v>
      </c>
      <c r="F38" s="48" t="s">
        <v>16841</v>
      </c>
    </row>
    <row r="39" spans="1:6" ht="72.5" x14ac:dyDescent="0.35">
      <c r="A39" s="48" t="s">
        <v>16786</v>
      </c>
      <c r="B39" s="48" t="s">
        <v>16791</v>
      </c>
      <c r="C39" s="48" t="s">
        <v>16816</v>
      </c>
      <c r="D39" s="48" t="s">
        <v>16831</v>
      </c>
      <c r="E39" s="48" t="s">
        <v>16831</v>
      </c>
      <c r="F39" s="48" t="s">
        <v>16842</v>
      </c>
    </row>
    <row r="40" spans="1:6" ht="29" x14ac:dyDescent="0.35">
      <c r="A40" s="48" t="s">
        <v>16787</v>
      </c>
      <c r="B40" s="48" t="s">
        <v>16791</v>
      </c>
      <c r="C40" s="48" t="s">
        <v>16818</v>
      </c>
      <c r="D40" s="48" t="s">
        <v>16793</v>
      </c>
      <c r="E40" s="48" t="s">
        <v>16793</v>
      </c>
      <c r="F40" s="48" t="s">
        <v>16793</v>
      </c>
    </row>
    <row r="41" spans="1:6" ht="43.5" x14ac:dyDescent="0.35">
      <c r="A41" s="48" t="s">
        <v>16788</v>
      </c>
      <c r="B41" s="48" t="s">
        <v>16791</v>
      </c>
      <c r="C41" s="48" t="s">
        <v>16817</v>
      </c>
      <c r="D41" s="48" t="s">
        <v>16793</v>
      </c>
      <c r="E41" s="48" t="s">
        <v>16793</v>
      </c>
      <c r="F41" s="48" t="s">
        <v>16793</v>
      </c>
    </row>
    <row r="42" spans="1:6" ht="58" x14ac:dyDescent="0.35">
      <c r="A42" s="48" t="s">
        <v>16789</v>
      </c>
      <c r="B42" s="48" t="s">
        <v>16791</v>
      </c>
      <c r="C42" s="48" t="s">
        <v>16819</v>
      </c>
      <c r="D42" s="48" t="s">
        <v>16832</v>
      </c>
      <c r="E42" s="48" t="s">
        <v>16833</v>
      </c>
      <c r="F42" s="48" t="s">
        <v>16843</v>
      </c>
    </row>
    <row r="43" spans="1:6" ht="58" x14ac:dyDescent="0.35">
      <c r="A43" s="48" t="s">
        <v>16790</v>
      </c>
      <c r="B43" s="48" t="s">
        <v>16791</v>
      </c>
      <c r="C43" s="48" t="s">
        <v>16820</v>
      </c>
      <c r="D43" s="48" t="s">
        <v>16829</v>
      </c>
      <c r="E43" s="48" t="s">
        <v>16833</v>
      </c>
      <c r="F43" s="48" t="s">
        <v>16843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5" tint="0.59999389629810485"/>
  </sheetPr>
  <dimension ref="A1:I109"/>
  <sheetViews>
    <sheetView topLeftCell="A122" workbookViewId="0">
      <selection activeCell="D21" sqref="D21"/>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82</v>
      </c>
      <c r="F1" s="1" t="s">
        <v>83</v>
      </c>
      <c r="G1" s="1" t="s">
        <v>96</v>
      </c>
      <c r="H1" s="1" t="s">
        <v>97</v>
      </c>
      <c r="I1" s="2" t="s">
        <v>79</v>
      </c>
    </row>
    <row r="2" spans="1:9" ht="43.5" hidden="1" x14ac:dyDescent="0.35">
      <c r="A2" s="2" t="str">
        <f>Table15[[#This Row],[ID]]</f>
        <v>1.1.2</v>
      </c>
      <c r="B2" s="1" t="str">
        <f>Table15[[#This Row],[Section]]</f>
        <v>Business Rules</v>
      </c>
      <c r="C2" s="1" t="str">
        <f>Table15[[#This Row],[Sub-Section]]</f>
        <v>General Requirements</v>
      </c>
      <c r="D2" s="16" t="str">
        <f>Table15[[#This Row],[Title]]</f>
        <v>If a proactive invocation is present, a reactive POI must also be available to the user.</v>
      </c>
      <c r="E2" s="18" t="str">
        <f>IF(Table15[[#This Row],[Description]]&lt;&gt;0,Table15[[#This Row],[Description]],"No entry")</f>
        <v>Avoid scenarios where keyboard only users do not have a chat option.</v>
      </c>
      <c r="F2" s="1" t="str">
        <f>IF((Table15[[#This Row],[Desktop]]="yes"),"yes","no")</f>
        <v>yes</v>
      </c>
      <c r="G2" s="14" t="str">
        <f>IF((Table15[[#This Row],[Desktop]]="yes"),"","n/a")</f>
        <v/>
      </c>
      <c r="H2" s="14"/>
    </row>
    <row r="3" spans="1:9" ht="145" x14ac:dyDescent="0.35">
      <c r="A3" s="2" t="str">
        <f>Table15[[#This Row],[ID]]</f>
        <v>2.1.1</v>
      </c>
      <c r="B3" s="1" t="str">
        <f>Table15[[#This Row],[Section]]</f>
        <v>Points of Invocation</v>
      </c>
      <c r="C3" s="1" t="str">
        <f>Table15[[#This Row],[Sub-Section]]</f>
        <v>Reactive POI</v>
      </c>
      <c r="D3" s="16" t="str">
        <f>Table15[[#This Row],[Title]]</f>
        <v>Reactive POIs are in the tab order</v>
      </c>
      <c r="E3" s="18"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3" s="1" t="str">
        <f>IF((Table15[[#This Row],[Desktop]]="yes"),"yes","no")</f>
        <v>yes</v>
      </c>
      <c r="G3" s="1" t="str">
        <f>IF((Table15[[#This Row],[Desktop]]="yes"),"","n/a")</f>
        <v/>
      </c>
      <c r="H3" s="1"/>
    </row>
    <row r="4" spans="1:9" ht="72.5" x14ac:dyDescent="0.35">
      <c r="A4" s="2" t="str">
        <f>Table15[[#This Row],[ID]]</f>
        <v>2.1.2</v>
      </c>
      <c r="B4" s="1" t="str">
        <f>Table15[[#This Row],[Section]]</f>
        <v>Points of Invocation</v>
      </c>
      <c r="C4" s="1" t="str">
        <f>Table15[[#This Row],[Sub-Section]]</f>
        <v>Reactive POI</v>
      </c>
      <c r="D4" s="16" t="str">
        <f>Table15[[#This Row],[Title]]</f>
        <v>Chat activation transfers focus automatically into the chat flow</v>
      </c>
      <c r="E4" s="18"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4" s="1" t="str">
        <f>IF((Table15[[#This Row],[Desktop]]="yes"),"yes","no")</f>
        <v>yes</v>
      </c>
      <c r="G4" s="14" t="str">
        <f>IF((Table15[[#This Row],[Desktop]]="yes"),"","n/a")</f>
        <v/>
      </c>
      <c r="H4" s="14"/>
    </row>
    <row r="5" spans="1:9" ht="29" x14ac:dyDescent="0.35">
      <c r="A5" s="2" t="str">
        <f>Table15[[#This Row],[ID]]</f>
        <v>2.1.3</v>
      </c>
      <c r="B5" s="1" t="str">
        <f>Table15[[#This Row],[Section]]</f>
        <v>Points of Invocation</v>
      </c>
      <c r="C5" s="1" t="str">
        <f>Table15[[#This Row],[Sub-Section]]</f>
        <v>Chat Availability Status</v>
      </c>
      <c r="D5" s="16" t="str">
        <f>Table15[[#This Row],[Title]]</f>
        <v>Dynamic C2C POI status changes announced automatically</v>
      </c>
      <c r="E5" s="18" t="str">
        <f>Table15[[#This Row],[Description]]</f>
        <v xml:space="preserve">When a chat POI changes status to available, the state will be announced automatically by the screen reader. </v>
      </c>
      <c r="F5" s="1" t="str">
        <f>IF((Table15[[#This Row],[Desktop]]="yes"),"yes","no")</f>
        <v>yes</v>
      </c>
      <c r="G5" s="14" t="str">
        <f>IF((Table15[[#This Row],[Desktop]]="yes"),"","n/a")</f>
        <v/>
      </c>
      <c r="H5" s="14"/>
    </row>
    <row r="6" spans="1:9" ht="29" x14ac:dyDescent="0.35">
      <c r="A6" s="2" t="str">
        <f>Table15[[#This Row],[ID]]</f>
        <v>2.1.4</v>
      </c>
      <c r="B6" s="1" t="str">
        <f>Table15[[#This Row],[Section]]</f>
        <v>Points of Invocation</v>
      </c>
      <c r="C6" s="1" t="str">
        <f>Table15[[#This Row],[Sub-Section]]</f>
        <v>Chat Availability Status</v>
      </c>
      <c r="D6" s="16" t="str">
        <f>Table15[[#This Row],[Title]]</f>
        <v>Only visible POI components are perceivable by screen readers</v>
      </c>
      <c r="E6" s="18" t="str">
        <f>IF(Table15[[#This Row],[Description]]&lt;&gt;0,Table15[[#This Row],[Description]],"No entry")</f>
        <v>If the POI is suppressed or otherwise becomes hidden, it must also not be perceivable by screen readers.</v>
      </c>
      <c r="F6" s="1" t="str">
        <f>IF((Table15[[#This Row],[Desktop]]="yes"),"yes","no")</f>
        <v>yes</v>
      </c>
      <c r="G6" s="14" t="str">
        <f>IF((Table15[[#This Row],[Desktop]]="yes"),"","n/a")</f>
        <v/>
      </c>
      <c r="H6" s="14"/>
    </row>
    <row r="7" spans="1:9" ht="43.5" x14ac:dyDescent="0.35">
      <c r="A7" s="2" t="str">
        <f>Table15[[#This Row],[ID]]</f>
        <v>2.1.6</v>
      </c>
      <c r="B7" s="1" t="str">
        <f>Table15[[#This Row],[Section]]</f>
        <v>Points of Invocation</v>
      </c>
      <c r="C7" s="1" t="str">
        <f>Table15[[#This Row],[Sub-Section]]</f>
        <v>General Requirements</v>
      </c>
      <c r="D7" s="16" t="str">
        <f>Table15[[#This Row],[Title]]</f>
        <v>POIs must have a single focusable element.</v>
      </c>
      <c r="E7" s="18" t="str">
        <f>IF(Table15[[#This Row],[Description]]&lt;&gt;0,Table15[[#This Row],[Description]],"No entry")</f>
        <v>POI is either a button, or a link. Any ancillary elements such as surrounding div tags are not focusable with tabindex or other techniques.</v>
      </c>
      <c r="F7" s="1" t="str">
        <f>IF((Table15[[#This Row],[Desktop]]="yes"),"yes","no")</f>
        <v>yes</v>
      </c>
      <c r="G7" s="14" t="str">
        <f>IF((Table15[[#This Row],[Desktop]]="yes"),"","n/a")</f>
        <v/>
      </c>
      <c r="H7" s="14"/>
    </row>
    <row r="8" spans="1:9" ht="29" x14ac:dyDescent="0.35">
      <c r="A8" s="2" t="str">
        <f>Table15[[#This Row],[ID]]</f>
        <v>2.1.7</v>
      </c>
      <c r="B8" s="1" t="str">
        <f>Table15[[#This Row],[Section]]</f>
        <v>Points of Invocation</v>
      </c>
      <c r="C8" s="1" t="str">
        <f>Table15[[#This Row],[Sub-Section]]</f>
        <v>General Requirements</v>
      </c>
      <c r="D8" s="16" t="str">
        <f>Table15[[#This Row],[Title]]</f>
        <v>Reactive POIs have access key</v>
      </c>
      <c r="E8" s="18" t="str">
        <f>IF(Table15[[#This Row],[Description]]&lt;&gt;0,Table15[[#This Row],[Description]],"No entry")</f>
        <v>Attribute accesskey="1" is added to the focusable POI.</v>
      </c>
      <c r="F8" s="1" t="str">
        <f>IF((Table15[[#This Row],[Desktop]]="yes"),"yes","no")</f>
        <v>yes</v>
      </c>
      <c r="G8" s="14" t="str">
        <f>IF((Table15[[#This Row],[Desktop]]="yes"),"","n/a")</f>
        <v/>
      </c>
      <c r="H8" s="14"/>
    </row>
    <row r="9" spans="1:9" ht="43.5" x14ac:dyDescent="0.35">
      <c r="A9" s="2" t="str">
        <f>Table15[[#This Row],[ID]]</f>
        <v>2.1.8</v>
      </c>
      <c r="B9" s="1" t="str">
        <f>Table15[[#This Row],[Section]]</f>
        <v>Points of Invocation</v>
      </c>
      <c r="C9" s="1" t="str">
        <f>Table15[[#This Row],[Sub-Section]]</f>
        <v>Chat Suppression</v>
      </c>
      <c r="D9" s="16" t="str">
        <f>Table15[[#This Row],[Title]]</f>
        <v>On suppressed pages, chat must not be percievable by users including screen reader users.</v>
      </c>
      <c r="E9" s="18" t="str">
        <f>IF(Table15[[#This Row],[Description]]&lt;&gt;0,Table15[[#This Row],[Description]],"No entry")</f>
        <v>If the chat POI is properly suppressed, the process will not yield any announcement of the chat POI.</v>
      </c>
      <c r="F9" s="1" t="str">
        <f>IF((Table15[[#This Row],[Desktop]]="yes"),"yes","no")</f>
        <v>yes</v>
      </c>
      <c r="G9" s="14" t="str">
        <f>IF((Table15[[#This Row],[Desktop]]="yes"),"","n/a")</f>
        <v/>
      </c>
      <c r="H9" s="14"/>
    </row>
    <row r="10" spans="1:9" ht="29" hidden="1" x14ac:dyDescent="0.35">
      <c r="A10" s="2" t="str">
        <f>Table15[[#This Row],[ID]]</f>
        <v>3.1.0</v>
      </c>
      <c r="B10" s="1" t="str">
        <f>Table15[[#This Row],[Section]]</f>
        <v>Modals</v>
      </c>
      <c r="C10" s="1" t="str">
        <f>Table15[[#This Row],[Sub-Section]]</f>
        <v>Modal Taxonomy</v>
      </c>
      <c r="D10" s="16" t="str">
        <f>Table15[[#This Row],[Title]]</f>
        <v>Modals can be Strict, Relaxed, or Psudo-modals</v>
      </c>
      <c r="E10" s="18" t="str">
        <f>IF(Table15[[#This Row],[Description]]&lt;&gt;0,Table15[[#This Row],[Description]],"No entry")</f>
        <v>See navigation rules and restrictions in Modal Taxonomy tab</v>
      </c>
      <c r="F10" s="1" t="str">
        <f>IF((Table15[[#This Row],[Desktop]]="yes"),"yes","no")</f>
        <v>no</v>
      </c>
      <c r="G10" s="14" t="str">
        <f>IF((Table15[[#This Row],[Desktop]]="yes"),"","n/a")</f>
        <v>n/a</v>
      </c>
      <c r="H10" s="14"/>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Table15[[#This Row],[Description]]</f>
        <v>All modals should transfer focus automatically to the active modal window.</v>
      </c>
      <c r="F11" s="1" t="str">
        <f>IF((Table15[[#This Row],[Desktop]]="yes"),"yes","no")</f>
        <v>yes</v>
      </c>
      <c r="G11" s="14" t="str">
        <f>IF((Table15[[#This Row],[Desktop]]="yes"),"","n/a")</f>
        <v/>
      </c>
      <c r="H11" s="14"/>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strict modals.</v>
      </c>
      <c r="E12" s="18" t="str">
        <f>IF(Table15[[#This Row],[Description]]&lt;&gt;0,Table15[[#This Row],[Description]],"No entry")</f>
        <v>With some exceptions, like minimized chat panels, and co-browse banners, child windows are strict modals. In other words, they restrict focus to themselves when they are active, and enforce circular navigation.
* Desktop:  Tabbing to browser chrome is not permitted.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Row],[Desktop]]="yes"),"yes","no")</f>
        <v>yes</v>
      </c>
      <c r="G12" s="14" t="str">
        <f>IF((Table15[[#This Row],[Desktop]]="yes"),"","n/a")</f>
        <v/>
      </c>
      <c r="H12" s="14"/>
    </row>
    <row r="13" spans="1:9" ht="145" hidden="1" x14ac:dyDescent="0.35">
      <c r="A13" s="2" t="str">
        <f>Table15[[#This Row],[ID]]</f>
        <v>3.1.3</v>
      </c>
      <c r="B13" s="1" t="str">
        <f>Table15[[#This Row],[Section]]</f>
        <v>Modals</v>
      </c>
      <c r="C13" s="1" t="str">
        <f>Table15[[#This Row],[Sub-Section]]</f>
        <v>General Requirements</v>
      </c>
      <c r="D13" s="16" t="str">
        <f>Table15[[#This Row],[Title]]</f>
        <v>Secondary child windows (modals) are strict modals</v>
      </c>
      <c r="E13" s="18" t="str">
        <f>IF(Table15[[#This Row],[Description]]&lt;&gt;0,Table15[[#This Row],[Description]],"No entry")</f>
        <v>Secondary windows such as email transcript do not allow access and navigation outside their boundaries.
This applies to certain modals spawned by, and stacked on top of other modals. For example:
• Email transcript submission form.
• Pushed forms inside chat panel that do not require messages to be exchanged before submission/completion.
• Backup nodes spawned by Touch Guides. For example: “You have reached us after business hours”.</v>
      </c>
      <c r="F13" s="1" t="str">
        <f>IF((Table15[[#This Row],[Desktop]]="yes"),"yes","no")</f>
        <v>yes</v>
      </c>
      <c r="G13" s="14" t="str">
        <f>IF((Table15[[#This Row],[Desktop]]="yes"),"","n/a")</f>
        <v/>
      </c>
      <c r="H13" s="14"/>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8" t="str">
        <f>IF(Table15[[#This Row],[Description]]&lt;&gt;0,Table15[[#This Row],[Description]],"No entry")</f>
        <v>Information that is visually hidden must not be perceivable by screen readers.</v>
      </c>
      <c r="F14" s="1" t="str">
        <f>IF((Table15[[#This Row],[Desktop]]="yes"),"yes","no")</f>
        <v>yes</v>
      </c>
      <c r="G14" s="14" t="str">
        <f>IF((Table15[[#This Row],[Desktop]]="yes"),"","n/a")</f>
        <v/>
      </c>
      <c r="H14" s="14"/>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8" t="str">
        <f>IF(Table15[[#This Row],[Description]]&lt;&gt;0,Table15[[#This Row],[Description]],"No entry")</f>
        <v>When a child window is dismissed, focus is returned to the element having had focus prior to the child window being spawned.</v>
      </c>
      <c r="F15" s="1" t="str">
        <f>IF((Table15[[#This Row],[Desktop]]="yes"),"yes","no")</f>
        <v>yes</v>
      </c>
      <c r="G15" s="14" t="str">
        <f>IF((Table15[[#This Row],[Desktop]]="yes"),"","n/a")</f>
        <v/>
      </c>
      <c r="H15" s="14"/>
    </row>
    <row r="16" spans="1:9" ht="58" hidden="1" x14ac:dyDescent="0.35">
      <c r="A16" s="2" t="str">
        <f>Table15[[#This Row],[ID]]</f>
        <v>3.1.6</v>
      </c>
      <c r="B16" s="1" t="str">
        <f>Table15[[#This Row],[Section]]</f>
        <v>Modals</v>
      </c>
      <c r="C16" s="1" t="str">
        <f>Table15[[#This Row],[Sub-Section]]</f>
        <v>General Requirements</v>
      </c>
      <c r="D16" s="16" t="str">
        <f>Table15[[#This Row],[Title]]</f>
        <v>Upon modal spawning, modal title, prompts, and initial focused control are read automatically in the given order.</v>
      </c>
      <c r="E16" s="18" t="str">
        <f>IF(Table15[[#This Row],[Description]]&lt;&gt;0,Table15[[#This Row],[Description]],"No entry")</f>
        <v>When a modal is spawned, the screen reader announces: (1) modal title, (2) modal prompt, (3) control having initial focus. Automatic announcements must occur in the order A, B, C.</v>
      </c>
      <c r="F16" s="1" t="str">
        <f>IF((Table15[[#This Row],[Desktop]]="yes"),"yes","no")</f>
        <v>yes</v>
      </c>
      <c r="G16" s="14" t="str">
        <f>IF((Table15[[#This Row],[Desktop]]="yes"),"","n/a")</f>
        <v/>
      </c>
      <c r="H16" s="14"/>
    </row>
    <row r="17" spans="1:8"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Modals must have at least one button or a link, and such control must have initial focus on modal spawning.</v>
      </c>
      <c r="F17" s="1" t="str">
        <f>IF((Table15[[#This Row],[Desktop]]="yes"),"yes","no")</f>
        <v>yes</v>
      </c>
      <c r="G17" s="14" t="str">
        <f>IF((Table15[[#This Row],[Desktop]]="yes"),"","n/a")</f>
        <v/>
      </c>
      <c r="H17" s="14"/>
    </row>
    <row r="18" spans="1:8" ht="29" hidden="1" x14ac:dyDescent="0.35">
      <c r="A18" s="2" t="str">
        <f>Table15[[#This Row],[ID]]</f>
        <v>4.1.0</v>
      </c>
      <c r="B18" s="1" t="str">
        <f>Table15[[#This Row],[Section]]</f>
        <v>Touch Guides (TG / Routing Guides)</v>
      </c>
      <c r="C18" s="1" t="str">
        <f>Table15[[#This Row],[Sub-Section]]</f>
        <v>Modal Taxonomy</v>
      </c>
      <c r="D18" s="16" t="str">
        <f>Table15[[#This Row],[Title]]</f>
        <v>TouchGuides are Strict Modals</v>
      </c>
      <c r="E18" s="18" t="str">
        <f>Table15[[#This Row],[Description]]</f>
        <v>See Modal Taxonomy tab</v>
      </c>
      <c r="F18" s="1" t="str">
        <f>IF((Table15[[#This Row],[Desktop]]="yes"),"yes","no")</f>
        <v>no</v>
      </c>
      <c r="G18" s="14" t="str">
        <f>IF((Table15[[#This Row],[Desktop]]="yes"),"","n/a")</f>
        <v>n/a</v>
      </c>
      <c r="H18" s="14"/>
    </row>
    <row r="19" spans="1:8" ht="116" hidden="1" x14ac:dyDescent="0.35">
      <c r="A19" s="2" t="str">
        <f>Table15[[#This Row],[ID]]</f>
        <v xml:space="preserve"> 4.1.1</v>
      </c>
      <c r="B19" s="1" t="str">
        <f>Table15[[#This Row],[Section]]</f>
        <v>Touch Guides (TG / Routing Guides)</v>
      </c>
      <c r="C19" s="1" t="str">
        <f>Table15[[#This Row],[Sub-Section]]</f>
        <v>General Requirements</v>
      </c>
      <c r="D19" s="16" t="str">
        <f>Table15[[#This Row],[Title]]</f>
        <v>Only operable elements are in tab order</v>
      </c>
      <c r="E19" s="18"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9" s="1" t="str">
        <f>IF((Table15[[#This Row],[Desktop]]="yes"),"yes","no")</f>
        <v>yes</v>
      </c>
      <c r="G19" s="14" t="str">
        <f>IF((Table15[[#This Row],[Desktop]]="yes"),"","n/a")</f>
        <v/>
      </c>
      <c r="H19" s="14"/>
    </row>
    <row r="20" spans="1:8" ht="58" hidden="1" x14ac:dyDescent="0.35">
      <c r="A20" s="2" t="str">
        <f>Table15[[#This Row],[ID]]</f>
        <v>4.1.2</v>
      </c>
      <c r="B20" s="1" t="str">
        <f>Table15[[#This Row],[Section]]</f>
        <v>Touch Guides (TG / Routing Guides)</v>
      </c>
      <c r="C20" s="1" t="str">
        <f>Table15[[#This Row],[Sub-Section]]</f>
        <v>General Requirements</v>
      </c>
      <c r="D20" s="16" t="str">
        <f>Table15[[#This Row],[Title]]</f>
        <v>Operable elements in TG are activatable via keyboard and accessible gestures</v>
      </c>
      <c r="E20" s="18" t="str">
        <f>IF(Table15[[#This Row],[Description]]&lt;&gt;0,Table15[[#This Row],[Description]],"No entry")</f>
        <v>Operable elements in a TG can be activated via enter-key as well as space-bar. On accessible touchscreen environments, operable elements can be activated with screen reader compatible gestures.</v>
      </c>
      <c r="F20" s="1" t="str">
        <f>IF((Table15[[#This Row],[Desktop]]="yes"),"yes","no")</f>
        <v>yes</v>
      </c>
      <c r="G20" s="14" t="str">
        <f>IF((Table15[[#This Row],[Desktop]]="yes"),"","n/a")</f>
        <v/>
      </c>
      <c r="H20" s="14"/>
    </row>
    <row r="21" spans="1:8" ht="72.5" hidden="1" x14ac:dyDescent="0.35">
      <c r="A21" s="2" t="str">
        <f>Table15[[#This Row],[ID]]</f>
        <v>4.1.3</v>
      </c>
      <c r="B21" s="1" t="str">
        <f>Table15[[#This Row],[Section]]</f>
        <v>Touch Guides (TG / Routing Guides)</v>
      </c>
      <c r="C21" s="1" t="str">
        <f>Table15[[#This Row],[Sub-Section]]</f>
        <v>General Requirements</v>
      </c>
      <c r="D21" s="16" t="str">
        <f>Table15[[#This Row],[Title]]</f>
        <v xml:space="preserve">Spawning Touch Guide moves focus to first menu item </v>
      </c>
      <c r="E21" s="18" t="str">
        <f>IF(Table15[[#This Row],[Description]]&lt;&gt;0,Table15[[#This Row],[Description]],"No entry")</f>
        <v>When a TG panel containing a menu is spawned, focus is moved automatically to the first menu item in the TG panel. Please note that a "back" button, or other similar non topic-specific button is not deemed to be a menu item, and as such must not have initial focus.</v>
      </c>
      <c r="F21" s="1" t="str">
        <f>IF((Table15[[#This Row],[Desktop]]="yes"),"yes","no")</f>
        <v>yes</v>
      </c>
      <c r="G21" s="14" t="str">
        <f>IF((Table15[[#This Row],[Desktop]]="yes"),"","n/a")</f>
        <v/>
      </c>
      <c r="H21" s="14"/>
    </row>
    <row r="22" spans="1:8" ht="58" hidden="1" x14ac:dyDescent="0.35">
      <c r="A22" s="2" t="str">
        <f>Table15[[#This Row],[ID]]</f>
        <v>4.1.4</v>
      </c>
      <c r="B22" s="1" t="str">
        <f>Table15[[#This Row],[Section]]</f>
        <v>Touch Guides (TG / Routing Guides)</v>
      </c>
      <c r="C22" s="1" t="str">
        <f>Table15[[#This Row],[Sub-Section]]</f>
        <v>General Requirements</v>
      </c>
      <c r="D22" s="16" t="str">
        <f>Table15[[#This Row],[Title]]</f>
        <v>Upon TG spawning, TG title, prompts, and initial focused menu item are read automatically in the given order.</v>
      </c>
      <c r="E22" s="18" t="str">
        <f>IF(Table15[[#This Row],[Description]]&lt;&gt;0,Table15[[#This Row],[Description]],"No entry")</f>
        <v>When a TG is spawned, the screen reader announces: (1) TG title, (2) TG prompt, (3) menu item having initial focus. Automatic announcements must occur in the order A, B, C.</v>
      </c>
      <c r="F22" s="1" t="str">
        <f>IF((Table15[[#This Row],[Desktop]]="yes"),"yes","no")</f>
        <v>yes</v>
      </c>
      <c r="G22" s="14" t="str">
        <f>IF((Table15[[#This Row],[Desktop]]="yes"),"","n/a")</f>
        <v/>
      </c>
      <c r="H22" s="14"/>
    </row>
    <row r="23" spans="1:8" ht="43.5" hidden="1" x14ac:dyDescent="0.35">
      <c r="A23" s="2" t="str">
        <f>Table15[[#This Row],[ID]]</f>
        <v>4.1.5</v>
      </c>
      <c r="B23" s="1" t="str">
        <f>Table15[[#This Row],[Section]]</f>
        <v>Touch Guides (TG / Routing Guides)</v>
      </c>
      <c r="C23" s="1" t="str">
        <f>Table15[[#This Row],[Sub-Section]]</f>
        <v>General Requirements</v>
      </c>
      <c r="D23" s="16" t="str">
        <f>Table15[[#This Row],[Title]]</f>
        <v>In active items with tooltips, the tooltip is spoken after item is announced.</v>
      </c>
      <c r="E23" s="18" t="str">
        <f>IF(Table15[[#This Row],[Description]]&lt;&gt;0,Table15[[#This Row],[Description]],"No entry")</f>
        <v>TG items do not necessarily need tooltips or tooltip-like features, but if they have them, the tooltips will be spoken after the item.</v>
      </c>
      <c r="F23" s="1" t="str">
        <f>IF((Table15[[#This Row],[Desktop]]="yes"),"yes","no")</f>
        <v>yes</v>
      </c>
      <c r="G23" s="14" t="str">
        <f>IF((Table15[[#This Row],[Desktop]]="yes"),"","n/a")</f>
        <v/>
      </c>
      <c r="H23" s="14"/>
    </row>
    <row r="24" spans="1:8" ht="43.5" hidden="1" x14ac:dyDescent="0.35">
      <c r="A24" s="2" t="str">
        <f>Table15[[#This Row],[ID]]</f>
        <v>4.1.6</v>
      </c>
      <c r="B24" s="1" t="str">
        <f>Table15[[#This Row],[Section]]</f>
        <v>Touch Guides (TG / Routing Guides)</v>
      </c>
      <c r="C24" s="1" t="str">
        <f>Table15[[#This Row],[Sub-Section]]</f>
        <v>General Requirements</v>
      </c>
      <c r="D24" s="16" t="str">
        <f>Table15[[#This Row],[Title]]</f>
        <v>Icons matching TG item titles have alt="" text</v>
      </c>
      <c r="E24" s="18" t="str">
        <f>IF(Table15[[#This Row],[Description]]&lt;&gt;0,Table15[[#This Row],[Description]],"No entry")</f>
        <v>If TG items feature a textual title as well as an icon, the icon is assigned a null alt (alt="") text in order to avoid duplicate verbalization by screen readers.</v>
      </c>
      <c r="F24" s="1" t="str">
        <f>IF((Table15[[#This Row],[Desktop]]="yes"),"yes","no")</f>
        <v>yes</v>
      </c>
      <c r="G24" s="14" t="str">
        <f>IF((Table15[[#This Row],[Desktop]]="yes"),"","n/a")</f>
        <v/>
      </c>
      <c r="H24" s="14"/>
    </row>
    <row r="25" spans="1:8" ht="87" hidden="1" x14ac:dyDescent="0.35">
      <c r="A25" s="2" t="str">
        <f>Table15[[#This Row],[ID]]</f>
        <v>4.1.7</v>
      </c>
      <c r="B25" s="1" t="str">
        <f>Table15[[#This Row],[Section]]</f>
        <v>Touch Guides (TG / Routing Guides)</v>
      </c>
      <c r="C25" s="1" t="str">
        <f>Table15[[#This Row],[Sub-Section]]</f>
        <v>General Requirements</v>
      </c>
      <c r="D25" s="16" t="str">
        <f>Table15[[#This Row],[Title]]</f>
        <v>TouchGuide (Routing Guide) items with icons are focused and operable as a single object.</v>
      </c>
      <c r="E25" s="18"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5" s="1" t="str">
        <f>IF((Table15[[#This Row],[Desktop]]="yes"),"yes","no")</f>
        <v>yes</v>
      </c>
      <c r="G25" s="14" t="str">
        <f>IF((Table15[[#This Row],[Desktop]]="yes"),"","n/a")</f>
        <v/>
      </c>
      <c r="H25" s="14"/>
    </row>
    <row r="26" spans="1:8" hidden="1" x14ac:dyDescent="0.35">
      <c r="A26" s="2" t="str">
        <f>Table15[[#This Row],[ID]]</f>
        <v>4.2.0</v>
      </c>
      <c r="B26" s="1" t="str">
        <f>Table15[[#This Row],[Section]]</f>
        <v>Backup Modals</v>
      </c>
      <c r="C26" s="1" t="str">
        <f>Table15[[#This Row],[Sub-Section]]</f>
        <v>Modal Taxonomy</v>
      </c>
      <c r="D26" s="16" t="str">
        <f>Table15[[#This Row],[Title]]</f>
        <v>Backup nodes are Strict Modals</v>
      </c>
      <c r="E26" s="18" t="str">
        <f>IF(Table15[[#This Row],[Description]]&lt;&gt;0,Table15[[#This Row],[Description]],"No entry")</f>
        <v>see Modal Taxonomy tab</v>
      </c>
      <c r="F26" s="1" t="str">
        <f>IF((Table15[[#This Row],[Desktop]]="yes"),"yes","no")</f>
        <v>no</v>
      </c>
      <c r="G26" s="14" t="str">
        <f>IF((Table15[[#This Row],[Desktop]]="yes"),"","n/a")</f>
        <v>n/a</v>
      </c>
      <c r="H26" s="14"/>
    </row>
    <row r="27" spans="1:8" ht="43.5" hidden="1" x14ac:dyDescent="0.35">
      <c r="A27" s="2" t="str">
        <f>Table15[[#This Row],[ID]]</f>
        <v>4.2.1</v>
      </c>
      <c r="B27" s="1" t="str">
        <f>Table15[[#This Row],[Section]]</f>
        <v>Backup Modals</v>
      </c>
      <c r="C27" s="1" t="str">
        <f>Table15[[#This Row],[Sub-Section]]</f>
        <v>General Requirements</v>
      </c>
      <c r="D27" s="16" t="str">
        <f>Table15[[#This Row],[Title]]</f>
        <v>Backup nodes have prompt and default button.</v>
      </c>
      <c r="E27" s="18" t="str">
        <f>IF(Table15[[#This Row],[Description]]&lt;&gt;0,Table15[[#This Row],[Description]],"No entry")</f>
        <v xml:space="preserve">Backup nodes must contain both a prompt and a default call to action button. The default button is focused automatically when backup node is spawned. </v>
      </c>
      <c r="F27" s="1" t="str">
        <f>IF((Table15[[#This Row],[Desktop]]="yes"),"yes","no")</f>
        <v>yes</v>
      </c>
      <c r="G27" s="14" t="str">
        <f>IF((Table15[[#This Row],[Desktop]]="yes"),"","n/a")</f>
        <v/>
      </c>
      <c r="H27" s="14"/>
    </row>
    <row r="28" spans="1:8" ht="43.5" hidden="1" x14ac:dyDescent="0.35">
      <c r="A28" s="2" t="str">
        <f>Table15[[#This Row],[ID]]</f>
        <v>4.2.2</v>
      </c>
      <c r="B28" s="1" t="str">
        <f>Table15[[#This Row],[Section]]</f>
        <v>Backup Modals</v>
      </c>
      <c r="C28" s="1" t="str">
        <f>Table15[[#This Row],[Sub-Section]]</f>
        <v>General Requirements</v>
      </c>
      <c r="D28" s="16" t="str">
        <f>Table15[[#This Row],[Title]]</f>
        <v>In backup nodes, prompt and default button are both verbalized upon node spawning.</v>
      </c>
      <c r="E28" s="18" t="str">
        <f>IF(Table15[[#This Row],[Description]]&lt;&gt;0,Table15[[#This Row],[Description]],"No entry")</f>
        <v>The prompt is spoken before the button. If focus is removed from default button, and then button is refocused, prompt is not repeated.</v>
      </c>
      <c r="F28" s="1" t="str">
        <f>IF((Table15[[#This Row],[Desktop]]="yes"),"yes","no")</f>
        <v>yes</v>
      </c>
      <c r="G28" s="14" t="str">
        <f>IF((Table15[[#This Row],[Desktop]]="yes"),"","n/a")</f>
        <v/>
      </c>
      <c r="H28" s="14"/>
    </row>
    <row r="29" spans="1:8" ht="29" hidden="1" x14ac:dyDescent="0.35">
      <c r="A29" s="2" t="str">
        <f>Table15[[#This Row],[ID]]</f>
        <v>5.0.0</v>
      </c>
      <c r="B29" s="1" t="str">
        <f>Table15[[#This Row],[Section]]</f>
        <v>Surveys and Forms</v>
      </c>
      <c r="C29" s="1" t="str">
        <f>Table15[[#This Row],[Sub-Section]]</f>
        <v>Modal Taxonomy</v>
      </c>
      <c r="D29" s="16" t="str">
        <f>Table15[[#This Row],[Title]]</f>
        <v>Pre-chat and Post-chat surveys are contained in Relaxed Modals</v>
      </c>
      <c r="E29" s="18" t="str">
        <f>IF(Table15[[#This Row],[Description]]&lt;&gt;0,Table15[[#This Row],[Description]],"No entry")</f>
        <v>See Modal Taxonomy tab</v>
      </c>
      <c r="F29" s="1" t="str">
        <f>IF((Table15[[#This Row],[Desktop]]="yes"),"yes","no")</f>
        <v>no</v>
      </c>
      <c r="G29" s="14" t="str">
        <f>IF((Table15[[#This Row],[Desktop]]="yes"),"","n/a")</f>
        <v>n/a</v>
      </c>
      <c r="H29" s="14"/>
    </row>
    <row r="30" spans="1:8" ht="87" hidden="1" x14ac:dyDescent="0.35">
      <c r="A30" s="2" t="str">
        <f>Table15[[#This Row],[ID]]</f>
        <v>5.1.1</v>
      </c>
      <c r="B30" s="1" t="str">
        <f>Table15[[#This Row],[Section]]</f>
        <v>Form Elements</v>
      </c>
      <c r="C30" s="1" t="str">
        <f>Table15[[#This Row],[Sub-Section]]</f>
        <v>General Requirements</v>
      </c>
      <c r="D30" s="16" t="str">
        <f>Table15[[#This Row],[Title]]</f>
        <v>Use drop-downs instead of radio buttons on Desktop Web.</v>
      </c>
      <c r="E30" s="18"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 and should be preferrebly implemented.</v>
      </c>
      <c r="F30" s="1" t="str">
        <f>IF((Table15[[#This Row],[Desktop]]="yes"),"yes","no")</f>
        <v>yes</v>
      </c>
      <c r="G30" s="14" t="str">
        <f>IF((Table15[[#This Row],[Desktop]]="yes"),"","n/a")</f>
        <v/>
      </c>
      <c r="H30" s="14"/>
    </row>
    <row r="31" spans="1:8" ht="43.5" hidden="1" x14ac:dyDescent="0.35">
      <c r="A31" s="2" t="str">
        <f>Table15[[#This Row],[ID]]</f>
        <v>5.1.2</v>
      </c>
      <c r="B31" s="1" t="str">
        <f>Table15[[#This Row],[Section]]</f>
        <v>Form Elements</v>
      </c>
      <c r="C31" s="1" t="str">
        <f>Table15[[#This Row],[Sub-Section]]</f>
        <v>General Requirements</v>
      </c>
      <c r="D31" s="16" t="str">
        <f>Table15[[#This Row],[Title]]</f>
        <v>On form spawning, move focus to first control specific to topic</v>
      </c>
      <c r="E31" s="18" t="str">
        <f>IF(Table15[[#This Row],[Description]]&lt;&gt;0,Table15[[#This Row],[Description]],"No entry")</f>
        <v>When a form is spawned, move focus to the first topical form control that is specific to the subject or purpose of the form.</v>
      </c>
      <c r="F31" s="1" t="str">
        <f>IF((Table15[[#This Row],[Desktop]]="yes"),"yes","no")</f>
        <v>yes</v>
      </c>
      <c r="G31" s="14" t="str">
        <f>IF((Table15[[#This Row],[Desktop]]="yes"),"","n/a")</f>
        <v/>
      </c>
      <c r="H31" s="14"/>
    </row>
    <row r="32" spans="1:8" ht="87" hidden="1" x14ac:dyDescent="0.35">
      <c r="A32" s="2" t="str">
        <f>Table15[[#This Row],[ID]]</f>
        <v>5.1.3</v>
      </c>
      <c r="B32" s="1" t="str">
        <f>Table15[[#This Row],[Section]]</f>
        <v>Form Elements</v>
      </c>
      <c r="C32" s="1" t="str">
        <f>Table15[[#This Row],[Sub-Section]]</f>
        <v>General Requirements</v>
      </c>
      <c r="D32" s="16" t="str">
        <f>Table15[[#This Row],[Title]]</f>
        <v>Break up extended, bound text into multiple spans.</v>
      </c>
      <c r="E32" s="18" t="str">
        <f>IF(Table15[[#This Row],[Description]]&lt;&gt;0,Table15[[#This Row],[Description]],"No entry")</f>
        <v>When a text element longer than 1024 characters is bound to another element with aria-describedby or aria-labelledby, the text needs to be distributed over two or more elements, so that screen readers read the text completely, lest truncation will occur at the 1024 character mark.</v>
      </c>
      <c r="F32" s="1" t="str">
        <f>IF((Table15[[#This Row],[Desktop]]="yes"),"yes","no")</f>
        <v>yes</v>
      </c>
      <c r="G32" s="14" t="str">
        <f>IF((Table15[[#This Row],[Desktop]]="yes"),"","n/a")</f>
        <v/>
      </c>
      <c r="H32" s="14"/>
    </row>
    <row r="33" spans="1:8" ht="72.5" hidden="1" x14ac:dyDescent="0.35">
      <c r="A33" s="2" t="str">
        <f>Table15[[#This Row],[ID]]</f>
        <v>5.2.1</v>
      </c>
      <c r="B33" s="1" t="str">
        <f>Table15[[#This Row],[Section]]</f>
        <v>Form Elements</v>
      </c>
      <c r="C33" s="1" t="str">
        <f>Table15[[#This Row],[Sub-Section]]</f>
        <v>Control in error</v>
      </c>
      <c r="D33" s="16" t="str">
        <f>Table15[[#This Row],[Title]]</f>
        <v>Error messages must be meaningful and specific.</v>
      </c>
      <c r="E33" s="18"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3" s="1" t="str">
        <f>IF((Table15[[#This Row],[Desktop]]="yes"),"yes","no")</f>
        <v>yes</v>
      </c>
      <c r="G33" s="14" t="str">
        <f>IF((Table15[[#This Row],[Desktop]]="yes"),"","n/a")</f>
        <v/>
      </c>
      <c r="H33" s="14"/>
    </row>
    <row r="34" spans="1:8" ht="43.5" hidden="1" x14ac:dyDescent="0.35">
      <c r="A34" s="2" t="str">
        <f>Table15[[#This Row],[ID]]</f>
        <v>5.2.2</v>
      </c>
      <c r="B34" s="1" t="str">
        <f>Table15[[#This Row],[Section]]</f>
        <v>Form Elements</v>
      </c>
      <c r="C34" s="1" t="str">
        <f>Table15[[#This Row],[Sub-Section]]</f>
        <v>Control in error</v>
      </c>
      <c r="D34" s="16" t="str">
        <f>Table15[[#This Row],[Title]]</f>
        <v>Error messages must be placed inline with the invalid field.</v>
      </c>
      <c r="E34" s="18" t="str">
        <f>IF(Table15[[#This Row],[Description]]&lt;&gt;0,Table15[[#This Row],[Description]],"No entry")</f>
        <v>Error messages are placed visually and programmatically just to the right of or below the invalid field in the underlying code for proper error association.</v>
      </c>
      <c r="F34" s="1" t="str">
        <f>IF((Table15[[#This Row],[Desktop]]="yes"),"yes","no")</f>
        <v>yes</v>
      </c>
      <c r="G34" s="14" t="str">
        <f>IF((Table15[[#This Row],[Desktop]]="yes"),"","n/a")</f>
        <v/>
      </c>
      <c r="H34" s="14"/>
    </row>
    <row r="35" spans="1:8" ht="43.5" hidden="1" x14ac:dyDescent="0.35">
      <c r="A35" s="2" t="str">
        <f>Table15[[#This Row],[ID]]</f>
        <v>5.2.3</v>
      </c>
      <c r="B35" s="1" t="str">
        <f>Table15[[#This Row],[Section]]</f>
        <v>Form Elements</v>
      </c>
      <c r="C35" s="1" t="str">
        <f>Table15[[#This Row],[Sub-Section]]</f>
        <v>Control in error</v>
      </c>
      <c r="D35" s="16" t="str">
        <f>Table15[[#This Row],[Title]]</f>
        <v>On field focus, read error messages automatically after field announcement.</v>
      </c>
      <c r="E35" s="18" t="str">
        <f>IF(Table15[[#This Row],[Description]]&lt;&gt;0,Table15[[#This Row],[Description]],"No entry")</f>
        <v>Once the form control is read, the error associated with a control is read out by the screen reader or other assistive technology.</v>
      </c>
      <c r="F35" s="1" t="str">
        <f>IF((Table15[[#This Row],[Desktop]]="yes"),"yes","no")</f>
        <v>yes</v>
      </c>
      <c r="G35" s="14" t="str">
        <f>IF((Table15[[#This Row],[Desktop]]="yes"),"","n/a")</f>
        <v/>
      </c>
      <c r="H35" s="14"/>
    </row>
    <row r="36" spans="1:8" ht="29" hidden="1" x14ac:dyDescent="0.35">
      <c r="A36" s="2" t="str">
        <f>Table15[[#This Row],[ID]]</f>
        <v>5.2.4</v>
      </c>
      <c r="B36" s="1" t="str">
        <f>Table15[[#This Row],[Section]]</f>
        <v>Form Elements</v>
      </c>
      <c r="C36" s="1" t="str">
        <f>Table15[[#This Row],[Sub-Section]]</f>
        <v>Control in error</v>
      </c>
      <c r="D36" s="16" t="str">
        <f>Table15[[#This Row],[Title]]</f>
        <v>Submitting with errors focuses first field in error</v>
      </c>
      <c r="E36" s="18" t="str">
        <f>IF(Table15[[#This Row],[Description]]&lt;&gt;0,Table15[[#This Row],[Description]],"No entry")</f>
        <v>When a form is submitted with errors, focus is moved to the first control in error, not to the first control in the form.</v>
      </c>
      <c r="F36" s="1" t="str">
        <f>IF((Table15[[#This Row],[Desktop]]="yes"),"yes","no")</f>
        <v>yes</v>
      </c>
      <c r="G36" s="14" t="str">
        <f>IF((Table15[[#This Row],[Desktop]]="yes"),"","n/a")</f>
        <v/>
      </c>
      <c r="H36" s="14"/>
    </row>
    <row r="37" spans="1:8" ht="29" hidden="1" x14ac:dyDescent="0.35">
      <c r="A37" s="2" t="str">
        <f>Table15[[#This Row],[ID]]</f>
        <v>5.2.5</v>
      </c>
      <c r="B37" s="1" t="str">
        <f>Table15[[#This Row],[Section]]</f>
        <v>Form Elements</v>
      </c>
      <c r="C37" s="1" t="str">
        <f>Table15[[#This Row],[Sub-Section]]</f>
        <v>Control in error</v>
      </c>
      <c r="D37" s="16" t="str">
        <f>Table15[[#This Row],[Title]]</f>
        <v>No tab order deletion upon submission with errors</v>
      </c>
      <c r="E37" s="18" t="str">
        <f>IF(Table15[[#This Row],[Description]]&lt;&gt;0,Table15[[#This Row],[Description]],"No entry")</f>
        <v>Do not delete operable elements from the tab order when errors occur.</v>
      </c>
      <c r="F37" s="1" t="str">
        <f>IF((Table15[[#This Row],[Desktop]]="yes"),"yes","no")</f>
        <v>yes</v>
      </c>
      <c r="G37" s="14" t="str">
        <f>IF((Table15[[#This Row],[Desktop]]="yes"),"","n/a")</f>
        <v/>
      </c>
      <c r="H37" s="14"/>
    </row>
    <row r="38" spans="1:8" ht="43.5" hidden="1" x14ac:dyDescent="0.35">
      <c r="A38" s="2" t="str">
        <f>Table15[[#This Row],[ID]]</f>
        <v>5.3.1</v>
      </c>
      <c r="B38" s="1" t="str">
        <f>Table15[[#This Row],[Section]]</f>
        <v>Form Elements</v>
      </c>
      <c r="C38" s="1" t="str">
        <f>Table15[[#This Row],[Sub-Section]]</f>
        <v>Required Fields</v>
      </c>
      <c r="D38" s="16" t="str">
        <f>Table15[[#This Row],[Title]]</f>
        <v>Identify required fields visually and programmatically.</v>
      </c>
      <c r="E38" s="18" t="str">
        <f>IF(Table15[[#This Row],[Description]]&lt;&gt;0,Table15[[#This Row],[Description]],"No entry")</f>
        <v xml:space="preserve">Identify required fields programmatically for screen readers and other assistive technology. Typical visual treatment is to provide an asterisk for required fields. </v>
      </c>
      <c r="F38" s="1" t="str">
        <f>IF((Table15[[#This Row],[Desktop]]="yes"),"yes","no")</f>
        <v>yes</v>
      </c>
      <c r="G38" s="14" t="str">
        <f>IF((Table15[[#This Row],[Desktop]]="yes"),"","n/a")</f>
        <v/>
      </c>
      <c r="H38" s="14"/>
    </row>
    <row r="39" spans="1:8" ht="29" hidden="1" x14ac:dyDescent="0.35">
      <c r="A39" s="2" t="str">
        <f>Table15[[#This Row],[ID]]</f>
        <v>5.3.2</v>
      </c>
      <c r="B39" s="1" t="str">
        <f>Table15[[#This Row],[Section]]</f>
        <v>Form Elements</v>
      </c>
      <c r="C39" s="1" t="str">
        <f>Table15[[#This Row],[Sub-Section]]</f>
        <v>Required Fields</v>
      </c>
      <c r="D39" s="16" t="str">
        <f>Table15[[#This Row],[Title]]</f>
        <v>Check-boxes cannot be required controls.</v>
      </c>
      <c r="E39" s="18" t="str">
        <f>IF(Table15[[#This Row],[Description]]&lt;&gt;0,Table15[[#This Row],[Description]],"No entry")</f>
        <v>A check-box cannot be a required control, lest the user is mislead to believe that "checked" is the only allowed state.</v>
      </c>
      <c r="F39" s="1" t="str">
        <f>IF((Table15[[#This Row],[Desktop]]="yes"),"yes","no")</f>
        <v>yes</v>
      </c>
      <c r="G39" s="14" t="str">
        <f>IF((Table15[[#This Row],[Desktop]]="yes"),"","n/a")</f>
        <v/>
      </c>
      <c r="H39" s="14"/>
    </row>
    <row r="40" spans="1:8" ht="29" hidden="1" x14ac:dyDescent="0.35">
      <c r="A40" s="2" t="str">
        <f>Table15[[#This Row],[ID]]</f>
        <v>5.3.3</v>
      </c>
      <c r="B40" s="1" t="str">
        <f>Table15[[#This Row],[Section]]</f>
        <v>Form Elements</v>
      </c>
      <c r="C40" s="1" t="str">
        <f>Table15[[#This Row],[Sub-Section]]</f>
        <v>Required Fields</v>
      </c>
      <c r="D40" s="16" t="str">
        <f>Table15[[#This Row],[Title]]</f>
        <v>Required drop down menus have deafault null option</v>
      </c>
      <c r="E40" s="18" t="str">
        <f>IF(Table15[[#This Row],[Description]]&lt;&gt;0,Table15[[#This Row],[Description]],"No entry")</f>
        <v>If a dropdown menu is a "required" control, the default option must be a null placeholder.</v>
      </c>
      <c r="F40" s="1" t="str">
        <f>IF((Table15[[#This Row],[Desktop]]="yes"),"yes","no")</f>
        <v>yes</v>
      </c>
      <c r="G40" s="14" t="str">
        <f>IF((Table15[[#This Row],[Desktop]]="yes"),"","n/a")</f>
        <v/>
      </c>
      <c r="H40" s="14"/>
    </row>
    <row r="41" spans="1:8" ht="58" hidden="1" x14ac:dyDescent="0.35">
      <c r="A41" s="2" t="str">
        <f>Table15[[#This Row],[ID]]</f>
        <v>5.4.1</v>
      </c>
      <c r="B41" s="1" t="str">
        <f>Table15[[#This Row],[Section]]</f>
        <v>Form Elements</v>
      </c>
      <c r="C41" s="1" t="str">
        <f>Table15[[#This Row],[Sub-Section]]</f>
        <v>Dynamic Survey Logic</v>
      </c>
      <c r="D41" s="16" t="str">
        <f>Table15[[#This Row],[Title]]</f>
        <v>Dynamically generated form elements are automatically added to the tab order.</v>
      </c>
      <c r="E41" s="18" t="str">
        <f>IF(Table15[[#This Row],[Description]]&lt;&gt;0,Table15[[#This Row],[Description]],"No entry")</f>
        <v>The screen reader user must not be required to operate unique, contrived keystrokes to navigate to dynamically generated fields. Conversely, dynamically generated content behaves seemlessly, like any other content.</v>
      </c>
      <c r="F41" s="1" t="str">
        <f>IF((Table15[[#This Row],[Desktop]]="yes"),"yes","no")</f>
        <v>yes</v>
      </c>
      <c r="G41" s="14" t="str">
        <f>IF((Table15[[#This Row],[Desktop]]="yes"),"","n/a")</f>
        <v/>
      </c>
      <c r="H41" s="14"/>
    </row>
    <row r="42" spans="1:8" ht="29" hidden="1" x14ac:dyDescent="0.35">
      <c r="A42" s="2" t="str">
        <f>Table15[[#This Row],[ID]]</f>
        <v>6.0.0</v>
      </c>
      <c r="B42" s="1" t="str">
        <f>Table15[[#This Row],[Section]]</f>
        <v>Chat Panels</v>
      </c>
      <c r="C42" s="1" t="str">
        <f>Table15[[#This Row],[Sub-Section]]</f>
        <v>Modal Taxonomy</v>
      </c>
      <c r="D42" s="16" t="str">
        <f>Table15[[#This Row],[Title]]</f>
        <v>The in-div chat panel is a relaxed modal</v>
      </c>
      <c r="E42" s="18" t="str">
        <f>IF(Table15[[#This Row],[Description]]&lt;&gt;0,Table15[[#This Row],[Description]],"No entry")</f>
        <v>See Modal Taxonomy tab</v>
      </c>
      <c r="F42" s="1" t="str">
        <f>IF((Table15[[#This Row],[Desktop]]="yes"),"yes","no")</f>
        <v>no</v>
      </c>
      <c r="G42" s="14" t="str">
        <f>IF((Table15[[#This Row],[Desktop]]="yes"),"","n/a")</f>
        <v>n/a</v>
      </c>
      <c r="H42" s="14"/>
    </row>
    <row r="43" spans="1:8" ht="29" hidden="1" x14ac:dyDescent="0.35">
      <c r="A43" s="2" t="str">
        <f>Table15[[#This Row],[ID]]</f>
        <v>6.1.1</v>
      </c>
      <c r="B43" s="1" t="str">
        <f>Table15[[#This Row],[Section]]</f>
        <v>Chat Panels</v>
      </c>
      <c r="C43" s="1" t="str">
        <f>Table15[[#This Row],[Sub-Section]]</f>
        <v>General Requirements</v>
      </c>
      <c r="D43" s="16" t="str">
        <f>Table15[[#This Row],[Title]]</f>
        <v>Chat is dismissable via escape key.</v>
      </c>
      <c r="E43" s="18" t="str">
        <f>IF(Table15[[#This Row],[Description]]&lt;&gt;0,Table15[[#This Row],[Description]],"No entry")</f>
        <v>For desktop, chat panel and child windows are dismissable via escape key in the in-page modal window.</v>
      </c>
      <c r="F43" s="1" t="str">
        <f>IF((Table15[[#This Row],[Desktop]]="yes"),"yes","no")</f>
        <v>yes</v>
      </c>
      <c r="G43" s="14" t="str">
        <f>IF((Table15[[#This Row],[Desktop]]="yes"),"","n/a")</f>
        <v/>
      </c>
      <c r="H43" s="14"/>
    </row>
    <row r="44" spans="1:8" ht="29" hidden="1" x14ac:dyDescent="0.35">
      <c r="A44" s="2" t="str">
        <f>Table15[[#This Row],[ID]]</f>
        <v>6.1.2</v>
      </c>
      <c r="B44" s="1" t="str">
        <f>Table15[[#This Row],[Section]]</f>
        <v>Chat Panels</v>
      </c>
      <c r="C44" s="1" t="str">
        <f>Table15[[#This Row],[Sub-Section]]</f>
        <v>General Requirements</v>
      </c>
      <c r="D44" s="16" t="str">
        <f>Table15[[#This Row],[Title]]</f>
        <v>Minimized chat panel cannot be dismissed with the escape key.</v>
      </c>
      <c r="E44" s="18" t="str">
        <f>IF(Table15[[#This Row],[Description]]&lt;&gt;0,Table15[[#This Row],[Description]],"No entry")</f>
        <v>When chat is in a minimized state, operating the escape key has no effect.</v>
      </c>
      <c r="F44" s="1" t="str">
        <f>IF((Table15[[#This Row],[Desktop]]="yes"),"yes","no")</f>
        <v>yes</v>
      </c>
      <c r="G44" s="14" t="str">
        <f>IF((Table15[[#This Row],[Desktop]]="yes"),"","n/a")</f>
        <v/>
      </c>
      <c r="H44" s="14"/>
    </row>
    <row r="45" spans="1:8" ht="29" hidden="1" x14ac:dyDescent="0.35">
      <c r="A45" s="2" t="str">
        <f>Table15[[#This Row],[ID]]</f>
        <v>6.10.0</v>
      </c>
      <c r="B45" s="1" t="str">
        <f>Table15[[#This Row],[Section]]</f>
        <v>Chat Panels</v>
      </c>
      <c r="C45" s="1" t="str">
        <f>Table15[[#This Row],[Sub-Section]]</f>
        <v>Email Transcript</v>
      </c>
      <c r="D45" s="16" t="str">
        <f>Table15[[#This Row],[Title]]</f>
        <v>Modal Taxonomy - Email transcript is a Strict Modal</v>
      </c>
      <c r="E45" s="18" t="str">
        <f>IF(Table15[[#This Row],[Description]]&lt;&gt;0,Table15[[#This Row],[Description]],"No entry")</f>
        <v>See Modal Taxonomy tab</v>
      </c>
      <c r="F45" s="1" t="str">
        <f>IF((Table15[[#This Row],[Desktop]]="yes"),"yes","no")</f>
        <v>no</v>
      </c>
      <c r="G45" s="14" t="str">
        <f>IF((Table15[[#This Row],[Desktop]]="yes"),"","n/a")</f>
        <v>n/a</v>
      </c>
      <c r="H45" s="14"/>
    </row>
    <row r="46" spans="1:8" ht="72.5" hidden="1" x14ac:dyDescent="0.35">
      <c r="A46" s="2" t="str">
        <f>Table15[[#This Row],[ID]]</f>
        <v>6.10.1</v>
      </c>
      <c r="B46" s="1" t="str">
        <f>Table15[[#This Row],[Section]]</f>
        <v>Chat Panels</v>
      </c>
      <c r="C46" s="1" t="str">
        <f>Table15[[#This Row],[Sub-Section]]</f>
        <v>Email Transcript</v>
      </c>
      <c r="D46" s="16" t="str">
        <f>Table15[[#This Row],[Title]]</f>
        <v>Upon modal activation, Focus moves to email transcript text entry field automatically</v>
      </c>
      <c r="E46" s="18" t="str">
        <f>IF(Table15[[#This Row],[Description]]&lt;&gt;0,Table15[[#This Row],[Description]],"No entry")</f>
        <v>When the “email transcript” button is operated, the request panel is opened as a stacked strict modal on top of the chat panel: focus is moved to the text input field, and the dialogue prompt is read automatically by the screen reader.</v>
      </c>
      <c r="F46" s="1" t="str">
        <f>IF((Table15[[#This Row],[Desktop]]="yes"),"yes","no")</f>
        <v>yes</v>
      </c>
      <c r="G46" s="14" t="str">
        <f>IF((Table15[[#This Row],[Desktop]]="yes"),"","n/a")</f>
        <v/>
      </c>
      <c r="H46" s="14"/>
    </row>
    <row r="47" spans="1:8" ht="72.5" hidden="1" x14ac:dyDescent="0.35">
      <c r="A47" s="2" t="str">
        <f>Table15[[#This Row],[ID]]</f>
        <v>6.10.2</v>
      </c>
      <c r="B47" s="1" t="str">
        <f>Table15[[#This Row],[Section]]</f>
        <v>Chat Panels</v>
      </c>
      <c r="C47" s="1" t="str">
        <f>Table15[[#This Row],[Sub-Section]]</f>
        <v>Email Transcript</v>
      </c>
      <c r="D47" s="16" t="str">
        <f>Table15[[#This Row],[Title]]</f>
        <v xml:space="preserve">Email transcript modal is self-contained </v>
      </c>
      <c r="E47" s="18" t="str">
        <f>IF(Table15[[#This Row],[Description]]&lt;&gt;0,Table15[[#This Row],[Description]],"No entry")</f>
        <v>The email transcript modal is a strict modal: it enforces modal boundaries: up/down arrows do not exceed modal boundaries, and tab and shift-tab navigation results in circular navigation inside modal (desktop only). On mobile circular navigation is not required.</v>
      </c>
      <c r="F47" s="1" t="str">
        <f>IF((Table15[[#This Row],[Desktop]]="yes"),"yes","no")</f>
        <v>yes</v>
      </c>
      <c r="G47" s="14" t="str">
        <f>IF((Table15[[#This Row],[Desktop]]="yes"),"","n/a")</f>
        <v/>
      </c>
      <c r="H47" s="14"/>
    </row>
    <row r="48" spans="1:8" ht="43.5" hidden="1" x14ac:dyDescent="0.35">
      <c r="A48" s="2" t="str">
        <f>Table15[[#This Row],[ID]]</f>
        <v>6.10.3</v>
      </c>
      <c r="B48" s="1" t="str">
        <f>Table15[[#This Row],[Section]]</f>
        <v>Chat Panels</v>
      </c>
      <c r="C48" s="1" t="str">
        <f>Table15[[#This Row],[Sub-Section]]</f>
        <v>Email Transcript</v>
      </c>
      <c r="D48" s="16" t="str">
        <f>Table15[[#This Row],[Title]]</f>
        <v>Email transcript can be dismissed with escape key, or with "Close" button.</v>
      </c>
      <c r="E48" s="18" t="str">
        <f>IF(Table15[[#This Row],[Description]]&lt;&gt;0,Table15[[#This Row],[Description]],"No entry")</f>
        <v>Note that "escape" key is applicable to desktop only</v>
      </c>
      <c r="F48" s="1" t="str">
        <f>IF((Table15[[#This Row],[Desktop]]="yes"),"yes","no")</f>
        <v>yes</v>
      </c>
      <c r="G48" s="14" t="str">
        <f>IF((Table15[[#This Row],[Desktop]]="yes"),"","n/a")</f>
        <v/>
      </c>
      <c r="H48" s="14"/>
    </row>
    <row r="49" spans="1:8" ht="58" hidden="1" x14ac:dyDescent="0.35">
      <c r="A49" s="2" t="str">
        <f>Table15[[#This Row],[ID]]</f>
        <v>6.10.4</v>
      </c>
      <c r="B49" s="1" t="str">
        <f>Table15[[#This Row],[Section]]</f>
        <v>Chat Panels</v>
      </c>
      <c r="C49" s="1" t="str">
        <f>Table15[[#This Row],[Sub-Section]]</f>
        <v>Email Transcript</v>
      </c>
      <c r="D49" s="16" t="str">
        <f>Table15[[#This Row],[Title]]</f>
        <v>Dismissing email transcript modal does not close chat</v>
      </c>
      <c r="E49" s="18" t="str">
        <f>IF(Table15[[#This Row],[Description]]&lt;&gt;0,Table15[[#This Row],[Description]],"No entry")</f>
        <v>When the email transcript modal is dismissed, only the modal itself is dismissed, but the main chat panel persists. In other words, modal dismissal occurs stack-wise, only one level at a time.</v>
      </c>
      <c r="F49" s="1" t="str">
        <f>IF((Table15[[#This Row],[Desktop]]="yes"),"yes","no")</f>
        <v>yes</v>
      </c>
      <c r="G49" s="14" t="str">
        <f>IF((Table15[[#This Row],[Desktop]]="yes"),"","n/a")</f>
        <v/>
      </c>
      <c r="H49" s="14"/>
    </row>
    <row r="50" spans="1:8" ht="43.5" hidden="1" x14ac:dyDescent="0.35">
      <c r="A50" s="2" t="str">
        <f>Table15[[#This Row],[ID]]</f>
        <v>6.10.5</v>
      </c>
      <c r="B50" s="1" t="str">
        <f>Table15[[#This Row],[Section]]</f>
        <v>Chat Panels</v>
      </c>
      <c r="C50" s="1" t="str">
        <f>Table15[[#This Row],[Sub-Section]]</f>
        <v>Email Transcript</v>
      </c>
      <c r="D50" s="16" t="str">
        <f>Table15[[#This Row],[Title]]</f>
        <v>Any error or success messages are visible and spoken automatically.</v>
      </c>
      <c r="E50" s="18" t="str">
        <f>IF(Table15[[#This Row],[Description]]&lt;&gt;0,Table15[[#This Row],[Description]],"No entry")</f>
        <v xml:space="preserve">Upon sending a transcript request, the resulting success or error message is displayed in a div within the transcript modal. </v>
      </c>
      <c r="F50" s="1" t="str">
        <f>IF((Table15[[#This Row],[Desktop]]="yes"),"yes","no")</f>
        <v>yes</v>
      </c>
      <c r="G50" s="14" t="str">
        <f>IF((Table15[[#This Row],[Desktop]]="yes"),"","n/a")</f>
        <v/>
      </c>
      <c r="H50" s="14"/>
    </row>
    <row r="51" spans="1:8" ht="58" hidden="1" x14ac:dyDescent="0.35">
      <c r="A51" s="2" t="str">
        <f>Table15[[#This Row],[ID]]</f>
        <v>6.10.6</v>
      </c>
      <c r="B51" s="1" t="str">
        <f>Table15[[#This Row],[Section]]</f>
        <v>Chat Panels</v>
      </c>
      <c r="C51" s="1" t="str">
        <f>Table15[[#This Row],[Sub-Section]]</f>
        <v>Email Transcript</v>
      </c>
      <c r="D51" s="16" t="str">
        <f>Table15[[#This Row],[Title]]</f>
        <v>Upon successful transcript request, closing email transcript modal returns focus to chat text input field.</v>
      </c>
      <c r="E51" s="18" t="str">
        <f>IF(Table15[[#This Row],[Description]]&lt;&gt;0,Table15[[#This Row],[Description]],"No entry")</f>
        <v>When the email transcript modal is closed, after having received success confirmation, keyboard focus returns to the main text entry field of the chat.</v>
      </c>
      <c r="F51" s="1" t="str">
        <f>IF((Table15[[#This Row],[Desktop]]="yes"),"yes","no")</f>
        <v>yes</v>
      </c>
      <c r="G51" s="14" t="str">
        <f>IF((Table15[[#This Row],[Desktop]]="yes"),"","n/a")</f>
        <v/>
      </c>
      <c r="H51" s="14"/>
    </row>
    <row r="52" spans="1:8" ht="58" hidden="1" x14ac:dyDescent="0.35">
      <c r="A52" s="2" t="str">
        <f>Table15[[#This Row],[ID]]</f>
        <v>6.10.7</v>
      </c>
      <c r="B52" s="1" t="str">
        <f>Table15[[#This Row],[Section]]</f>
        <v>Chat Panels</v>
      </c>
      <c r="C52" s="1" t="str">
        <f>Table15[[#This Row],[Sub-Section]]</f>
        <v>Email Transcript</v>
      </c>
      <c r="D52" s="16" t="str">
        <f>Table15[[#This Row],[Title]]</f>
        <v>Upon failed transcript request, closing email transcript modal returns focus to the "Email Transcript" invocation button.</v>
      </c>
      <c r="E52" s="18" t="str">
        <f>IF(Table15[[#This Row],[Description]]&lt;&gt;0,Table15[[#This Row],[Description]],"No entry")</f>
        <v>When the email transcript modal is closed, after having received a request failure error message, keyboard focus returns to the "Email transcript" invocation button.</v>
      </c>
      <c r="F52" s="1" t="str">
        <f>IF((Table15[[#This Row],[Desktop]]="yes"),"yes","no")</f>
        <v>yes</v>
      </c>
      <c r="G52" s="14" t="str">
        <f>IF((Table15[[#This Row],[Desktop]]="yes"),"","n/a")</f>
        <v/>
      </c>
      <c r="H52" s="14"/>
    </row>
    <row r="53" spans="1:8" ht="58" hidden="1" x14ac:dyDescent="0.35">
      <c r="A53" s="2" t="str">
        <f>Table15[[#This Row],[ID]]</f>
        <v>6.10.8</v>
      </c>
      <c r="B53" s="1" t="str">
        <f>Table15[[#This Row],[Section]]</f>
        <v>Chat Panels</v>
      </c>
      <c r="C53" s="1" t="str">
        <f>Table15[[#This Row],[Sub-Section]]</f>
        <v>Email Transcript</v>
      </c>
      <c r="D53" s="16" t="str">
        <f>Table15[[#This Row],[Title]]</f>
        <v>Closing email transcript modal, without completing the request, returns focus to the "Email Transcript" invocation button.</v>
      </c>
      <c r="E53" s="18" t="str">
        <f>IF(Table15[[#This Row],[Description]]&lt;&gt;0,Table15[[#This Row],[Description]],"No entry")</f>
        <v>When the email transcript modal is closed, before a request is sent, keyboard focus returns to the "Email transcript" invocation button.</v>
      </c>
      <c r="F53" s="1" t="str">
        <f>IF((Table15[[#This Row],[Desktop]]="yes"),"yes","no")</f>
        <v>yes</v>
      </c>
      <c r="G53" s="14" t="str">
        <f>IF((Table15[[#This Row],[Desktop]]="yes"),"","n/a")</f>
        <v/>
      </c>
      <c r="H53" s="14"/>
    </row>
    <row r="54" spans="1:8" ht="72.5" hidden="1" x14ac:dyDescent="0.35">
      <c r="A54" s="2" t="str">
        <f>Table15[[#This Row],[ID]]</f>
        <v>6.11.1</v>
      </c>
      <c r="B54" s="1" t="str">
        <f>Table15[[#This Row],[Section]]</f>
        <v>Chat Panels</v>
      </c>
      <c r="C54" s="1" t="str">
        <f>Table15[[#This Row],[Sub-Section]]</f>
        <v>Tab Order</v>
      </c>
      <c r="D54" s="16" t="str">
        <f>Table15[[#This Row],[Title]]</f>
        <v>Only operational elements are in the tab order</v>
      </c>
      <c r="E54" s="18"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54" s="1" t="str">
        <f>IF((Table15[[#This Row],[Desktop]]="yes"),"yes","no")</f>
        <v>yes</v>
      </c>
      <c r="G54" s="14" t="str">
        <f>IF((Table15[[#This Row],[Desktop]]="yes"),"","n/a")</f>
        <v/>
      </c>
      <c r="H54" s="14"/>
    </row>
    <row r="55" spans="1:8" ht="72.5" hidden="1" x14ac:dyDescent="0.35">
      <c r="A55" s="2" t="str">
        <f>Table15[[#This Row],[ID]]</f>
        <v>6.11.2</v>
      </c>
      <c r="B55" s="1" t="str">
        <f>Table15[[#This Row],[Section]]</f>
        <v>Chat Panels</v>
      </c>
      <c r="C55" s="1" t="str">
        <f>Table15[[#This Row],[Sub-Section]]</f>
        <v>Tab Order</v>
      </c>
      <c r="D55" s="16" t="str">
        <f>Table15[[#This Row],[Title]]</f>
        <v>Avoid use of tabindex.</v>
      </c>
      <c r="E55" s="18"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55" s="1" t="str">
        <f>IF((Table15[[#This Row],[Desktop]]="yes"),"yes","no")</f>
        <v>yes</v>
      </c>
      <c r="G55" s="14" t="str">
        <f>IF((Table15[[#This Row],[Desktop]]="yes"),"","n/a")</f>
        <v/>
      </c>
      <c r="H55" s="14"/>
    </row>
    <row r="56" spans="1:8" ht="29" hidden="1" x14ac:dyDescent="0.35">
      <c r="A56" s="2" t="str">
        <f>Table15[[#This Row],[ID]]</f>
        <v>6.12.0</v>
      </c>
      <c r="B56" s="1" t="str">
        <f>Table15[[#This Row],[Section]]</f>
        <v>Chat Panels</v>
      </c>
      <c r="C56" s="1" t="str">
        <f>Table15[[#This Row],[Sub-Section]]</f>
        <v>Sales Banners</v>
      </c>
      <c r="D56" s="16" t="str">
        <f>Table15[[#This Row],[Title]]</f>
        <v>Modal Taxonomy - Sales Banners are Strict Modals</v>
      </c>
      <c r="E56" s="18" t="str">
        <f>IF(Table15[[#This Row],[Description]]&lt;&gt;0,Table15[[#This Row],[Description]],"No entry")</f>
        <v>See Modal Taxonomy tab</v>
      </c>
      <c r="F56" s="1" t="str">
        <f>IF((Table15[[#This Row],[Desktop]]="yes"),"yes","no")</f>
        <v>no</v>
      </c>
      <c r="G56" s="14" t="str">
        <f>IF((Table15[[#This Row],[Desktop]]="yes"),"","n/a")</f>
        <v>n/a</v>
      </c>
      <c r="H56" s="14"/>
    </row>
    <row r="57" spans="1:8" ht="29" hidden="1" x14ac:dyDescent="0.35">
      <c r="A57" s="2" t="str">
        <f>Table15[[#This Row],[ID]]</f>
        <v>6.12.1</v>
      </c>
      <c r="B57" s="1" t="str">
        <f>Table15[[#This Row],[Section]]</f>
        <v>Chat Panels</v>
      </c>
      <c r="C57" s="1" t="str">
        <f>Table15[[#This Row],[Sub-Section]]</f>
        <v>Sales Banners</v>
      </c>
      <c r="D57" s="16" t="str">
        <f>Table15[[#This Row],[Title]]</f>
        <v>Avoid images of text</v>
      </c>
      <c r="E57" s="18" t="str">
        <f>IF(Table15[[#This Row],[Description]]&lt;&gt;0,Table15[[#This Row],[Description]],"No entry")</f>
        <v>Any text displayed in chat must be live text so that it can be appropriately scaled and managed by the user.</v>
      </c>
      <c r="F57" s="1" t="str">
        <f>IF((Table15[[#This Row],[Desktop]]="yes"),"yes","no")</f>
        <v>yes</v>
      </c>
      <c r="G57" s="14" t="str">
        <f>IF((Table15[[#This Row],[Desktop]]="yes"),"","n/a")</f>
        <v/>
      </c>
      <c r="H57" s="14"/>
    </row>
    <row r="58" spans="1:8" ht="29" hidden="1" x14ac:dyDescent="0.35">
      <c r="A58" s="2" t="str">
        <f>Table15[[#This Row],[ID]]</f>
        <v>6.12.2</v>
      </c>
      <c r="B58" s="1" t="str">
        <f>Table15[[#This Row],[Section]]</f>
        <v>Chat Panels</v>
      </c>
      <c r="C58" s="1" t="str">
        <f>Table15[[#This Row],[Sub-Section]]</f>
        <v>Sales Banners</v>
      </c>
      <c r="D58" s="16" t="str">
        <f>Table15[[#This Row],[Title]]</f>
        <v>Upon spawning a sales banner, focus moves to default button.</v>
      </c>
      <c r="E58" s="18" t="str">
        <f>IF(Table15[[#This Row],[Description]]&lt;&gt;0,Table15[[#This Row],[Description]],"No entry")</f>
        <v>When the sales banner opens, focus is placed on the default button or equivalent default operational element.</v>
      </c>
      <c r="F58" s="1" t="str">
        <f>IF((Table15[[#This Row],[Desktop]]="yes"),"yes","no")</f>
        <v>yes</v>
      </c>
      <c r="G58" s="14" t="str">
        <f>IF((Table15[[#This Row],[Desktop]]="yes"),"","n/a")</f>
        <v/>
      </c>
      <c r="H58" s="14"/>
    </row>
    <row r="59" spans="1:8" ht="72.5" hidden="1" x14ac:dyDescent="0.35">
      <c r="A59" s="2" t="str">
        <f>Table15[[#This Row],[ID]]</f>
        <v>6.12.3</v>
      </c>
      <c r="B59" s="1" t="str">
        <f>Table15[[#This Row],[Section]]</f>
        <v>Chat Panels</v>
      </c>
      <c r="C59" s="1" t="str">
        <f>Table15[[#This Row],[Sub-Section]]</f>
        <v>Sales Banners</v>
      </c>
      <c r="D59" s="16" t="str">
        <f>Table15[[#This Row],[Title]]</f>
        <v>Upon spawning a sales banner, screen readers announce banner message and default button automatically.</v>
      </c>
      <c r="E59" s="18"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9" s="1" t="str">
        <f>IF((Table15[[#This Row],[Desktop]]="yes"),"yes","no")</f>
        <v>yes</v>
      </c>
      <c r="G59" s="14" t="str">
        <f>IF((Table15[[#This Row],[Desktop]]="yes"),"","n/a")</f>
        <v/>
      </c>
      <c r="H59" s="14"/>
    </row>
    <row r="60" spans="1:8" ht="58" hidden="1" x14ac:dyDescent="0.35">
      <c r="A60" s="2" t="str">
        <f>Table15[[#This Row],[ID]]</f>
        <v>6.12.4</v>
      </c>
      <c r="B60" s="1" t="str">
        <f>Table15[[#This Row],[Section]]</f>
        <v>Chat Panels</v>
      </c>
      <c r="C60" s="1" t="str">
        <f>Table15[[#This Row],[Sub-Section]]</f>
        <v>Sales Banners</v>
      </c>
      <c r="D60" s="16" t="str">
        <f>Table15[[#This Row],[Title]]</f>
        <v>When offer details are displayed after operating a call to action button, screen readers announce them automatically.</v>
      </c>
      <c r="E60" s="18" t="str">
        <f>IF(Table15[[#This Row],[Description]]&lt;&gt;0,Table15[[#This Row],[Description]],"No entry")</f>
        <v>If the user requests more details within a banner, the resulting details are announced by assistive technology such as screen readers. See semantic binding requirement for main banner panel.</v>
      </c>
      <c r="F60" s="1" t="str">
        <f>IF((Table15[[#This Row],[Desktop]]="yes"),"yes","no")</f>
        <v>yes</v>
      </c>
      <c r="G60" s="14" t="str">
        <f>IF((Table15[[#This Row],[Desktop]]="yes"),"","n/a")</f>
        <v/>
      </c>
      <c r="H60" s="14"/>
    </row>
    <row r="61" spans="1:8" ht="43.5" hidden="1" x14ac:dyDescent="0.35">
      <c r="A61" s="2" t="str">
        <f>Table15[[#This Row],[ID]]</f>
        <v>6.12.5</v>
      </c>
      <c r="B61" s="1" t="str">
        <f>Table15[[#This Row],[Section]]</f>
        <v>Chat Panels</v>
      </c>
      <c r="C61" s="1" t="str">
        <f>Table15[[#This Row],[Sub-Section]]</f>
        <v>Sales Banners</v>
      </c>
      <c r="D61" s="16" t="str">
        <f>Table15[[#This Row],[Title]]</f>
        <v>When sales banner is closed, move focus to chat text entry field.</v>
      </c>
      <c r="E61" s="18" t="str">
        <f>IF(Table15[[#This Row],[Description]]&lt;&gt;0,Table15[[#This Row],[Description]],"No entry")</f>
        <v>Modal dismissal button dismisses banner and moves focus to chat text entry field.</v>
      </c>
      <c r="F61" s="1" t="str">
        <f>IF((Table15[[#This Row],[Desktop]]="yes"),"yes","no")</f>
        <v>yes</v>
      </c>
      <c r="G61" s="14" t="str">
        <f>IF((Table15[[#This Row],[Desktop]]="yes"),"","n/a")</f>
        <v/>
      </c>
      <c r="H61" s="14"/>
    </row>
    <row r="62" spans="1:8" ht="29" hidden="1" x14ac:dyDescent="0.35">
      <c r="A62" s="2" t="str">
        <f>Table15[[#This Row],[ID]]</f>
        <v>6.13.1</v>
      </c>
      <c r="B62" s="1" t="str">
        <f>Table15[[#This Row],[Section]]</f>
        <v>Chat Panels</v>
      </c>
      <c r="C62" s="1" t="str">
        <f>Table15[[#This Row],[Sub-Section]]</f>
        <v>Title</v>
      </c>
      <c r="D62" s="16" t="str">
        <f>Table15[[#This Row],[Title]]</f>
        <v>Chat panel title is enclosed in header tag.</v>
      </c>
      <c r="E62" s="18" t="str">
        <f>IF(Table15[[#This Row],[Description]]&lt;&gt;0,Table15[[#This Row],[Description]],"No entry")</f>
        <v>No entry</v>
      </c>
      <c r="F62" s="1" t="str">
        <f>IF((Table15[[#This Row],[Desktop]]="yes"),"yes","no")</f>
        <v>yes</v>
      </c>
      <c r="G62" s="14" t="str">
        <f>IF((Table15[[#This Row],[Desktop]]="yes"),"","n/a")</f>
        <v/>
      </c>
      <c r="H62" s="14"/>
    </row>
    <row r="63" spans="1:8" ht="29" hidden="1" x14ac:dyDescent="0.35">
      <c r="A63" s="2" t="str">
        <f>Table15[[#This Row],[ID]]</f>
        <v>6.14.1</v>
      </c>
      <c r="B63" s="1" t="str">
        <f>Table15[[#This Row],[Section]]</f>
        <v>Chat Panels</v>
      </c>
      <c r="C63" s="1" t="str">
        <f>Table15[[#This Row],[Sub-Section]]</f>
        <v>Inline Links</v>
      </c>
      <c r="D63" s="16" t="str">
        <f>Table15[[#This Row],[Title]]</f>
        <v>Dynamically inserted links and buttons are in tab order.</v>
      </c>
      <c r="E63" s="18" t="str">
        <f>IF(Table15[[#This Row],[Description]]&lt;&gt;0,Table15[[#This Row],[Description]],"No entry")</f>
        <v>These links and buttons are typically contained in agent or system messages, and are keyboard operable.</v>
      </c>
      <c r="F63" s="1" t="str">
        <f>IF((Table15[[#This Row],[Desktop]]="yes"),"yes","no")</f>
        <v>yes</v>
      </c>
      <c r="G63" s="14" t="str">
        <f>IF((Table15[[#This Row],[Desktop]]="yes"),"","n/a")</f>
        <v/>
      </c>
      <c r="H63" s="14"/>
    </row>
    <row r="64" spans="1:8" ht="58" hidden="1" x14ac:dyDescent="0.35">
      <c r="A64" s="2" t="str">
        <f>Table15[[#This Row],[ID]]</f>
        <v>6.14.2</v>
      </c>
      <c r="B64" s="1" t="str">
        <f>Table15[[#This Row],[Section]]</f>
        <v>Chat Panels</v>
      </c>
      <c r="C64" s="1" t="str">
        <f>Table15[[#This Row],[Sub-Section]]</f>
        <v>Inline Links</v>
      </c>
      <c r="D64" s="16" t="str">
        <f>Table15[[#This Row],[Title]]</f>
        <v>Dynamically inserted buttons and links have access key</v>
      </c>
      <c r="E64" s="18"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64" s="1" t="str">
        <f>IF((Table15[[#This Row],[Desktop]]="yes"),"yes","no")</f>
        <v>yes</v>
      </c>
      <c r="G64" s="14" t="str">
        <f>IF((Table15[[#This Row],[Desktop]]="yes"),"","n/a")</f>
        <v/>
      </c>
      <c r="H64" s="14"/>
    </row>
    <row r="65" spans="1:8" ht="43.5" hidden="1" x14ac:dyDescent="0.35">
      <c r="A65" s="2" t="str">
        <f>Table15[[#This Row],[ID]]</f>
        <v>6.2.1</v>
      </c>
      <c r="B65" s="1" t="str">
        <f>Table15[[#This Row],[Section]]</f>
        <v>Chat Panels</v>
      </c>
      <c r="C65" s="1" t="str">
        <f>Table15[[#This Row],[Sub-Section]]</f>
        <v>Chat Opening</v>
      </c>
      <c r="D65" s="16" t="str">
        <f>Table15[[#This Row],[Title]]</f>
        <v>Auto-opener spoken automatically when chat launched.</v>
      </c>
      <c r="E65" s="18" t="str">
        <f>IF(Table15[[#This Row],[Description]]&lt;&gt;0,Table15[[#This Row],[Description]],"No entry")</f>
        <v>All welcome/auto-opener messages are announced automatically by the screen reader on chat launch. The message is only read once.</v>
      </c>
      <c r="F65" s="1" t="str">
        <f>IF((Table15[[#This Row],[Desktop]]="yes"),"yes","no")</f>
        <v>yes</v>
      </c>
      <c r="G65" s="14" t="str">
        <f>IF((Table15[[#This Row],[Desktop]]="yes"),"","n/a")</f>
        <v/>
      </c>
      <c r="H65" s="14"/>
    </row>
    <row r="66" spans="1:8" ht="43.5" hidden="1" x14ac:dyDescent="0.35">
      <c r="A66" s="2" t="str">
        <f>Table15[[#This Row],[ID]]</f>
        <v>6.2.2</v>
      </c>
      <c r="B66" s="1" t="str">
        <f>Table15[[#This Row],[Section]]</f>
        <v>Chat Panels</v>
      </c>
      <c r="C66" s="1" t="str">
        <f>Table15[[#This Row],[Sub-Section]]</f>
        <v>Chat Opening</v>
      </c>
      <c r="D66" s="16" t="str">
        <f>Table15[[#This Row],[Title]]</f>
        <v>Initial focus is on text input control.</v>
      </c>
      <c r="E66" s="18" t="str">
        <f>IF(Table15[[#This Row],[Description]]&lt;&gt;0,Table15[[#This Row],[Description]],"No entry")</f>
        <v>When the chat panel/window opens, initial keyboard and screen reader focus moves automatically to the text input area.</v>
      </c>
      <c r="F66" s="1" t="str">
        <f>IF((Table15[[#This Row],[Desktop]]="yes"),"yes","no")</f>
        <v>yes</v>
      </c>
      <c r="G66" s="14" t="str">
        <f>IF((Table15[[#This Row],[Desktop]]="yes"),"","n/a")</f>
        <v/>
      </c>
      <c r="H66" s="14"/>
    </row>
    <row r="67" spans="1:8" ht="43.5" hidden="1" x14ac:dyDescent="0.35">
      <c r="A67" s="2" t="str">
        <f>Table15[[#This Row],[ID]]</f>
        <v>6.2.3</v>
      </c>
      <c r="B67" s="1" t="str">
        <f>Table15[[#This Row],[Section]]</f>
        <v>Chat Panels</v>
      </c>
      <c r="C67" s="1" t="str">
        <f>Table15[[#This Row],[Sub-Section]]</f>
        <v>Chat Opening</v>
      </c>
      <c r="D67" s="16" t="str">
        <f>Table15[[#This Row],[Title]]</f>
        <v>Text area entry field is labeled</v>
      </c>
      <c r="E67" s="18" t="str">
        <f>IF(Table15[[#This Row],[Description]]&lt;&gt;0,Table15[[#This Row],[Description]],"No entry")</f>
        <v>Text area is labeled, or uses a placeholder, e.g. “type your message”, which is read automatically by the screen reader.</v>
      </c>
      <c r="F67" s="1" t="str">
        <f>IF((Table15[[#This Row],[Desktop]]="yes"),"yes","no")</f>
        <v>yes</v>
      </c>
      <c r="G67" s="14" t="str">
        <f>IF((Table15[[#This Row],[Desktop]]="yes"),"","n/a")</f>
        <v/>
      </c>
      <c r="H67" s="14"/>
    </row>
    <row r="68" spans="1:8" ht="29" hidden="1" x14ac:dyDescent="0.35">
      <c r="A68" s="2" t="str">
        <f>Table15[[#This Row],[ID]]</f>
        <v>6.3.1</v>
      </c>
      <c r="B68" s="1" t="str">
        <f>Table15[[#This Row],[Section]]</f>
        <v>Chat Panels</v>
      </c>
      <c r="C68" s="1" t="str">
        <f>Table15[[#This Row],[Sub-Section]]</f>
        <v>Persistent chat</v>
      </c>
      <c r="D68" s="16" t="str">
        <f>Table15[[#This Row],[Title]]</f>
        <v xml:space="preserve">Provide access key to move chat to persistent window </v>
      </c>
      <c r="E68" s="18" t="str">
        <f>IF(Table15[[#This Row],[Description]]&lt;&gt;0,Table15[[#This Row],[Description]],"No entry")</f>
        <v>In desktop environments, add an access key to the button that moves chat to a persistent window.</v>
      </c>
      <c r="F68" s="1" t="str">
        <f>IF((Table15[[#This Row],[Desktop]]="yes"),"yes","no")</f>
        <v>yes</v>
      </c>
      <c r="G68" s="14" t="str">
        <f>IF((Table15[[#This Row],[Desktop]]="yes"),"","n/a")</f>
        <v/>
      </c>
      <c r="H68" s="14"/>
    </row>
    <row r="69" spans="1:8" ht="145" hidden="1" x14ac:dyDescent="0.35">
      <c r="A69" s="2" t="str">
        <f>Table15[[#This Row],[ID]]</f>
        <v>6.4.1</v>
      </c>
      <c r="B69" s="1" t="str">
        <f>Table15[[#This Row],[Section]]</f>
        <v>Chat Panels</v>
      </c>
      <c r="C69" s="1" t="str">
        <f>Table15[[#This Row],[Sub-Section]]</f>
        <v>Block Navigation</v>
      </c>
      <c r="D69" s="16" t="str">
        <f>Table15[[#This Row],[Title]]</f>
        <v>Landmarks implemented for block navigation</v>
      </c>
      <c r="E69" s="18"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9" s="1" t="str">
        <f>IF((Table15[[#This Row],[Desktop]]="yes"),"yes","no")</f>
        <v>yes</v>
      </c>
      <c r="G69" s="14" t="str">
        <f>IF((Table15[[#This Row],[Desktop]]="yes"),"","n/a")</f>
        <v/>
      </c>
      <c r="H69" s="14"/>
    </row>
    <row r="70" spans="1:8" ht="58" hidden="1" x14ac:dyDescent="0.35">
      <c r="A70" s="2" t="str">
        <f>Table15[[#This Row],[ID]]</f>
        <v>6.5.1</v>
      </c>
      <c r="B70" s="1" t="str">
        <f>Table15[[#This Row],[Section]]</f>
        <v>Chat Panels</v>
      </c>
      <c r="C70" s="1" t="str">
        <f>Table15[[#This Row],[Sub-Section]]</f>
        <v>Auto reading of messages</v>
      </c>
      <c r="D70" s="16" t="str">
        <f>Table15[[#This Row],[Title]]</f>
        <v>Incoming/outgoing messages read automatically</v>
      </c>
      <c r="E70" s="18" t="str">
        <f>IF(Table15[[#This Row],[Description]]&lt;&gt;0,Table15[[#This Row],[Description]],"No entry")</f>
        <v xml:space="preserve">Each new message posted to the transcript (user, agent, system) will be read automatically by the screen reader. 
</v>
      </c>
      <c r="F70" s="1" t="str">
        <f>IF((Table15[[#This Row],[Desktop]]="yes"),"yes","no")</f>
        <v>yes</v>
      </c>
      <c r="G70" s="14" t="str">
        <f>IF((Table15[[#This Row],[Desktop]]="yes"),"","n/a")</f>
        <v/>
      </c>
      <c r="H70" s="14"/>
    </row>
    <row r="71" spans="1:8" ht="43.5" hidden="1" x14ac:dyDescent="0.35">
      <c r="A71" s="2" t="str">
        <f>Table15[[#This Row],[ID]]</f>
        <v>6.5.2</v>
      </c>
      <c r="B71" s="1" t="str">
        <f>Table15[[#This Row],[Section]]</f>
        <v>Chat Panels</v>
      </c>
      <c r="C71" s="1" t="str">
        <f>Table15[[#This Row],[Sub-Section]]</f>
        <v>Auto reading of messages</v>
      </c>
      <c r="D71" s="16" t="str">
        <f>Table15[[#This Row],[Title]]</f>
        <v>Message sender name spoken automatically</v>
      </c>
      <c r="E71" s="18" t="str">
        <f>IF(Table15[[#This Row],[Description]]&lt;&gt;0,Table15[[#This Row],[Description]],"No entry")</f>
        <v>Automatic announcement of sender name will be included e.g. “Guido: I need help with my iPhone”, or “Melissa: How can I help you today?”</v>
      </c>
      <c r="F71" s="1" t="str">
        <f>IF((Table15[[#This Row],[Desktop]]="yes"),"yes","no")</f>
        <v>yes</v>
      </c>
      <c r="G71" s="14" t="str">
        <f>IF((Table15[[#This Row],[Desktop]]="yes"),"","n/a")</f>
        <v/>
      </c>
      <c r="H71" s="14"/>
    </row>
    <row r="72" spans="1:8" ht="72.5" hidden="1" x14ac:dyDescent="0.35">
      <c r="A72" s="2" t="str">
        <f>Table15[[#This Row],[ID]]</f>
        <v>6.6.1</v>
      </c>
      <c r="B72" s="1" t="str">
        <f>Table15[[#This Row],[Section]]</f>
        <v>Chat Panels</v>
      </c>
      <c r="C72" s="1" t="str">
        <f>Table15[[#This Row],[Sub-Section]]</f>
        <v>Messages with links, URLs or buttons</v>
      </c>
      <c r="D72" s="16" t="str">
        <f>Table15[[#This Row],[Title]]</f>
        <v>Operable elements inside messages are in tab order and keyboardable</v>
      </c>
      <c r="E72" s="18" t="str">
        <f>IF(Table15[[#This Row],[Description]]&lt;&gt;0,Table15[[#This Row],[Description]],"No entry")</f>
        <v>If an incoming message contains a link, a URL, or a button, e.g. to open an agent-pushed secure form or a video, the operational component of the message will be in the tab order and will be operable with the keyboard, and with screen reader compatible gestures in  touch devices.</v>
      </c>
      <c r="F72" s="1" t="str">
        <f>IF((Table15[[#This Row],[Desktop]]="yes"),"yes","no")</f>
        <v>yes</v>
      </c>
      <c r="G72" s="14" t="str">
        <f>IF((Table15[[#This Row],[Desktop]]="yes"),"","n/a")</f>
        <v/>
      </c>
      <c r="H72" s="14"/>
    </row>
    <row r="73" spans="1:8" ht="72.5" hidden="1" x14ac:dyDescent="0.35">
      <c r="A73" s="2" t="str">
        <f>Table15[[#This Row],[ID]]</f>
        <v>6.6.2</v>
      </c>
      <c r="B73" s="1" t="str">
        <f>Table15[[#This Row],[Section]]</f>
        <v>Chat Panels</v>
      </c>
      <c r="C73" s="1" t="str">
        <f>Table15[[#This Row],[Sub-Section]]</f>
        <v>Messages with links, URLs or buttons</v>
      </c>
      <c r="D73" s="16" t="str">
        <f>Table15[[#This Row],[Title]]</f>
        <v xml:space="preserve">Exposed URLs are inside anchor tags </v>
      </c>
      <c r="E73" s="18" t="str">
        <f>Table15[[#This Row],[Description]]</f>
        <v>If an incoming message contains a script-generated exposed URL, the URL will be contained in the body of an anchor tag, and will be navigable and operable via keyboard. On  touch devices, the link will be navigable and operable with gestures compatible with screen readers.</v>
      </c>
      <c r="F73" s="1" t="str">
        <f>IF((Table15[[#This Row],[Desktop]]="yes"),"yes","no")</f>
        <v>yes</v>
      </c>
      <c r="G73" s="14" t="str">
        <f>IF((Table15[[#This Row],[Desktop]]="yes"),"","n/a")</f>
        <v/>
      </c>
      <c r="H73" s="14"/>
    </row>
    <row r="74" spans="1:8" ht="116" hidden="1" x14ac:dyDescent="0.35">
      <c r="A74" s="2" t="str">
        <f>Table15[[#This Row],[ID]]</f>
        <v>6.7.1</v>
      </c>
      <c r="B74" s="1" t="str">
        <f>Table15[[#This Row],[Section]]</f>
        <v>Chat Panels</v>
      </c>
      <c r="C74" s="1" t="str">
        <f>Table15[[#This Row],[Sub-Section]]</f>
        <v>Sending a message</v>
      </c>
      <c r="D74" s="16" t="str">
        <f>Table15[[#This Row],[Title]]</f>
        <v>Multiple keyboard methods for message submission</v>
      </c>
      <c r="E74" s="18" t="str">
        <f>Table15[[#This Row],[Description]]</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74" s="1" t="str">
        <f>IF((Table15[[#This Row],[Desktop]]="yes"),"yes","no")</f>
        <v>yes</v>
      </c>
      <c r="G74" s="14" t="str">
        <f>IF((Table15[[#This Row],[Desktop]]="yes"),"","n/a")</f>
        <v/>
      </c>
      <c r="H74" s="14"/>
    </row>
    <row r="75" spans="1:8" ht="29" hidden="1" x14ac:dyDescent="0.35">
      <c r="A75" s="2" t="str">
        <f>Table15[[#This Row],[ID]]</f>
        <v>6.7.2</v>
      </c>
      <c r="B75" s="1" t="str">
        <f>Table15[[#This Row],[Section]]</f>
        <v>Chat Panels</v>
      </c>
      <c r="C75" s="1" t="str">
        <f>Table15[[#This Row],[Sub-Section]]</f>
        <v>Sending a message</v>
      </c>
      <c r="D75" s="16" t="str">
        <f>Table15[[#This Row],[Title]]</f>
        <v>Focus returns to text area after message submission</v>
      </c>
      <c r="E75" s="18">
        <f>Table15[[#This Row],[Description]]</f>
        <v>0</v>
      </c>
      <c r="F75" s="1" t="str">
        <f>IF((Table15[[#This Row],[Desktop]]="yes"),"yes","no")</f>
        <v>yes</v>
      </c>
      <c r="G75" s="14" t="str">
        <f>IF((Table15[[#This Row],[Desktop]]="yes"),"","n/a")</f>
        <v/>
      </c>
      <c r="H75" s="14"/>
    </row>
    <row r="76" spans="1:8" ht="43.5" hidden="1" x14ac:dyDescent="0.35">
      <c r="A76" s="2" t="str">
        <f>Table15[[#This Row],[ID]]</f>
        <v>6.8.1</v>
      </c>
      <c r="B76" s="1" t="str">
        <f>Table15[[#This Row],[Section]]</f>
        <v>Chat Panels</v>
      </c>
      <c r="C76" s="1" t="str">
        <f>Table15[[#This Row],[Sub-Section]]</f>
        <v>Alert chime</v>
      </c>
      <c r="D76" s="16" t="str">
        <f>Table15[[#This Row],[Title]]</f>
        <v>User can set alert chimes to active or off.</v>
      </c>
      <c r="E76" s="18" t="str">
        <f>IF(Table15[[#This Row],[Description]]&lt;&gt;0,Table15[[#This Row],[Description]],"No entry")</f>
        <v>A button lets users turn chime for incoming messages on (active) and off. Outgoing messages from user to agent do not have a chime.</v>
      </c>
      <c r="F76" s="1" t="str">
        <f>IF((Table15[[#This Row],[Desktop]]="yes"),"yes","no")</f>
        <v>yes</v>
      </c>
      <c r="G76" s="14" t="str">
        <f>IF((Table15[[#This Row],[Desktop]]="yes"),"","n/a")</f>
        <v/>
      </c>
      <c r="H76" s="14"/>
    </row>
    <row r="77" spans="1:8" ht="43.5" hidden="1" x14ac:dyDescent="0.35">
      <c r="A77" s="42" t="str">
        <f>Table15[[#This Row],[ID]]</f>
        <v>6.8.2</v>
      </c>
      <c r="B77" s="43" t="str">
        <f>Table15[[#This Row],[Section]]</f>
        <v>Chat Panels</v>
      </c>
      <c r="C77" s="43" t="str">
        <f>Table15[[#This Row],[Sub-Section]]</f>
        <v>Alert chime</v>
      </c>
      <c r="D77" s="44" t="str">
        <f>Table15[[#This Row],[Title]]</f>
        <v>Upon operation, chime alert button conveys state change automatically</v>
      </c>
      <c r="E77" s="45" t="str">
        <f>IF(Table15[[#This Row],[Description]]&lt;&gt;0,Table15[[#This Row],[Description]],"No entry")</f>
        <v>A button lets users turn chime for incoming messages on (active) and off. Outgoing messages from user to agent do not have a chime.</v>
      </c>
      <c r="F77" s="43" t="str">
        <f>IF((Table15[[#This Row],[Desktop]]="yes"),"yes","no")</f>
        <v>yes</v>
      </c>
      <c r="G77" s="14" t="str">
        <f>IF((Table15[[#This Row],[Desktop]]="yes"),"","n/a")</f>
        <v/>
      </c>
      <c r="H77" s="14"/>
    </row>
    <row r="78" spans="1:8" ht="101.5" hidden="1" x14ac:dyDescent="0.35">
      <c r="A78" s="42" t="str">
        <f>Table15[[#This Row],[ID]]</f>
        <v>6.8.3</v>
      </c>
      <c r="B78" s="43" t="str">
        <f>Table15[[#This Row],[Section]]</f>
        <v>Chat Panels</v>
      </c>
      <c r="C78" s="43" t="str">
        <f>Table15[[#This Row],[Sub-Section]]</f>
        <v>Alert chime</v>
      </c>
      <c r="D78" s="44" t="str">
        <f>Table15[[#This Row],[Title]]</f>
        <v>If chime is active, agent messages are prefixed by an audible short chime</v>
      </c>
      <c r="E78" s="77" t="s">
        <v>16682</v>
      </c>
      <c r="F78" s="78" t="str">
        <f>IF((Table15[[#This Row],[Desktop]]="yes"),"yes","no")</f>
        <v>yes</v>
      </c>
      <c r="G78" s="79" t="str">
        <f>IF((Table15[[#This Row],[Desktop]]="yes"),"","n/a")</f>
        <v/>
      </c>
      <c r="H78" s="79"/>
    </row>
    <row r="79" spans="1:8" ht="43.5" hidden="1" x14ac:dyDescent="0.35">
      <c r="A79" s="42" t="str">
        <f>Table15[[#This Row],[ID]]</f>
        <v>6.8.4</v>
      </c>
      <c r="B79" s="43" t="str">
        <f>Table15[[#This Row],[Section]]</f>
        <v>Chat Panels</v>
      </c>
      <c r="C79" s="43" t="str">
        <f>Table15[[#This Row],[Sub-Section]]</f>
        <v>Alert chime</v>
      </c>
      <c r="D79" s="44" t="str">
        <f>Table15[[#This Row],[Title]]</f>
        <v>Alert chimes are active by default.</v>
      </c>
      <c r="E79" s="77" t="str">
        <f>IF(Table15[[#This Row],[Description]]&lt;&gt;0,Table15[[#This Row],[Description]],"No entry")</f>
        <v>The default state of the chime toggle is active. On devices, if global sound is active, alert chimes are active by default as well.</v>
      </c>
      <c r="F79" s="78" t="str">
        <f>IF((Table15[[#This Row],[Desktop]]="yes"),"yes","no")</f>
        <v>yes</v>
      </c>
      <c r="G79" s="79" t="str">
        <f>IF((Table15[[#This Row],[Desktop]]="yes"),"","n/a")</f>
        <v/>
      </c>
      <c r="H79" s="79"/>
    </row>
    <row r="80" spans="1:8" ht="87" hidden="1" x14ac:dyDescent="0.35">
      <c r="A80" s="42" t="str">
        <f>Table15[[#This Row],[ID]]</f>
        <v>6.8.5</v>
      </c>
      <c r="B80" s="43" t="str">
        <f>Table15[[#This Row],[Section]]</f>
        <v>Chat Panels</v>
      </c>
      <c r="C80" s="43" t="str">
        <f>Table15[[#This Row],[Sub-Section]]</f>
        <v>Alert chime</v>
      </c>
      <c r="D80" s="44" t="str">
        <f>Table15[[#This Row],[Title]]</f>
        <v>On focus, and on operation of the chime button, button text content and chime state are announced.</v>
      </c>
      <c r="E80" s="77"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80" s="78" t="str">
        <f>IF((Table15[[#This Row],[Desktop]]="yes"),"yes","no")</f>
        <v>yes</v>
      </c>
      <c r="G80" s="79" t="str">
        <f>IF((Table15[[#This Row],[Desktop]]="yes"),"","n/a")</f>
        <v/>
      </c>
      <c r="H80" s="79"/>
    </row>
    <row r="81" spans="1:8" ht="58" hidden="1" x14ac:dyDescent="0.35">
      <c r="A81" s="42" t="str">
        <f>Table15[[#This Row],[ID]]</f>
        <v>6.8.6</v>
      </c>
      <c r="B81" s="43" t="str">
        <f>Table15[[#This Row],[Section]]</f>
        <v>Chat Panels</v>
      </c>
      <c r="C81" s="43" t="str">
        <f>Table15[[#This Row],[Sub-Section]]</f>
        <v>Alert chime</v>
      </c>
      <c r="D81" s="44" t="str">
        <f>Table15[[#This Row],[Title]]</f>
        <v>On devices, if global sound is muted, alert chimes are disabled by default</v>
      </c>
      <c r="E81" s="77"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81" s="78" t="str">
        <f>IF((Table15[[#This Row],[Desktop]]="yes"),"yes","no")</f>
        <v>no</v>
      </c>
      <c r="G81" s="79" t="str">
        <f>IF((Table15[[#This Row],[Desktop]]="yes"),"","n/a")</f>
        <v>n/a</v>
      </c>
      <c r="H81" s="79"/>
    </row>
    <row r="82" spans="1:8" ht="43.5" hidden="1" x14ac:dyDescent="0.35">
      <c r="A82" s="42" t="str">
        <f>Table15[[#This Row],[ID]]</f>
        <v>6.8.9</v>
      </c>
      <c r="B82" s="43" t="str">
        <f>Table15[[#This Row],[Section]]</f>
        <v>Chat Panels</v>
      </c>
      <c r="C82" s="43" t="str">
        <f>Table15[[#This Row],[Sub-Section]]</f>
        <v>Alert chime</v>
      </c>
      <c r="D82" s="44" t="str">
        <f>Table15[[#This Row],[Title]]</f>
        <v>When the operation of the chime button activates chimes, a sample chime is issued and heard.</v>
      </c>
      <c r="E82" s="77" t="str">
        <f>IF(Table15[[#This Row],[Description]]&lt;&gt;0,Table15[[#This Row],[Description]],"No entry")</f>
        <v>The sample chime informs the user what sound to expect when receiving an agent message.</v>
      </c>
      <c r="F82" s="78" t="str">
        <f>IF((Table15[[#This Row],[Desktop]]="yes"),"yes","no")</f>
        <v>yes</v>
      </c>
      <c r="G82" s="79" t="str">
        <f>IF((Table15[[#This Row],[Desktop]]="yes"),"","n/a")</f>
        <v/>
      </c>
      <c r="H82" s="79"/>
    </row>
    <row r="83" spans="1:8" ht="43.5" hidden="1" x14ac:dyDescent="0.35">
      <c r="A83" s="42" t="str">
        <f>Table15[[#This Row],[ID]]</f>
        <v>6.9.0</v>
      </c>
      <c r="B83" s="43" t="str">
        <f>Table15[[#This Row],[Section]]</f>
        <v>Chat Panels</v>
      </c>
      <c r="C83" s="43" t="str">
        <f>Table15[[#This Row],[Sub-Section]]</f>
        <v>Inline Pushed Forms</v>
      </c>
      <c r="D83" s="44" t="str">
        <f>Table15[[#This Row],[Title]]</f>
        <v>Modal Taxonomy - Inline Pushed Forms are contained in strict modals</v>
      </c>
      <c r="E83" s="77" t="str">
        <f>IF(Table15[[#This Row],[Description]]&lt;&gt;0,Table15[[#This Row],[Description]],"No entry")</f>
        <v>See Modal Taxonomy tab</v>
      </c>
      <c r="F83" s="78" t="str">
        <f>IF((Table15[[#This Row],[Desktop]]="yes"),"yes","no")</f>
        <v>no</v>
      </c>
      <c r="G83" s="79" t="str">
        <f>IF((Table15[[#This Row],[Desktop]]="yes"),"","n/a")</f>
        <v>n/a</v>
      </c>
      <c r="H83" s="79"/>
    </row>
    <row r="84" spans="1:8" ht="29" hidden="1" x14ac:dyDescent="0.35">
      <c r="A84" s="42" t="str">
        <f>Table15[[#This Row],[ID]]</f>
        <v>7.0.0</v>
      </c>
      <c r="B84" s="43" t="str">
        <f>Table15[[#This Row],[Section]]</f>
        <v>Minimized chat</v>
      </c>
      <c r="C84" s="43" t="str">
        <f>Table15[[#This Row],[Sub-Section]]</f>
        <v>Modal Taxonomy</v>
      </c>
      <c r="D84" s="44" t="str">
        <f>Table15[[#This Row],[Title]]</f>
        <v>Minimized chat contained in Pseudo-modal</v>
      </c>
      <c r="E84" s="77" t="str">
        <f>IF(Table15[[#This Row],[Description]]&lt;&gt;0,Table15[[#This Row],[Description]],"No entry")</f>
        <v>See Modal Taxonomy tab</v>
      </c>
      <c r="F84" s="78" t="str">
        <f>IF((Table15[[#This Row],[Desktop]]="yes"),"yes","no")</f>
        <v>no</v>
      </c>
      <c r="G84" s="79" t="str">
        <f>IF((Table15[[#This Row],[Desktop]]="yes"),"","n/a")</f>
        <v>n/a</v>
      </c>
      <c r="H84" s="79"/>
    </row>
    <row r="85" spans="1:8" ht="72.5" hidden="1" x14ac:dyDescent="0.35">
      <c r="A85" s="42" t="str">
        <f>Table15[[#This Row],[ID]]</f>
        <v>7.1.1</v>
      </c>
      <c r="B85" s="4" t="str">
        <f>Table15[[#This Row],[Section]]</f>
        <v>Minimized chat</v>
      </c>
      <c r="C85" s="4" t="str">
        <f>Table15[[#This Row],[Sub-Section]]</f>
        <v>General Requirements</v>
      </c>
      <c r="D85" s="16" t="str">
        <f>Table15[[#This Row],[Title]]</f>
        <v>Minimizing chat moves focus to “restore” button</v>
      </c>
      <c r="E85" s="80" t="str">
        <f>Table15[[#This Row],[Description]]</f>
        <v>When the “minimize chat” button is operated, keyboard and screen reader focus move to the “restore chat” inside the minimized chat pseudo-modal, and the "restore/continue chat” button is read automatically by the screen reader.</v>
      </c>
      <c r="F85" s="81" t="str">
        <f>IF((Table15[[#This Row],[Desktop]]="yes"),"yes","no")</f>
        <v>yes</v>
      </c>
      <c r="G85" s="79" t="str">
        <f>IF((Table15[[#This Row],[Desktop]]="yes"),"","n/a")</f>
        <v/>
      </c>
      <c r="H85" s="79"/>
    </row>
    <row r="86" spans="1:8" ht="58" hidden="1" x14ac:dyDescent="0.35">
      <c r="A86" s="42" t="str">
        <f>Table15[[#This Row],[ID]]</f>
        <v>7.1.2</v>
      </c>
      <c r="B86" s="4" t="str">
        <f>Table15[[#This Row],[Section]]</f>
        <v>Minimized chat</v>
      </c>
      <c r="C86" s="4" t="str">
        <f>Table15[[#This Row],[Sub-Section]]</f>
        <v>General Requirements</v>
      </c>
      <c r="D86" s="16" t="str">
        <f>Table15[[#This Row],[Title]]</f>
        <v>If shown, agent messages in minimize chat can scroll only once.</v>
      </c>
      <c r="E86" s="80" t="str">
        <f>Table15[[#This Row],[Description]]</f>
        <v>If a scrolling marquee is implemented for minimized chat, it may scroll automatically in the marquee only once. Scrolling then stops, and the leftmost part of the message remains visible.</v>
      </c>
      <c r="F86" s="81" t="str">
        <f>IF((Table15[[#This Row],[Desktop]]="yes"),"yes","no")</f>
        <v>yes</v>
      </c>
      <c r="G86" s="79" t="str">
        <f>IF((Table15[[#This Row],[Desktop]]="yes"),"","n/a")</f>
        <v/>
      </c>
      <c r="H86" s="79"/>
    </row>
    <row r="87" spans="1:8" ht="58" hidden="1" x14ac:dyDescent="0.35">
      <c r="A87" s="42" t="str">
        <f>Table15[[#This Row],[ID]]</f>
        <v>7.1.3</v>
      </c>
      <c r="B87" s="4" t="str">
        <f>Table15[[#This Row],[Section]]</f>
        <v>Minimized chat</v>
      </c>
      <c r="C87" s="4" t="str">
        <f>Table15[[#This Row],[Sub-Section]]</f>
        <v>General Requirements</v>
      </c>
      <c r="D87" s="16" t="str">
        <f>Table15[[#This Row],[Title]]</f>
        <v>Agent messages in minimized chat read automatically</v>
      </c>
      <c r="E87" s="80" t="str">
        <f>Table15[[#This Row],[Description]]</f>
        <v>When an agent message is received while chat is minimized, the message is read automatically by the screen reader. If the alert chime is active, the chime is issued.</v>
      </c>
      <c r="F87" s="81" t="str">
        <f>IF((Table15[[#This Row],[Desktop]]="yes"),"yes","no")</f>
        <v>yes</v>
      </c>
      <c r="G87" s="79" t="str">
        <f>IF((Table15[[#This Row],[Desktop]]="yes"),"","n/a")</f>
        <v/>
      </c>
      <c r="H87" s="79"/>
    </row>
    <row r="88" spans="1:8" ht="43.5" hidden="1" x14ac:dyDescent="0.35">
      <c r="A88" s="42" t="str">
        <f>Table15[[#This Row],[ID]]</f>
        <v>7.1.4</v>
      </c>
      <c r="B88" s="4" t="str">
        <f>Table15[[#This Row],[Section]]</f>
        <v>Minimized chat</v>
      </c>
      <c r="C88" s="4" t="str">
        <f>Table15[[#This Row],[Sub-Section]]</f>
        <v>General Requirements</v>
      </c>
      <c r="D88" s="16" t="str">
        <f>Table15[[#This Row],[Title]]</f>
        <v>Agent messages in minimized chat are keyboard navigable</v>
      </c>
      <c r="E88" s="80" t="str">
        <f>Table15[[#This Row],[Description]]</f>
        <v>Desktop: If agent messages are visible in minimized chat pseudo-modal, they are navigable by the screen reader using the down/up arrow keys.</v>
      </c>
      <c r="F88" s="81" t="str">
        <f>IF((Table15[[#This Row],[Desktop]]="yes"),"yes","no")</f>
        <v>yes</v>
      </c>
      <c r="G88" s="79" t="str">
        <f>IF((Table15[[#This Row],[Desktop]]="yes"),"","n/a")</f>
        <v/>
      </c>
      <c r="H88" s="79"/>
    </row>
    <row r="89" spans="1:8" ht="58" hidden="1" x14ac:dyDescent="0.35">
      <c r="A89" s="42" t="str">
        <f>Table15[[#This Row],[ID]]</f>
        <v>7.1.5</v>
      </c>
      <c r="B89" s="4" t="str">
        <f>Table15[[#This Row],[Section]]</f>
        <v>Minimized chat</v>
      </c>
      <c r="C89" s="4" t="str">
        <f>Table15[[#This Row],[Sub-Section]]</f>
        <v>General Requirements</v>
      </c>
      <c r="D89" s="16" t="str">
        <f>Table15[[#This Row],[Title]]</f>
        <v>Minimized chat div is not self-contained</v>
      </c>
      <c r="E89" s="80" t="str">
        <f>Table15[[#This Row],[Description]]</f>
        <v>The minimized chat panel is a pseudo-modal. The user can navigate outside the minimized chat panel using any page navigation keystrokes or screen reader compatible gestures.</v>
      </c>
      <c r="F89" s="81" t="str">
        <f>IF((Table15[[#This Row],[Desktop]]="yes"),"yes","no")</f>
        <v>yes</v>
      </c>
      <c r="G89" s="79" t="str">
        <f>IF((Table15[[#This Row],[Desktop]]="yes"),"","n/a")</f>
        <v/>
      </c>
      <c r="H89" s="79"/>
    </row>
    <row r="90" spans="1:8" ht="29" hidden="1" x14ac:dyDescent="0.35">
      <c r="A90" s="42" t="str">
        <f>Table15[[#This Row],[ID]]</f>
        <v>7.1.6</v>
      </c>
      <c r="B90" s="4" t="str">
        <f>Table15[[#This Row],[Section]]</f>
        <v>Minimized chat</v>
      </c>
      <c r="C90" s="4" t="str">
        <f>Table15[[#This Row],[Sub-Section]]</f>
        <v>General Requirements</v>
      </c>
      <c r="D90" s="16" t="str">
        <f>Table15[[#This Row],[Title]]</f>
        <v>Focus returns to input text area upon chat restore</v>
      </c>
      <c r="E90" s="80" t="str">
        <f>Table15[[#This Row],[Description]]</f>
        <v>When the user operates the restore chat button, focus is returned to the chat text area input field.</v>
      </c>
      <c r="F90" s="81" t="str">
        <f>IF((Table15[[#This Row],[Desktop]]="yes"),"yes","no")</f>
        <v>yes</v>
      </c>
      <c r="G90" s="79" t="str">
        <f>IF((Table15[[#This Row],[Desktop]]="yes"),"","n/a")</f>
        <v/>
      </c>
      <c r="H90" s="79"/>
    </row>
    <row r="91" spans="1:8" ht="29" hidden="1" x14ac:dyDescent="0.35">
      <c r="A91" s="42" t="str">
        <f>Table15[[#This Row],[ID]]</f>
        <v>8.0.0</v>
      </c>
      <c r="B91" s="4" t="str">
        <f>Table15[[#This Row],[Section]]</f>
        <v>Co-Browsing</v>
      </c>
      <c r="C91" s="4" t="str">
        <f>Table15[[#This Row],[Sub-Section]]</f>
        <v>Modal Taxonomy</v>
      </c>
      <c r="D91" s="16" t="str">
        <f>Table15[[#This Row],[Title]]</f>
        <v>The Co-browse banner is a psudo-modal</v>
      </c>
      <c r="E91" s="80" t="str">
        <f>Table15[[#This Row],[Description]]</f>
        <v>See Modal Taxonomy tab</v>
      </c>
      <c r="F91" s="81" t="str">
        <f>IF((Table15[[#This Row],[Desktop]]="yes"),"yes","no")</f>
        <v>no</v>
      </c>
      <c r="G91" s="79" t="str">
        <f>IF((Table15[[#This Row],[Desktop]]="yes"),"","n/a")</f>
        <v>n/a</v>
      </c>
      <c r="H91" s="79"/>
    </row>
    <row r="92" spans="1:8" ht="29" hidden="1" x14ac:dyDescent="0.35">
      <c r="A92" s="42" t="str">
        <f>Table15[[#This Row],[ID]]</f>
        <v>8.1.1</v>
      </c>
      <c r="B92" s="4" t="str">
        <f>Table15[[#This Row],[Section]]</f>
        <v>Co-Browsing</v>
      </c>
      <c r="C92" s="4" t="str">
        <f>Table15[[#This Row],[Sub-Section]]</f>
        <v>Buttons</v>
      </c>
      <c r="D92" s="16" t="str">
        <f>Table15[[#This Row],[Title]]</f>
        <v>The buttons in the co-browse banner are in the tab order.</v>
      </c>
      <c r="E92" s="80">
        <f>Table15[[#This Row],[Description]]</f>
        <v>0</v>
      </c>
      <c r="F92" s="81" t="str">
        <f>IF((Table15[[#This Row],[Desktop]]="yes"),"yes","no")</f>
        <v>yes</v>
      </c>
      <c r="G92" s="79" t="str">
        <f>IF((Table15[[#This Row],[Desktop]]="yes"),"","n/a")</f>
        <v/>
      </c>
      <c r="H92" s="79"/>
    </row>
    <row r="93" spans="1:8" ht="29" hidden="1" x14ac:dyDescent="0.35">
      <c r="A93" s="42" t="str">
        <f>Table15[[#This Row],[ID]]</f>
        <v>8.1.2</v>
      </c>
      <c r="B93" s="4" t="str">
        <f>Table15[[#This Row],[Section]]</f>
        <v>Co-Browsing</v>
      </c>
      <c r="C93" s="4" t="str">
        <f>Table15[[#This Row],[Sub-Section]]</f>
        <v>Buttons</v>
      </c>
      <c r="D93" s="16" t="str">
        <f>Table15[[#This Row],[Title]]</f>
        <v>Add access keys for co-browse accept and decline controls.</v>
      </c>
      <c r="E93" s="80" t="str">
        <f>Table15[[#This Row],[Description]]</f>
        <v xml:space="preserve">Use accesskey="A" for accept, and accesskey="D" for decline co-browse. </v>
      </c>
      <c r="F93" s="81" t="str">
        <f>IF((Table15[[#This Row],[Desktop]]="yes"),"yes","no")</f>
        <v>yes</v>
      </c>
      <c r="G93" s="79" t="str">
        <f>IF((Table15[[#This Row],[Desktop]]="yes"),"","n/a")</f>
        <v/>
      </c>
      <c r="H93" s="79"/>
    </row>
    <row r="94" spans="1:8" ht="116" hidden="1" x14ac:dyDescent="0.35">
      <c r="A94" s="42" t="str">
        <f>Table15[[#This Row],[ID]]</f>
        <v>8.2.1</v>
      </c>
      <c r="B94" s="4" t="str">
        <f>Table15[[#This Row],[Section]]</f>
        <v>Co-Browsing</v>
      </c>
      <c r="C94" s="4" t="str">
        <f>Table15[[#This Row],[Sub-Section]]</f>
        <v>Banner</v>
      </c>
      <c r="D94" s="16" t="str">
        <f>Table15[[#This Row],[Title]]</f>
        <v>Co-browsing banner title read automatically when displayed.</v>
      </c>
      <c r="E94" s="80" t="str">
        <f>Table15[[#This Row],[Description]]</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94" s="81" t="str">
        <f>IF((Table15[[#This Row],[Desktop]]="yes"),"yes","no")</f>
        <v>yes</v>
      </c>
      <c r="G94" s="79" t="str">
        <f>IF((Table15[[#This Row],[Desktop]]="yes"),"","n/a")</f>
        <v/>
      </c>
      <c r="H94" s="79"/>
    </row>
    <row r="95" spans="1:8" ht="29" hidden="1" x14ac:dyDescent="0.35">
      <c r="A95" s="42" t="str">
        <f>Table15[[#This Row],[ID]]</f>
        <v>8.2.2</v>
      </c>
      <c r="B95" s="4" t="str">
        <f>Table15[[#This Row],[Section]]</f>
        <v>Co-Browsing</v>
      </c>
      <c r="C95" s="4" t="str">
        <f>Table15[[#This Row],[Sub-Section]]</f>
        <v>Banner</v>
      </c>
      <c r="D95" s="16" t="str">
        <f>Table15[[#This Row],[Title]]</f>
        <v>Banner title is enclosed in an &lt;h1&gt; tag.</v>
      </c>
      <c r="E95" s="80">
        <f>Table15[[#This Row],[Description]]</f>
        <v>0</v>
      </c>
      <c r="F95" s="81" t="str">
        <f>IF((Table15[[#This Row],[Desktop]]="yes"),"yes","no")</f>
        <v>yes</v>
      </c>
      <c r="G95" s="79" t="str">
        <f>IF((Table15[[#This Row],[Desktop]]="yes"),"","n/a")</f>
        <v/>
      </c>
      <c r="H95" s="79"/>
    </row>
    <row r="96" spans="1:8" ht="43.5" hidden="1" x14ac:dyDescent="0.35">
      <c r="A96" s="42" t="str">
        <f>Table15[[#This Row],[ID]]</f>
        <v>8.2.3</v>
      </c>
      <c r="B96" s="4" t="str">
        <f>Table15[[#This Row],[Section]]</f>
        <v>Co-Browsing</v>
      </c>
      <c r="C96" s="4" t="str">
        <f>Table15[[#This Row],[Sub-Section]]</f>
        <v>Banner</v>
      </c>
      <c r="D96" s="16" t="str">
        <f>Table15[[#This Row],[Title]]</f>
        <v>Chat restore button has initial focus when co-browse marquee appears.</v>
      </c>
      <c r="E96" s="80" t="str">
        <f>Table15[[#This Row],[Description]]</f>
        <v>"Restore cht" or "end cobrowse" must have initial focus. Button must be read automatically without interference with the banner title announcement.</v>
      </c>
      <c r="F96" s="81" t="str">
        <f>IF((Table15[[#This Row],[Desktop]]="yes"),"yes","no")</f>
        <v>yes</v>
      </c>
      <c r="G96" s="79" t="str">
        <f>IF((Table15[[#This Row],[Desktop]]="yes"),"","n/a")</f>
        <v/>
      </c>
      <c r="H96" s="79"/>
    </row>
    <row r="97" spans="1:8" ht="43.5" hidden="1" x14ac:dyDescent="0.35">
      <c r="A97" s="42" t="str">
        <f>Table15[[#This Row],[ID]]</f>
        <v>8.2.4</v>
      </c>
      <c r="B97" s="4" t="str">
        <f>Table15[[#This Row],[Section]]</f>
        <v>Co-Browsing</v>
      </c>
      <c r="C97" s="4" t="str">
        <f>Table15[[#This Row],[Sub-Section]]</f>
        <v>Banner</v>
      </c>
      <c r="D97" s="16" t="str">
        <f>Table15[[#This Row],[Title]]</f>
        <v>Cobrowse banner buttons have access keys</v>
      </c>
      <c r="E97" s="80" t="str">
        <f>Table15[[#This Row],[Description]]</f>
        <v>Use accesskey="R" on the restore chat button. Use accesskey="X" on the combined "close co-browse" and chat session button.</v>
      </c>
      <c r="F97" s="81" t="str">
        <f>IF((Table15[[#This Row],[Desktop]]="yes"),"yes","no")</f>
        <v>yes</v>
      </c>
      <c r="G97" s="79" t="str">
        <f>IF((Table15[[#This Row],[Desktop]]="yes"),"","n/a")</f>
        <v/>
      </c>
      <c r="H97" s="79"/>
    </row>
    <row r="98" spans="1:8" ht="58" hidden="1" x14ac:dyDescent="0.35">
      <c r="A98" s="42" t="str">
        <f>Table15[[#This Row],[ID]]</f>
        <v>8.2.5</v>
      </c>
      <c r="B98" s="4" t="str">
        <f>Table15[[#This Row],[Section]]</f>
        <v>Co-Browsing</v>
      </c>
      <c r="C98" s="4" t="str">
        <f>Table15[[#This Row],[Sub-Section]]</f>
        <v>Banner</v>
      </c>
      <c r="D98" s="16" t="str">
        <f>Table15[[#This Row],[Title]]</f>
        <v>When an agent message is received during a co-browse session, the message is announce automatically.</v>
      </c>
      <c r="E98" s="80" t="str">
        <f>Table15[[#This Row],[Description]]</f>
        <v>Use ARIA-live="polite".</v>
      </c>
      <c r="F98" s="81" t="str">
        <f>IF((Table15[[#This Row],[Desktop]]="yes"),"yes","no")</f>
        <v>yes</v>
      </c>
      <c r="G98" s="79" t="str">
        <f>IF((Table15[[#This Row],[Desktop]]="yes"),"","n/a")</f>
        <v/>
      </c>
      <c r="H98" s="79"/>
    </row>
    <row r="99" spans="1:8" ht="58" hidden="1" x14ac:dyDescent="0.35">
      <c r="A99" s="42" t="str">
        <f>Table15[[#This Row],[ID]]</f>
        <v>8.2.6</v>
      </c>
      <c r="B99" s="4" t="str">
        <f>Table15[[#This Row],[Section]]</f>
        <v>Co-Browsing</v>
      </c>
      <c r="C99" s="4" t="str">
        <f>Table15[[#This Row],[Sub-Section]]</f>
        <v>Banner</v>
      </c>
      <c r="D99" s="16" t="str">
        <f>Table15[[#This Row],[Title]]</f>
        <v>The latest message received in cobrowse is navigable by the screen reader</v>
      </c>
      <c r="E99" s="80" t="str">
        <f>Table15[[#This Row],[Description]]</f>
        <v>It may be posted invisibly  to the banner via CSS. Screen readers will still perceive it. Message is navigable, and spoken automatically when received, and respects state of "chime" button</v>
      </c>
      <c r="F99" s="81" t="str">
        <f>IF((Table15[[#This Row],[Desktop]]="yes"),"yes","no")</f>
        <v>yes</v>
      </c>
      <c r="G99" s="79" t="str">
        <f>IF((Table15[[#This Row],[Desktop]]="yes"),"","n/a")</f>
        <v/>
      </c>
      <c r="H99" s="79"/>
    </row>
    <row r="100" spans="1:8" ht="43.5" hidden="1" x14ac:dyDescent="0.35">
      <c r="A100" s="42" t="str">
        <f>Table15[[#This Row],[ID]]</f>
        <v>8.3.1</v>
      </c>
      <c r="B100" s="4" t="str">
        <f>Table15[[#This Row],[Section]]</f>
        <v>Co-Browsing</v>
      </c>
      <c r="C100" s="4" t="str">
        <f>Table15[[#This Row],[Sub-Section]]</f>
        <v>Highlighting</v>
      </c>
      <c r="D100" s="16" t="str">
        <f>Table15[[#This Row],[Title]]</f>
        <v>Co-browse highlighting is spoken automatically.</v>
      </c>
      <c r="E100" s="80" t="str">
        <f>Table15[[#This Row],[Description]]</f>
        <v>On each span delimiting a highlight area, specify ARIA-Live = polite or role="alert". Do not use ARIA-live="assertive", because it might fail.</v>
      </c>
      <c r="F100" s="81" t="str">
        <f>IF((Table15[[#This Row],[Desktop]]="yes"),"yes","no")</f>
        <v>yes</v>
      </c>
      <c r="G100" s="79" t="str">
        <f>IF((Table15[[#This Row],[Desktop]]="yes"),"","n/a")</f>
        <v/>
      </c>
      <c r="H100" s="79"/>
    </row>
    <row r="101" spans="1:8" ht="87" hidden="1" x14ac:dyDescent="0.35">
      <c r="A101" s="42" t="str">
        <f>Table15[[#This Row],[ID]]</f>
        <v>8.3.2</v>
      </c>
      <c r="B101" s="4" t="str">
        <f>Table15[[#This Row],[Section]]</f>
        <v>Co-Browsing</v>
      </c>
      <c r="C101" s="4" t="str">
        <f>Table15[[#This Row],[Sub-Section]]</f>
        <v>Highlighting</v>
      </c>
      <c r="D101" s="16" t="str">
        <f>Table15[[#This Row],[Title]]</f>
        <v>Color of the co-browse highlight is announced automatically.</v>
      </c>
      <c r="E101" s="80" t="str">
        <f>Table15[[#This Row],[Description]]</f>
        <v>Specify a unique ARIA-label attribute on each span containing highlighted text, in the form: aria-label="{some_color}". Note that }some_color} is replacement text... Use what ever color name you are using for the highlight(s)... E.g. "lemon yellow", "fuxia", or "aqua green".</v>
      </c>
      <c r="F101" s="81" t="str">
        <f>IF((Table15[[#This Row],[Desktop]]="yes"),"yes","no")</f>
        <v>yes</v>
      </c>
      <c r="G101" s="79" t="str">
        <f>IF((Table15[[#This Row],[Desktop]]="yes"),"","n/a")</f>
        <v/>
      </c>
      <c r="H101" s="79"/>
    </row>
    <row r="102" spans="1:8" ht="116" hidden="1" x14ac:dyDescent="0.35">
      <c r="A102" s="42" t="str">
        <f>Table15[[#This Row],[ID]]</f>
        <v>8.3.3</v>
      </c>
      <c r="B102" s="4" t="str">
        <f>Table15[[#This Row],[Section]]</f>
        <v>Co-Browsing</v>
      </c>
      <c r="C102" s="4" t="str">
        <f>Table15[[#This Row],[Sub-Section]]</f>
        <v>Highlighting</v>
      </c>
      <c r="D102" s="16" t="str">
        <f>Table15[[#This Row],[Title]]</f>
        <v>Co-browse highlighted areas support landmark navigation</v>
      </c>
      <c r="E102" s="80" t="str">
        <f>Table15[[#This Row],[Description]]</f>
        <v xml:space="preserve">on each  span surrounding highlighted regions, specify role="complementary" to establish landmark navigability by screen readers, and aria-label="{some_color}" which will announce the color of the highlight to be announced. Note that }some_color} is replacement text... Use what ever color name you are using for the highlight(s)... E.g. "lemon yellow", "fuxia", or "aqua green". by screen readers. </v>
      </c>
      <c r="F102" s="81" t="str">
        <f>IF((Table15[[#This Row],[Desktop]]="yes"),"yes","no")</f>
        <v>yes</v>
      </c>
      <c r="G102" s="79" t="str">
        <f>IF((Table15[[#This Row],[Desktop]]="yes"),"","n/a")</f>
        <v/>
      </c>
      <c r="H102" s="79"/>
    </row>
    <row r="103" spans="1:8" ht="58" hidden="1" x14ac:dyDescent="0.35">
      <c r="A103" s="42" t="str">
        <f>Table15[[#This Row],[ID]]</f>
        <v>9.1.1</v>
      </c>
      <c r="B103" s="4" t="str">
        <f>Table15[[#This Row],[Section]]</f>
        <v>National Language Support</v>
      </c>
      <c r="C103" s="4" t="str">
        <f>Table15[[#This Row],[Sub-Section]]</f>
        <v>General Requirements</v>
      </c>
      <c r="D103" s="16" t="str">
        <f>Table15[[#This Row],[Title]]</f>
        <v>Primary chat language is supported globally.</v>
      </c>
      <c r="E103" s="80" t="str">
        <f>Table15[[#This Row],[Description]]</f>
        <v xml:space="preserve">The primary language of the chat environment is declared with an appropriate lang attribute assignment on the outmost container tag of each chat component.
</v>
      </c>
      <c r="F103" s="81" t="str">
        <f>IF((Table15[[#This Row],[Desktop]]="yes"),"yes","no")</f>
        <v>yes</v>
      </c>
      <c r="G103" s="79" t="str">
        <f>IF((Table15[[#This Row],[Desktop]]="yes"),"","n/a")</f>
        <v/>
      </c>
      <c r="H103" s="79"/>
    </row>
    <row r="104" spans="1:8" ht="72.5" hidden="1" x14ac:dyDescent="0.35">
      <c r="A104" s="42" t="str">
        <f>Table15[[#This Row],[ID]]</f>
        <v xml:space="preserve"> 9.1.2</v>
      </c>
      <c r="B104" s="4" t="str">
        <f>Table15[[#This Row],[Section]]</f>
        <v>National Language Support</v>
      </c>
      <c r="C104" s="4" t="str">
        <f>Table15[[#This Row],[Sub-Section]]</f>
        <v>General Requirements</v>
      </c>
      <c r="D104" s="16" t="str">
        <f>Table15[[#This Row],[Title]]</f>
        <v>Ensure that all text, and all literal string assignments for attributes are written/translated in the national language of the chat.</v>
      </c>
      <c r="E104"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104" s="81" t="str">
        <f>IF((Table15[[#This Row],[Desktop]]="yes"),"yes","no")</f>
        <v>yes</v>
      </c>
      <c r="G104" s="79" t="str">
        <f>IF((Table15[[#This Row],[Desktop]]="yes"),"","n/a")</f>
        <v/>
      </c>
      <c r="H104" s="79"/>
    </row>
    <row r="105" spans="1:8" ht="72.5" hidden="1" x14ac:dyDescent="0.35">
      <c r="A105" s="42" t="str">
        <f>Table15[[#This Row],[ID]]</f>
        <v>9.1.3</v>
      </c>
      <c r="B105" s="4" t="str">
        <f>Table15[[#This Row],[Section]]</f>
        <v>National Language Support</v>
      </c>
      <c r="C105" s="4" t="str">
        <f>Table15[[#This Row],[Sub-Section]]</f>
        <v>General Requirements</v>
      </c>
      <c r="D105" s="16" t="str">
        <f>Table15[[#This Row],[Title]]</f>
        <v>In imported widgets, ensure that all text, and all literal string assignments for attributes are written/translated in the national language of the chat.</v>
      </c>
      <c r="E105"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105" s="81" t="str">
        <f>IF((Table15[[#This Row],[Desktop]]="yes"),"yes","no")</f>
        <v>yes</v>
      </c>
      <c r="G105" s="79" t="str">
        <f>IF((Table15[[#This Row],[Desktop]]="yes"),"","n/a")</f>
        <v/>
      </c>
      <c r="H105" s="79"/>
    </row>
    <row r="106" spans="1:8" ht="29" hidden="1" x14ac:dyDescent="0.35">
      <c r="A106" s="42" t="str">
        <f>Table15[[#This Row],[ID]]</f>
        <v>11.0.0</v>
      </c>
      <c r="B106" s="4" t="str">
        <f>Table15[[#This Row],[Section]]</f>
        <v>Imported Widgets</v>
      </c>
      <c r="C106" s="4" t="str">
        <f>Table15[[#This Row],[Sub-Section]]</f>
        <v>Modal Taxonomy</v>
      </c>
      <c r="D106" s="16" t="str">
        <f>Table15[[#This Row],[Title]]</f>
        <v>Imported Widgets are Strict Modals</v>
      </c>
      <c r="E106" s="80" t="str">
        <f>Table15[[#This Row],[Description]]</f>
        <v>See Modal Taxonomy tab</v>
      </c>
      <c r="F106" s="81" t="str">
        <f>IF((Table15[[#This Row],[Desktop]]="yes"),"yes","no")</f>
        <v>no</v>
      </c>
      <c r="G106" s="79" t="str">
        <f>IF((Table15[[#This Row],[Desktop]]="yes"),"","n/a")</f>
        <v>n/a</v>
      </c>
      <c r="H106" s="79"/>
    </row>
    <row r="107" spans="1:8" ht="29" hidden="1" x14ac:dyDescent="0.35">
      <c r="A107" s="42" t="str">
        <f>Table15[[#This Row],[ID]]</f>
        <v>11.1.1</v>
      </c>
      <c r="B107" s="4" t="str">
        <f>Table15[[#This Row],[Section]]</f>
        <v>Imported Widgets</v>
      </c>
      <c r="C107" s="4" t="str">
        <f>Table15[[#This Row],[Sub-Section]]</f>
        <v>General Requirements</v>
      </c>
      <c r="D107" s="16" t="str">
        <f>Table15[[#This Row],[Title]]</f>
        <v>Imported widgets are modalized</v>
      </c>
      <c r="E107" s="80" t="str">
        <f>Table15[[#This Row],[Description]]</f>
        <v>Imported widgets are housed in strict modals. See detailed requirements in Modals section of ACASTT: UID 3.1.3.</v>
      </c>
      <c r="F107" s="81" t="str">
        <f>IF((Table15[[#This Row],[Desktop]]="yes"),"yes","no")</f>
        <v>yes</v>
      </c>
      <c r="G107" s="79" t="str">
        <f>IF((Table15[[#This Row],[Desktop]]="yes"),"","n/a")</f>
        <v/>
      </c>
      <c r="H107" s="79"/>
    </row>
    <row r="108" spans="1:8" ht="43.5" hidden="1" x14ac:dyDescent="0.35">
      <c r="A108" s="42" t="str">
        <f>Table15[[#This Row],[ID]]</f>
        <v>11.1.2</v>
      </c>
      <c r="B108" s="4" t="str">
        <f>Table15[[#This Row],[Section]]</f>
        <v>Imported Widgets</v>
      </c>
      <c r="C108" s="4" t="str">
        <f>Table15[[#This Row],[Sub-Section]]</f>
        <v>General Requirements</v>
      </c>
      <c r="D108" s="16" t="str">
        <f>Table15[[#This Row],[Title]]</f>
        <v>Forms inside widgets will conform to chat requirements for form elements.</v>
      </c>
      <c r="E108" s="80" t="str">
        <f>Table15[[#This Row],[Description]]</f>
        <v>See detailed requirements in Forms section of ACASTT</v>
      </c>
      <c r="F108" s="81" t="str">
        <f>IF((Table15[[#This Row],[Desktop]]="yes"),"yes","no")</f>
        <v>yes</v>
      </c>
      <c r="G108" s="79" t="str">
        <f>IF((Table15[[#This Row],[Desktop]]="yes"),"","n/a")</f>
        <v/>
      </c>
      <c r="H108" s="79"/>
    </row>
    <row r="109" spans="1:8" ht="43.5" hidden="1" x14ac:dyDescent="0.35">
      <c r="A109" s="42" t="str">
        <f>Table15[[#This Row],[ID]]</f>
        <v>12.1.1</v>
      </c>
      <c r="B109" s="4" t="str">
        <f>Table15[[#This Row],[Section]]</f>
        <v>Chat Suppression</v>
      </c>
      <c r="C109" s="4" t="str">
        <f>Table15[[#This Row],[Sub-Section]]</f>
        <v>General Requirements</v>
      </c>
      <c r="D109" s="16" t="str">
        <f>Table15[[#This Row],[Title]]</f>
        <v>On suppressed pages, chat must not be percievable by any users, including screen reader users.</v>
      </c>
      <c r="E109" s="80" t="str">
        <f>Table15[[#This Row],[Description]]</f>
        <v>If the chat POI is properly suppressed, the process will not yield any announcement of the chat POI.</v>
      </c>
      <c r="F109" s="81" t="str">
        <f>IF((Table15[[#This Row],[Desktop]]="yes"),"yes","no")</f>
        <v>yes</v>
      </c>
      <c r="G109" s="79" t="str">
        <f>IF((Table15[[#This Row],[Desktop]]="yes"),"","n/a")</f>
        <v/>
      </c>
      <c r="H109" s="79"/>
    </row>
  </sheetData>
  <conditionalFormatting sqref="F2:F109 A2:D109">
    <cfRule type="expression" dxfId="16439" priority="17">
      <formula>$F2="no"</formula>
    </cfRule>
  </conditionalFormatting>
  <conditionalFormatting sqref="E11">
    <cfRule type="expression" dxfId="16438" priority="9">
      <formula>$F11="no"</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59999389629810485"/>
  </sheetPr>
  <dimension ref="A1:I109"/>
  <sheetViews>
    <sheetView tabSelected="1" workbookViewId="0">
      <selection activeCell="G9" sqref="G9"/>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82</v>
      </c>
      <c r="F1" s="1" t="s">
        <v>83</v>
      </c>
      <c r="G1" s="1" t="s">
        <v>96</v>
      </c>
      <c r="H1" s="1" t="s">
        <v>97</v>
      </c>
      <c r="I1" s="1" t="s">
        <v>89</v>
      </c>
    </row>
    <row r="2" spans="1:9" ht="43.5" hidden="1" x14ac:dyDescent="0.35">
      <c r="A2" s="2" t="str">
        <f>Table15[[#This Row],[ID]]</f>
        <v>1.1.2</v>
      </c>
      <c r="B2" s="1" t="str">
        <f>Table15[[#This Row],[Section]]</f>
        <v>Business Rules</v>
      </c>
      <c r="C2" s="1" t="str">
        <f>Table15[[#This Row],[Sub-Section]]</f>
        <v>General Requirements</v>
      </c>
      <c r="D2" s="16" t="str">
        <f>Table15[[#This Row],[Title]]</f>
        <v>If a proactive invocation is present, a reactive POI must also be available to the user.</v>
      </c>
      <c r="E2" s="16" t="str">
        <f>IF(Table15[[#This Row],[Description]]&lt;&gt;0,Table15[[#This Row],[Description]],"No entry")</f>
        <v>Avoid scenarios where keyboard only users do not have a chat option.</v>
      </c>
      <c r="F2" s="1" t="str">
        <f>IF((Table15[[#This Row],[Mobile 
Web]]="yes"),"yes","no")</f>
        <v>yes</v>
      </c>
      <c r="G2" s="14" t="str">
        <f>IF((Table15[[#This Row],[Mobile 
Web]]="yes"),"","n/a")</f>
        <v/>
      </c>
      <c r="H2" s="14" t="str">
        <f>IF((Table15[[#This Row],[Mobile 
Web]]="yes"),"","n/a")</f>
        <v/>
      </c>
      <c r="I2" s="14" t="str">
        <f>IF((Table15[[#This Row],[Mobile 
Web]]="yes"),"","n/a")</f>
        <v/>
      </c>
    </row>
    <row r="3" spans="1:9" ht="145" x14ac:dyDescent="0.35">
      <c r="A3" s="2" t="str">
        <f>Table15[[#This Row],[ID]]</f>
        <v>2.1.1</v>
      </c>
      <c r="B3" s="1" t="str">
        <f>Table15[[#This Row],[Section]]</f>
        <v>Points of Invocation</v>
      </c>
      <c r="C3" s="1" t="str">
        <f>Table15[[#This Row],[Sub-Section]]</f>
        <v>Reactive POI</v>
      </c>
      <c r="D3" s="16" t="str">
        <f>Table15[[#This Row],[Title]]</f>
        <v>Reactive POIs are in the tab order</v>
      </c>
      <c r="E3"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3" s="1" t="str">
        <f>IF((Table15[[#This Row],[Mobile 
Web]]="yes"),"yes","no")</f>
        <v>yes</v>
      </c>
      <c r="G3" s="14" t="s">
        <v>16984</v>
      </c>
      <c r="H3" s="14" t="str">
        <f>IF((Table15[[#This Row],[Mobile 
Web]]="yes"),"","n/a")</f>
        <v/>
      </c>
      <c r="I3" s="14" t="str">
        <f>IF((Table15[[#This Row],[Mobile 
Web]]="yes"),"","n/a")</f>
        <v/>
      </c>
    </row>
    <row r="4" spans="1:9" ht="72.5" x14ac:dyDescent="0.35">
      <c r="A4" s="2" t="str">
        <f>Table15[[#This Row],[ID]]</f>
        <v>2.1.2</v>
      </c>
      <c r="B4" s="1" t="str">
        <f>Table15[[#This Row],[Section]]</f>
        <v>Points of Invocation</v>
      </c>
      <c r="C4" s="1" t="str">
        <f>Table15[[#This Row],[Sub-Section]]</f>
        <v>Reactive POI</v>
      </c>
      <c r="D4" s="16" t="str">
        <f>Table15[[#This Row],[Title]]</f>
        <v>Chat activation transfers focus automatically into the chat flow</v>
      </c>
      <c r="E4" s="16"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4" s="1" t="str">
        <f>IF((Table15[[#This Row],[Mobile 
Web]]="yes"),"yes","no")</f>
        <v>yes</v>
      </c>
      <c r="G4" s="14" t="s">
        <v>16985</v>
      </c>
      <c r="H4" s="14" t="str">
        <f>IF((Table15[[#This Row],[Mobile 
Web]]="yes"),"","n/a")</f>
        <v/>
      </c>
      <c r="I4" s="14" t="str">
        <f>IF((Table15[[#This Row],[Mobile 
Web]]="yes"),"","n/a")</f>
        <v/>
      </c>
    </row>
    <row r="5" spans="1:9" ht="29" x14ac:dyDescent="0.35">
      <c r="A5" s="2" t="str">
        <f>Table15[[#This Row],[ID]]</f>
        <v>2.1.3</v>
      </c>
      <c r="B5" s="1" t="str">
        <f>Table15[[#This Row],[Section]]</f>
        <v>Points of Invocation</v>
      </c>
      <c r="C5" s="1" t="str">
        <f>Table15[[#This Row],[Sub-Section]]</f>
        <v>Chat Availability Status</v>
      </c>
      <c r="D5" s="16" t="str">
        <f>Table15[[#This Row],[Title]]</f>
        <v>Dynamic C2C POI status changes announced automatically</v>
      </c>
      <c r="E5" s="17" t="str">
        <f>IF(Table15[[#This Row],[Description]]&lt;&gt;0,Table15[[#This Row],[Description]],"No entry")</f>
        <v xml:space="preserve">When a chat POI changes status to available, the state will be announced automatically by the screen reader. </v>
      </c>
      <c r="F5" s="1" t="str">
        <f>IF((Table15[[#This Row],[Mobile 
Web]]="yes"),"yes","no")</f>
        <v>yes</v>
      </c>
      <c r="G5" s="14" t="s">
        <v>16986</v>
      </c>
      <c r="H5" s="14"/>
    </row>
    <row r="6" spans="1:9" ht="29" x14ac:dyDescent="0.35">
      <c r="A6" s="2" t="str">
        <f>Table15[[#This Row],[ID]]</f>
        <v>2.1.4</v>
      </c>
      <c r="B6" s="1" t="str">
        <f>Table15[[#This Row],[Section]]</f>
        <v>Points of Invocation</v>
      </c>
      <c r="C6" s="1" t="str">
        <f>Table15[[#This Row],[Sub-Section]]</f>
        <v>Chat Availability Status</v>
      </c>
      <c r="D6" s="16" t="str">
        <f>Table15[[#This Row],[Title]]</f>
        <v>Only visible POI components are perceivable by screen readers</v>
      </c>
      <c r="E6" s="16" t="str">
        <f>IF(Table15[[#This Row],[Description]]&lt;&gt;0,Table15[[#This Row],[Description]],"No entry")</f>
        <v>If the POI is suppressed or otherwise becomes hidden, it must also not be perceivable by screen readers.</v>
      </c>
      <c r="F6" s="1" t="str">
        <f>IF((Table15[[#This Row],[Mobile 
Web]]="yes"),"yes","no")</f>
        <v>yes</v>
      </c>
      <c r="G6" s="14" t="s">
        <v>16987</v>
      </c>
      <c r="H6" s="14" t="str">
        <f>IF((Table15[[#This Row],[Mobile 
Web]]="yes"),"","n/a")</f>
        <v/>
      </c>
      <c r="I6" s="14" t="str">
        <f>IF((Table15[[#This Row],[Mobile 
Web]]="yes"),"","n/a")</f>
        <v/>
      </c>
    </row>
    <row r="7" spans="1:9" ht="43.5" x14ac:dyDescent="0.35">
      <c r="A7" s="2" t="str">
        <f>Table15[[#This Row],[ID]]</f>
        <v>2.1.6</v>
      </c>
      <c r="B7" s="1" t="str">
        <f>Table15[[#This Row],[Section]]</f>
        <v>Points of Invocation</v>
      </c>
      <c r="C7" s="1" t="str">
        <f>Table15[[#This Row],[Sub-Section]]</f>
        <v>General Requirements</v>
      </c>
      <c r="D7" s="16" t="str">
        <f>Table15[[#This Row],[Title]]</f>
        <v>POIs must have a single focusable element.</v>
      </c>
      <c r="E7" s="16" t="str">
        <f>IF(Table15[[#This Row],[Description]]&lt;&gt;0,Table15[[#This Row],[Description]],"No entry")</f>
        <v>POI is either a button, or a link. Any ancillary elements such as surrounding div tags are not focusable with tabindex or other techniques.</v>
      </c>
      <c r="F7" s="1" t="str">
        <f>IF((Table15[[#This Row],[Mobile 
Web]]="yes"),"yes","no")</f>
        <v>yes</v>
      </c>
      <c r="G7" s="14" t="s">
        <v>16988</v>
      </c>
      <c r="H7" s="14" t="str">
        <f>IF((Table15[[#This Row],[Mobile 
Web]]="yes"),"","n/a")</f>
        <v/>
      </c>
      <c r="I7" s="14" t="str">
        <f>IF((Table15[[#This Row],[Mobile 
Web]]="yes"),"","n/a")</f>
        <v/>
      </c>
    </row>
    <row r="8" spans="1:9" ht="29" x14ac:dyDescent="0.35">
      <c r="A8" s="2" t="str">
        <f>Table15[[#This Row],[ID]]</f>
        <v>2.1.7</v>
      </c>
      <c r="B8" s="1" t="str">
        <f>Table15[[#This Row],[Section]]</f>
        <v>Points of Invocation</v>
      </c>
      <c r="C8" s="1" t="str">
        <f>Table15[[#This Row],[Sub-Section]]</f>
        <v>General Requirements</v>
      </c>
      <c r="D8" s="16" t="str">
        <f>Table15[[#This Row],[Title]]</f>
        <v>Reactive POIs have access key</v>
      </c>
      <c r="E8" s="16" t="str">
        <f>IF(Table15[[#This Row],[Description]]&lt;&gt;0,Table15[[#This Row],[Description]],"No entry")</f>
        <v>Attribute accesskey="1" is added to the focusable POI.</v>
      </c>
      <c r="F8" s="1" t="str">
        <f>IF((Table15[[#This Row],[Mobile 
Web]]="yes"),"yes","no")</f>
        <v>no</v>
      </c>
      <c r="G8" s="14" t="str">
        <f>IF((Table15[[#This Row],[Mobile 
Web]]="yes"),"","n/a")</f>
        <v>n/a</v>
      </c>
      <c r="H8" s="14" t="str">
        <f>IF((Table15[[#This Row],[Mobile 
Web]]="yes"),"","n/a")</f>
        <v>n/a</v>
      </c>
      <c r="I8" s="14" t="str">
        <f>IF((Table15[[#This Row],[Mobile 
Web]]="yes"),"","n/a")</f>
        <v>n/a</v>
      </c>
    </row>
    <row r="9" spans="1:9" ht="43.5" x14ac:dyDescent="0.35">
      <c r="A9" s="2" t="str">
        <f>Table15[[#This Row],[ID]]</f>
        <v>2.1.8</v>
      </c>
      <c r="B9" s="1" t="str">
        <f>Table15[[#This Row],[Section]]</f>
        <v>Points of Invocation</v>
      </c>
      <c r="C9" s="1" t="str">
        <f>Table15[[#This Row],[Sub-Section]]</f>
        <v>Chat Suppression</v>
      </c>
      <c r="D9" s="16" t="str">
        <f>Table15[[#This Row],[Title]]</f>
        <v>On suppressed pages, chat must not be percievable by users including screen reader users.</v>
      </c>
      <c r="E9" s="16" t="str">
        <f>IF(Table15[[#This Row],[Description]]&lt;&gt;0,Table15[[#This Row],[Description]],"No entry")</f>
        <v>If the chat POI is properly suppressed, the process will not yield any announcement of the chat POI.</v>
      </c>
      <c r="F9" s="1" t="str">
        <f>IF((Table15[[#This Row],[Mobile 
Web]]="yes"),"yes","no")</f>
        <v>yes</v>
      </c>
      <c r="G9" s="14" t="s">
        <v>16989</v>
      </c>
      <c r="H9" s="14" t="str">
        <f>IF((Table15[[#This Row],[Mobile 
Web]]="yes"),"","n/a")</f>
        <v/>
      </c>
      <c r="I9" s="14" t="str">
        <f>IF((Table15[[#This Row],[Mobile 
Web]]="yes"),"","n/a")</f>
        <v/>
      </c>
    </row>
    <row r="10" spans="1:9" ht="29" hidden="1" x14ac:dyDescent="0.35">
      <c r="A10" s="2" t="str">
        <f>Table15[[#This Row],[ID]]</f>
        <v>3.1.0</v>
      </c>
      <c r="B10" s="1" t="str">
        <f>Table15[[#This Row],[Section]]</f>
        <v>Modals</v>
      </c>
      <c r="C10" s="1" t="str">
        <f>Table15[[#This Row],[Sub-Section]]</f>
        <v>Modal Taxonomy</v>
      </c>
      <c r="D10" s="16" t="str">
        <f>Table15[[#This Row],[Title]]</f>
        <v>Modals can be Strict, Relaxed, or Psudo-modals</v>
      </c>
      <c r="E10" s="16" t="str">
        <f>IF(Table15[[#This Row],[Description]]&lt;&gt;0,Table15[[#This Row],[Description]],"No entry")</f>
        <v>See navigation rules and restrictions in Modal Taxonomy tab</v>
      </c>
      <c r="F10" s="1" t="str">
        <f>IF((Table15[[#This Row],[Mobile 
Web]]="yes"),"yes","no")</f>
        <v>no</v>
      </c>
      <c r="G10" s="14" t="str">
        <f>IF((Table15[[#This Row],[Mobile 
Web]]="yes"),"","n/a")</f>
        <v>n/a</v>
      </c>
      <c r="H10" s="14" t="str">
        <f>IF((Table15[[#This Row],[Mobile 
Web]]="yes"),"","n/a")</f>
        <v>n/a</v>
      </c>
      <c r="I10" s="14" t="str">
        <f>IF((Table15[[#This Row],[Mobile 
Web]]="yes"),"","n/a")</f>
        <v>n/a</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Web]]="yes"),"yes","no")</f>
        <v>yes</v>
      </c>
      <c r="G11" s="14" t="str">
        <f>IF((Table15[[#This Row],[Mobile 
Web]]="yes"),"","n/a")</f>
        <v/>
      </c>
      <c r="H11" s="14"/>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strict modals.</v>
      </c>
      <c r="E12" s="16" t="str">
        <f>IF(Table15[[#This Row],[Description]]&lt;&gt;0,Table15[[#This Row],[Description]],"No entry")</f>
        <v>With some exceptions, like minimized chat panels, and co-browse banners, child windows are strict modals. In other words, they restrict focus to themselves when they are active, and enforce circular navigation.
* Desktop:  Tabbing to browser chrome is not permitted.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Web]]="yes"),"yes","no")</f>
        <v>yes</v>
      </c>
      <c r="G12" s="14" t="str">
        <f>IF((Table15[[#This Row],[Mobile 
Web]]="yes"),"","n/a")</f>
        <v/>
      </c>
      <c r="H12" s="14" t="str">
        <f>IF((Table15[[#This Row],[Mobile 
Web]]="yes"),"","n/a")</f>
        <v/>
      </c>
      <c r="I12" s="14" t="str">
        <f>IF((Table15[[#This Row],[Mobile 
Web]]="yes"),"","n/a")</f>
        <v/>
      </c>
    </row>
    <row r="13" spans="1:9" ht="145" hidden="1" x14ac:dyDescent="0.35">
      <c r="A13" s="2" t="str">
        <f>Table15[[#This Row],[ID]]</f>
        <v>3.1.3</v>
      </c>
      <c r="B13" s="1" t="str">
        <f>Table15[[#This Row],[Section]]</f>
        <v>Modals</v>
      </c>
      <c r="C13" s="1" t="str">
        <f>Table15[[#This Row],[Sub-Section]]</f>
        <v>General Requirements</v>
      </c>
      <c r="D13" s="16" t="str">
        <f>Table15[[#This Row],[Title]]</f>
        <v>Secondary child windows (modals) are strict modals</v>
      </c>
      <c r="E13" s="16" t="str">
        <f>IF(Table15[[#This Row],[Description]]&lt;&gt;0,Table15[[#This Row],[Description]],"No entry")</f>
        <v>Secondary windows such as email transcript do not allow access and navigation outside their boundaries.
This applies to certain modals spawned by, and stacked on top of other modals. For example:
• Email transcript submission form.
• Pushed forms inside chat panel that do not require messages to be exchanged before submission/completion.
• Backup nodes spawned by Touch Guides. For example: “You have reached us after business hours”.</v>
      </c>
      <c r="F13" s="1" t="str">
        <f>IF((Table15[[#This Row],[Mobile 
Web]]="yes"),"yes","no")</f>
        <v>yes</v>
      </c>
      <c r="G13" s="14" t="str">
        <f>IF((Table15[[#This Row],[Mobile 
Web]]="yes"),"","n/a")</f>
        <v/>
      </c>
      <c r="H13" s="14" t="str">
        <f>IF((Table15[[#This Row],[Mobile 
Web]]="yes"),"","n/a")</f>
        <v/>
      </c>
      <c r="I13" s="14" t="str">
        <f>IF((Table15[[#This Row],[Mobile 
Web]]="yes"),"","n/a")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Web]]="yes"),"yes","no")</f>
        <v>yes</v>
      </c>
      <c r="G14" s="14" t="str">
        <f>IF((Table15[[#This Row],[Mobile 
Web]]="yes"),"","n/a")</f>
        <v/>
      </c>
      <c r="H14" s="14" t="str">
        <f>IF((Table15[[#This Row],[Mobile 
Web]]="yes"),"","n/a")</f>
        <v/>
      </c>
      <c r="I14" s="14" t="str">
        <f>IF((Table15[[#This Row],[Mobile 
Web]]="yes"),"","n/a")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Web]]="yes"),"yes","no")</f>
        <v>yes</v>
      </c>
      <c r="G15" s="14" t="str">
        <f>IF((Table15[[#This Row],[Mobile 
Web]]="yes"),"","n/a")</f>
        <v/>
      </c>
      <c r="H15" s="14" t="str">
        <f>IF((Table15[[#This Row],[Mobile 
Web]]="yes"),"","n/a")</f>
        <v/>
      </c>
      <c r="I15" s="14" t="str">
        <f>IF((Table15[[#This Row],[Mobile 
Web]]="yes"),"","n/a")</f>
        <v/>
      </c>
    </row>
    <row r="16" spans="1:9" ht="58" hidden="1" x14ac:dyDescent="0.35">
      <c r="A16" s="2" t="str">
        <f>Table15[[#This Row],[ID]]</f>
        <v>3.1.6</v>
      </c>
      <c r="B16" s="1" t="str">
        <f>Table15[[#This Row],[Section]]</f>
        <v>Modals</v>
      </c>
      <c r="C16" s="1" t="str">
        <f>Table15[[#This Row],[Sub-Section]]</f>
        <v>General Requirements</v>
      </c>
      <c r="D16" s="16" t="str">
        <f>Table15[[#This Row],[Title]]</f>
        <v>Upon modal spawning, modal title, prompts, and initial focused control are read automatically in the given order.</v>
      </c>
      <c r="E16" s="16" t="str">
        <f>IF(Table15[[#This Row],[Description]]&lt;&gt;0,Table15[[#This Row],[Description]],"No entry")</f>
        <v>When a modal is spawned, the screen reader announces: (1) modal title, (2) modal prompt, (3) control having initial focus. Automatic announcements must occur in the order A, B, C.</v>
      </c>
      <c r="F16" s="1" t="str">
        <f>IF((Table15[[#This Row],[Mobile 
Web]]="yes"),"yes","no")</f>
        <v>yes</v>
      </c>
      <c r="G16" s="14" t="str">
        <f>IF((Table15[[#This Row],[Mobile 
Web]]="yes"),"","n/a")</f>
        <v/>
      </c>
      <c r="H16" s="14" t="str">
        <f>IF((Table15[[#This Row],[Mobile 
Web]]="yes"),"","n/a")</f>
        <v/>
      </c>
      <c r="I16" s="14" t="str">
        <f>IF((Table15[[#This Row],[Mobile 
Web]]="yes"),"","n/a")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Modals must have at least one button or a link, and such control must have initial focus on modal spawning.</v>
      </c>
      <c r="F17" s="1" t="str">
        <f>IF((Table15[[#This Row],[Mobile 
Web]]="yes"),"yes","no")</f>
        <v>yes</v>
      </c>
      <c r="G17" s="14" t="str">
        <f>IF((Table15[[#This Row],[Mobile 
Web]]="yes"),"","n/a")</f>
        <v/>
      </c>
      <c r="H17" s="14"/>
    </row>
    <row r="18" spans="1:9" ht="29" hidden="1" x14ac:dyDescent="0.35">
      <c r="A18" s="2" t="str">
        <f>Table15[[#This Row],[ID]]</f>
        <v>4.1.0</v>
      </c>
      <c r="B18" s="1" t="str">
        <f>Table15[[#This Row],[Section]]</f>
        <v>Touch Guides (TG / Routing Guides)</v>
      </c>
      <c r="C18" s="1" t="str">
        <f>Table15[[#This Row],[Sub-Section]]</f>
        <v>Modal Taxonomy</v>
      </c>
      <c r="D18" s="16" t="str">
        <f>Table15[[#This Row],[Title]]</f>
        <v>TouchGuides are Strict Modals</v>
      </c>
      <c r="E18" s="18" t="str">
        <f>IF(Table15[[#This Row],[Description]]&lt;&gt;0,Table15[[#This Row],[Description]],"No entry")</f>
        <v>See Modal Taxonomy tab</v>
      </c>
      <c r="F18" s="1" t="str">
        <f>IF((Table15[[#This Row],[Mobile 
Web]]="yes"),"yes","no")</f>
        <v>no</v>
      </c>
      <c r="G18" s="14" t="str">
        <f>IF((Table15[[#This Row],[Mobile 
Web]]="yes"),"","n/a")</f>
        <v>n/a</v>
      </c>
      <c r="H18" s="14"/>
    </row>
    <row r="19" spans="1:9" ht="116" hidden="1" x14ac:dyDescent="0.35">
      <c r="A19" s="2" t="str">
        <f>Table15[[#This Row],[ID]]</f>
        <v xml:space="preserve"> 4.1.1</v>
      </c>
      <c r="B19" s="1" t="str">
        <f>Table15[[#This Row],[Section]]</f>
        <v>Touch Guides (TG / Routing Guides)</v>
      </c>
      <c r="C19" s="1" t="str">
        <f>Table15[[#This Row],[Sub-Section]]</f>
        <v>General Requirements</v>
      </c>
      <c r="D19" s="16" t="str">
        <f>Table15[[#This Row],[Title]]</f>
        <v>Only operable elements are in tab order</v>
      </c>
      <c r="E19" s="16"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9" s="1" t="str">
        <f>IF((Table15[[#This Row],[Mobile 
Web]]="yes"),"yes","no")</f>
        <v>yes</v>
      </c>
      <c r="G19" s="14" t="str">
        <f>IF((Table15[[#This Row],[Mobile 
Web]]="yes"),"","n/a")</f>
        <v/>
      </c>
      <c r="H19" s="14" t="str">
        <f>IF((Table15[[#This Row],[Mobile 
Web]]="yes"),"","n/a")</f>
        <v/>
      </c>
      <c r="I19" s="14" t="str">
        <f>IF((Table15[[#This Row],[Mobile 
Web]]="yes"),"","n/a")</f>
        <v/>
      </c>
    </row>
    <row r="20" spans="1:9" ht="58" hidden="1" x14ac:dyDescent="0.35">
      <c r="A20" s="2" t="str">
        <f>Table15[[#This Row],[ID]]</f>
        <v>4.1.2</v>
      </c>
      <c r="B20" s="1" t="str">
        <f>Table15[[#This Row],[Section]]</f>
        <v>Touch Guides (TG / Routing Guides)</v>
      </c>
      <c r="C20" s="1" t="str">
        <f>Table15[[#This Row],[Sub-Section]]</f>
        <v>General Requirements</v>
      </c>
      <c r="D20" s="16" t="str">
        <f>Table15[[#This Row],[Title]]</f>
        <v>Operable elements in TG are activatable via keyboard and accessible gestures</v>
      </c>
      <c r="E20" s="16" t="str">
        <f>IF(Table15[[#This Row],[Description]]&lt;&gt;0,Table15[[#This Row],[Description]],"No entry")</f>
        <v>Operable elements in a TG can be activated via enter-key as well as space-bar. On accessible touchscreen environments, operable elements can be activated with screen reader compatible gestures.</v>
      </c>
      <c r="F20" s="1" t="str">
        <f>IF((Table15[[#This Row],[Mobile 
Web]]="yes"),"yes","no")</f>
        <v>yes</v>
      </c>
      <c r="G20" s="14" t="str">
        <f>IF((Table15[[#This Row],[Mobile 
Web]]="yes"),"","n/a")</f>
        <v/>
      </c>
      <c r="H20" s="14" t="str">
        <f>IF((Table15[[#This Row],[Mobile 
Web]]="yes"),"","n/a")</f>
        <v/>
      </c>
      <c r="I20" s="14" t="str">
        <f>IF((Table15[[#This Row],[Mobile 
Web]]="yes"),"","n/a")</f>
        <v/>
      </c>
    </row>
    <row r="21" spans="1:9" ht="72.5" hidden="1" x14ac:dyDescent="0.35">
      <c r="A21" s="2" t="str">
        <f>Table15[[#This Row],[ID]]</f>
        <v>4.1.3</v>
      </c>
      <c r="B21" s="1" t="str">
        <f>Table15[[#This Row],[Section]]</f>
        <v>Touch Guides (TG / Routing Guides)</v>
      </c>
      <c r="C21" s="1" t="str">
        <f>Table15[[#This Row],[Sub-Section]]</f>
        <v>General Requirements</v>
      </c>
      <c r="D21" s="16" t="str">
        <f>Table15[[#This Row],[Title]]</f>
        <v xml:space="preserve">Spawning Touch Guide moves focus to first menu item </v>
      </c>
      <c r="E21" s="16" t="str">
        <f>IF(Table15[[#This Row],[Description]]&lt;&gt;0,Table15[[#This Row],[Description]],"No entry")</f>
        <v>When a TG panel containing a menu is spawned, focus is moved automatically to the first menu item in the TG panel. Please note that a "back" button, or other similar non topic-specific button is not deemed to be a menu item, and as such must not have initial focus.</v>
      </c>
      <c r="F21" s="1" t="str">
        <f>IF((Table15[[#This Row],[Mobile 
Web]]="yes"),"yes","no")</f>
        <v>yes</v>
      </c>
      <c r="G21" s="14" t="str">
        <f>IF((Table15[[#This Row],[Mobile 
Web]]="yes"),"","n/a")</f>
        <v/>
      </c>
      <c r="H21" s="14" t="str">
        <f>IF((Table15[[#This Row],[Mobile 
Web]]="yes"),"","n/a")</f>
        <v/>
      </c>
      <c r="I21" s="14" t="str">
        <f>IF((Table15[[#This Row],[Mobile 
Web]]="yes"),"","n/a")</f>
        <v/>
      </c>
    </row>
    <row r="22" spans="1:9" ht="58" hidden="1" x14ac:dyDescent="0.35">
      <c r="A22" s="2" t="str">
        <f>Table15[[#This Row],[ID]]</f>
        <v>4.1.4</v>
      </c>
      <c r="B22" s="1" t="str">
        <f>Table15[[#This Row],[Section]]</f>
        <v>Touch Guides (TG / Routing Guides)</v>
      </c>
      <c r="C22" s="1" t="str">
        <f>Table15[[#This Row],[Sub-Section]]</f>
        <v>General Requirements</v>
      </c>
      <c r="D22" s="16" t="str">
        <f>Table15[[#This Row],[Title]]</f>
        <v>Upon TG spawning, TG title, prompts, and initial focused menu item are read automatically in the given order.</v>
      </c>
      <c r="E22" s="16" t="str">
        <f>IF(Table15[[#This Row],[Description]]&lt;&gt;0,Table15[[#This Row],[Description]],"No entry")</f>
        <v>When a TG is spawned, the screen reader announces: (1) TG title, (2) TG prompt, (3) menu item having initial focus. Automatic announcements must occur in the order A, B, C.</v>
      </c>
      <c r="F22" s="1" t="str">
        <f>IF((Table15[[#This Row],[Mobile 
Web]]="yes"),"yes","no")</f>
        <v>yes</v>
      </c>
      <c r="G22" s="14" t="str">
        <f>IF((Table15[[#This Row],[Mobile 
Web]]="yes"),"","n/a")</f>
        <v/>
      </c>
      <c r="H22" s="14" t="str">
        <f>IF((Table15[[#This Row],[Mobile 
Web]]="yes"),"","n/a")</f>
        <v/>
      </c>
      <c r="I22" s="14" t="str">
        <f>IF((Table15[[#This Row],[Mobile 
Web]]="yes"),"","n/a")</f>
        <v/>
      </c>
    </row>
    <row r="23" spans="1:9" ht="43.5" hidden="1" x14ac:dyDescent="0.35">
      <c r="A23" s="2" t="str">
        <f>Table15[[#This Row],[ID]]</f>
        <v>4.1.5</v>
      </c>
      <c r="B23" s="1" t="str">
        <f>Table15[[#This Row],[Section]]</f>
        <v>Touch Guides (TG / Routing Guides)</v>
      </c>
      <c r="C23" s="1" t="str">
        <f>Table15[[#This Row],[Sub-Section]]</f>
        <v>General Requirements</v>
      </c>
      <c r="D23" s="16" t="str">
        <f>Table15[[#This Row],[Title]]</f>
        <v>In active items with tooltips, the tooltip is spoken after item is announced.</v>
      </c>
      <c r="E23" s="16" t="str">
        <f>IF(Table15[[#This Row],[Description]]&lt;&gt;0,Table15[[#This Row],[Description]],"No entry")</f>
        <v>TG items do not necessarily need tooltips or tooltip-like features, but if they have them, the tooltips will be spoken after the item.</v>
      </c>
      <c r="F23" s="1" t="str">
        <f>IF((Table15[[#This Row],[Mobile 
Web]]="yes"),"yes","no")</f>
        <v>yes</v>
      </c>
      <c r="G23" s="14" t="str">
        <f>IF((Table15[[#This Row],[Mobile 
Web]]="yes"),"","n/a")</f>
        <v/>
      </c>
      <c r="H23" s="14" t="str">
        <f>IF((Table15[[#This Row],[Mobile 
Web]]="yes"),"","n/a")</f>
        <v/>
      </c>
      <c r="I23" s="14" t="str">
        <f>IF((Table15[[#This Row],[Mobile 
Web]]="yes"),"","n/a")</f>
        <v/>
      </c>
    </row>
    <row r="24" spans="1:9" ht="43.5" hidden="1" x14ac:dyDescent="0.35">
      <c r="A24" s="2" t="str">
        <f>Table15[[#This Row],[ID]]</f>
        <v>4.1.6</v>
      </c>
      <c r="B24" s="1" t="str">
        <f>Table15[[#This Row],[Section]]</f>
        <v>Touch Guides (TG / Routing Guides)</v>
      </c>
      <c r="C24" s="1" t="str">
        <f>Table15[[#This Row],[Sub-Section]]</f>
        <v>General Requirements</v>
      </c>
      <c r="D24" s="16" t="str">
        <f>Table15[[#This Row],[Title]]</f>
        <v>Icons matching TG item titles have alt="" text</v>
      </c>
      <c r="E24" s="16" t="str">
        <f>IF(Table15[[#This Row],[Description]]&lt;&gt;0,Table15[[#This Row],[Description]],"No entry")</f>
        <v>If TG items feature a textual title as well as an icon, the icon is assigned a null alt (alt="") text in order to avoid duplicate verbalization by screen readers.</v>
      </c>
      <c r="F24" s="1" t="str">
        <f>IF((Table15[[#This Row],[Mobile 
Web]]="yes"),"yes","no")</f>
        <v>yes</v>
      </c>
      <c r="G24" s="14" t="str">
        <f>IF((Table15[[#This Row],[Mobile 
Web]]="yes"),"","n/a")</f>
        <v/>
      </c>
      <c r="H24" s="14" t="str">
        <f>IF((Table15[[#This Row],[Mobile 
Web]]="yes"),"","n/a")</f>
        <v/>
      </c>
      <c r="I24" s="14" t="str">
        <f>IF((Table15[[#This Row],[Mobile 
Web]]="yes"),"","n/a")</f>
        <v/>
      </c>
    </row>
    <row r="25" spans="1:9" ht="87" hidden="1" x14ac:dyDescent="0.35">
      <c r="A25" s="2" t="str">
        <f>Table15[[#This Row],[ID]]</f>
        <v>4.1.7</v>
      </c>
      <c r="B25" s="1" t="str">
        <f>Table15[[#This Row],[Section]]</f>
        <v>Touch Guides (TG / Routing Guides)</v>
      </c>
      <c r="C25" s="1" t="str">
        <f>Table15[[#This Row],[Sub-Section]]</f>
        <v>General Requirements</v>
      </c>
      <c r="D25" s="16" t="str">
        <f>Table15[[#This Row],[Title]]</f>
        <v>TouchGuide (Routing Guide) items with icons are focused and operable as a single object.</v>
      </c>
      <c r="E25"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5" s="1" t="str">
        <f>IF((Table15[[#This Row],[Mobile 
Web]]="yes"),"yes","no")</f>
        <v>yes</v>
      </c>
      <c r="G25" s="14" t="str">
        <f>IF((Table15[[#This Row],[Mobile 
Web]]="yes"),"","n/a")</f>
        <v/>
      </c>
      <c r="H25" s="14" t="str">
        <f>IF((Table15[[#This Row],[Mobile 
Web]]="yes"),"","n/a")</f>
        <v/>
      </c>
      <c r="I25" s="14" t="str">
        <f>IF((Table15[[#This Row],[Mobile 
Web]]="yes"),"","n/a")</f>
        <v/>
      </c>
    </row>
    <row r="26" spans="1:9" hidden="1" x14ac:dyDescent="0.35">
      <c r="A26" s="2" t="str">
        <f>Table15[[#This Row],[ID]]</f>
        <v>4.2.0</v>
      </c>
      <c r="B26" s="1" t="str">
        <f>Table15[[#This Row],[Section]]</f>
        <v>Backup Modals</v>
      </c>
      <c r="C26" s="1" t="str">
        <f>Table15[[#This Row],[Sub-Section]]</f>
        <v>Modal Taxonomy</v>
      </c>
      <c r="D26" s="16" t="str">
        <f>Table15[[#This Row],[Title]]</f>
        <v>Backup nodes are Strict Modals</v>
      </c>
      <c r="E26" s="16" t="str">
        <f>IF(Table15[[#This Row],[Description]]&lt;&gt;0,Table15[[#This Row],[Description]],"No entry")</f>
        <v>see Modal Taxonomy tab</v>
      </c>
      <c r="F26" s="1" t="str">
        <f>IF((Table15[[#This Row],[Mobile 
Web]]="yes"),"yes","no")</f>
        <v>no</v>
      </c>
      <c r="G26" s="14" t="str">
        <f>IF((Table15[[#This Row],[Mobile 
Web]]="yes"),"","n/a")</f>
        <v>n/a</v>
      </c>
      <c r="H26" s="14" t="str">
        <f>IF((Table15[[#This Row],[Mobile 
Web]]="yes"),"","n/a")</f>
        <v>n/a</v>
      </c>
      <c r="I26" s="14" t="str">
        <f>IF((Table15[[#This Row],[Mobile 
Web]]="yes"),"","n/a")</f>
        <v>n/a</v>
      </c>
    </row>
    <row r="27" spans="1:9" ht="43.5" hidden="1" x14ac:dyDescent="0.35">
      <c r="A27" s="2" t="str">
        <f>Table15[[#This Row],[ID]]</f>
        <v>4.2.1</v>
      </c>
      <c r="B27" s="1" t="str">
        <f>Table15[[#This Row],[Section]]</f>
        <v>Backup Modals</v>
      </c>
      <c r="C27" s="1" t="str">
        <f>Table15[[#This Row],[Sub-Section]]</f>
        <v>General Requirements</v>
      </c>
      <c r="D27" s="16" t="str">
        <f>Table15[[#This Row],[Title]]</f>
        <v>Backup nodes have prompt and default button.</v>
      </c>
      <c r="E27" s="16" t="str">
        <f>IF(Table15[[#This Row],[Description]]&lt;&gt;0,Table15[[#This Row],[Description]],"No entry")</f>
        <v xml:space="preserve">Backup nodes must contain both a prompt and a default call to action button. The default button is focused automatically when backup node is spawned. </v>
      </c>
      <c r="F27" s="1" t="str">
        <f>IF((Table15[[#This Row],[Mobile 
Web]]="yes"),"yes","no")</f>
        <v>yes</v>
      </c>
      <c r="G27" s="14" t="str">
        <f>IF((Table15[[#This Row],[Mobile 
Web]]="yes"),"","n/a")</f>
        <v/>
      </c>
      <c r="H27" s="14" t="str">
        <f>IF((Table15[[#This Row],[Mobile 
Web]]="yes"),"","n/a")</f>
        <v/>
      </c>
      <c r="I27" s="14" t="str">
        <f>IF((Table15[[#This Row],[Mobile 
Web]]="yes"),"","n/a")</f>
        <v/>
      </c>
    </row>
    <row r="28" spans="1:9" ht="43.5" hidden="1" x14ac:dyDescent="0.35">
      <c r="A28" s="2" t="str">
        <f>Table15[[#This Row],[ID]]</f>
        <v>4.2.2</v>
      </c>
      <c r="B28" s="1" t="str">
        <f>Table15[[#This Row],[Section]]</f>
        <v>Backup Modals</v>
      </c>
      <c r="C28" s="1" t="str">
        <f>Table15[[#This Row],[Sub-Section]]</f>
        <v>General Requirements</v>
      </c>
      <c r="D28" s="16" t="str">
        <f>Table15[[#This Row],[Title]]</f>
        <v>In backup nodes, prompt and default button are both verbalized upon node spawning.</v>
      </c>
      <c r="E28" s="16" t="str">
        <f>IF(Table15[[#This Row],[Description]]&lt;&gt;0,Table15[[#This Row],[Description]],"No entry")</f>
        <v>The prompt is spoken before the button. If focus is removed from default button, and then button is refocused, prompt is not repeated.</v>
      </c>
      <c r="F28" s="1" t="str">
        <f>IF((Table15[[#This Row],[Mobile 
Web]]="yes"),"yes","no")</f>
        <v>yes</v>
      </c>
      <c r="G28" s="14" t="str">
        <f>IF((Table15[[#This Row],[Mobile 
Web]]="yes"),"","n/a")</f>
        <v/>
      </c>
      <c r="H28" s="14" t="str">
        <f>IF((Table15[[#This Row],[Mobile 
Web]]="yes"),"","n/a")</f>
        <v/>
      </c>
      <c r="I28" s="14" t="str">
        <f>IF((Table15[[#This Row],[Mobile 
Web]]="yes"),"","n/a")</f>
        <v/>
      </c>
    </row>
    <row r="29" spans="1:9" ht="29" hidden="1" x14ac:dyDescent="0.35">
      <c r="A29" s="2" t="str">
        <f>Table15[[#This Row],[ID]]</f>
        <v>5.0.0</v>
      </c>
      <c r="B29" s="1" t="str">
        <f>Table15[[#This Row],[Section]]</f>
        <v>Surveys and Forms</v>
      </c>
      <c r="C29" s="1" t="str">
        <f>Table15[[#This Row],[Sub-Section]]</f>
        <v>Modal Taxonomy</v>
      </c>
      <c r="D29" s="16" t="str">
        <f>Table15[[#This Row],[Title]]</f>
        <v>Pre-chat and Post-chat surveys are contained in Relaxed Modals</v>
      </c>
      <c r="E29" s="16" t="str">
        <f>IF(Table15[[#This Row],[Description]]&lt;&gt;0,Table15[[#This Row],[Description]],"No entry")</f>
        <v>See Modal Taxonomy tab</v>
      </c>
      <c r="F29" s="1" t="str">
        <f>IF((Table15[[#This Row],[Mobile 
Web]]="yes"),"yes","no")</f>
        <v>no</v>
      </c>
      <c r="G29" s="14" t="str">
        <f>IF((Table15[[#This Row],[Mobile 
Web]]="yes"),"","n/a")</f>
        <v>n/a</v>
      </c>
      <c r="H29" s="14" t="str">
        <f>IF((Table15[[#This Row],[Mobile 
Web]]="yes"),"","n/a")</f>
        <v>n/a</v>
      </c>
      <c r="I29" s="14" t="str">
        <f>IF((Table15[[#This Row],[Mobile 
Web]]="yes"),"","n/a")</f>
        <v>n/a</v>
      </c>
    </row>
    <row r="30" spans="1:9" ht="72.5" hidden="1" x14ac:dyDescent="0.35">
      <c r="A30" s="2" t="str">
        <f>Table15[[#This Row],[ID]]</f>
        <v>5.1.1</v>
      </c>
      <c r="B30" s="1" t="str">
        <f>Table15[[#This Row],[Section]]</f>
        <v>Form Elements</v>
      </c>
      <c r="C30" s="1" t="str">
        <f>Table15[[#This Row],[Sub-Section]]</f>
        <v>General Requirements</v>
      </c>
      <c r="D30" s="16" t="str">
        <f>Table15[[#This Row],[Title]]</f>
        <v>Use drop-downs instead of radio buttons on Desktop Web.</v>
      </c>
      <c r="E30"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 and should be preferrebly implemented.</v>
      </c>
      <c r="F30" s="1" t="str">
        <f>IF((Table15[[#This Row],[Mobile 
Web]]="yes"),"yes","no")</f>
        <v>no</v>
      </c>
      <c r="G30" s="14" t="str">
        <f>IF((Table15[[#This Row],[Mobile 
Web]]="yes"),"","n/a")</f>
        <v>n/a</v>
      </c>
      <c r="H30" s="14" t="str">
        <f>IF((Table15[[#This Row],[Mobile 
Web]]="yes"),"","n/a")</f>
        <v>n/a</v>
      </c>
      <c r="I30" s="14" t="str">
        <f>IF((Table15[[#This Row],[Mobile 
Web]]="yes"),"","n/a")</f>
        <v>n/a</v>
      </c>
    </row>
    <row r="31" spans="1:9" ht="43.5" hidden="1" x14ac:dyDescent="0.35">
      <c r="A31" s="2" t="str">
        <f>Table15[[#This Row],[ID]]</f>
        <v>5.1.2</v>
      </c>
      <c r="B31" s="1" t="str">
        <f>Table15[[#This Row],[Section]]</f>
        <v>Form Elements</v>
      </c>
      <c r="C31" s="1" t="str">
        <f>Table15[[#This Row],[Sub-Section]]</f>
        <v>General Requirements</v>
      </c>
      <c r="D31" s="16" t="str">
        <f>Table15[[#This Row],[Title]]</f>
        <v>On form spawning, move focus to first control specific to topic</v>
      </c>
      <c r="E31" s="16" t="str">
        <f>IF(Table15[[#This Row],[Description]]&lt;&gt;0,Table15[[#This Row],[Description]],"No entry")</f>
        <v>When a form is spawned, move focus to the first topical form control that is specific to the subject or purpose of the form.</v>
      </c>
      <c r="F31" s="1" t="str">
        <f>IF((Table15[[#This Row],[Mobile 
Web]]="yes"),"yes","no")</f>
        <v>yes</v>
      </c>
      <c r="G31" s="14" t="str">
        <f>IF((Table15[[#This Row],[Mobile 
Web]]="yes"),"","n/a")</f>
        <v/>
      </c>
      <c r="H31" s="14" t="str">
        <f>IF((Table15[[#This Row],[Mobile 
Web]]="yes"),"","n/a")</f>
        <v/>
      </c>
      <c r="I31" s="14" t="str">
        <f>IF((Table15[[#This Row],[Mobile 
Web]]="yes"),"","n/a")</f>
        <v/>
      </c>
    </row>
    <row r="32" spans="1:9" ht="87" hidden="1" x14ac:dyDescent="0.35">
      <c r="A32" s="2" t="str">
        <f>Table15[[#This Row],[ID]]</f>
        <v>5.1.3</v>
      </c>
      <c r="B32" s="1" t="str">
        <f>Table15[[#This Row],[Section]]</f>
        <v>Form Elements</v>
      </c>
      <c r="C32" s="1" t="str">
        <f>Table15[[#This Row],[Sub-Section]]</f>
        <v>General Requirements</v>
      </c>
      <c r="D32" s="16" t="str">
        <f>Table15[[#This Row],[Title]]</f>
        <v>Break up extended, bound text into multiple spans.</v>
      </c>
      <c r="E32" s="16" t="str">
        <f>IF(Table15[[#This Row],[Description]]&lt;&gt;0,Table15[[#This Row],[Description]],"No entry")</f>
        <v>When a text element longer than 1024 characters is bound to another element with aria-describedby or aria-labelledby, the text needs to be distributed over two or more elements, so that screen readers read the text completely, lest truncation will occur at the 1024 character mark.</v>
      </c>
      <c r="F32" s="1" t="str">
        <f>IF((Table15[[#This Row],[Mobile 
Web]]="yes"),"yes","no")</f>
        <v>yes</v>
      </c>
      <c r="G32" s="14" t="str">
        <f>IF((Table15[[#This Row],[Mobile 
Web]]="yes"),"","n/a")</f>
        <v/>
      </c>
      <c r="H32" s="14"/>
    </row>
    <row r="33" spans="1:9" ht="72.5" hidden="1" x14ac:dyDescent="0.35">
      <c r="A33" s="2" t="str">
        <f>Table15[[#This Row],[ID]]</f>
        <v>5.2.1</v>
      </c>
      <c r="B33" s="1" t="str">
        <f>Table15[[#This Row],[Section]]</f>
        <v>Form Elements</v>
      </c>
      <c r="C33" s="1" t="str">
        <f>Table15[[#This Row],[Sub-Section]]</f>
        <v>Control in error</v>
      </c>
      <c r="D33" s="16" t="str">
        <f>Table15[[#This Row],[Title]]</f>
        <v>Error messages must be meaningful and specific.</v>
      </c>
      <c r="E33"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3" s="1" t="str">
        <f>IF((Table15[[#This Row],[Mobile 
Web]]="yes"),"yes","no")</f>
        <v>yes</v>
      </c>
      <c r="G33" s="14" t="str">
        <f>IF((Table15[[#This Row],[Mobile 
Web]]="yes"),"","n/a")</f>
        <v/>
      </c>
      <c r="H33" s="14"/>
    </row>
    <row r="34" spans="1:9" ht="43.5" hidden="1" x14ac:dyDescent="0.35">
      <c r="A34" s="2" t="str">
        <f>Table15[[#This Row],[ID]]</f>
        <v>5.2.2</v>
      </c>
      <c r="B34" s="1" t="str">
        <f>Table15[[#This Row],[Section]]</f>
        <v>Form Elements</v>
      </c>
      <c r="C34" s="1" t="str">
        <f>Table15[[#This Row],[Sub-Section]]</f>
        <v>Control in error</v>
      </c>
      <c r="D34" s="16" t="str">
        <f>Table15[[#This Row],[Title]]</f>
        <v>Error messages must be placed inline with the invalid field.</v>
      </c>
      <c r="E34" s="16" t="str">
        <f>IF(Table15[[#This Row],[Description]]&lt;&gt;0,Table15[[#This Row],[Description]],"No entry")</f>
        <v>Error messages are placed visually and programmatically just to the right of or below the invalid field in the underlying code for proper error association.</v>
      </c>
      <c r="F34" s="1" t="str">
        <f>IF((Table15[[#This Row],[Mobile 
Web]]="yes"),"yes","no")</f>
        <v>yes</v>
      </c>
      <c r="G34" s="14" t="str">
        <f>IF((Table15[[#This Row],[Mobile 
Web]]="yes"),"","n/a")</f>
        <v/>
      </c>
      <c r="H34" s="14" t="str">
        <f>IF((Table15[[#This Row],[Mobile 
Web]]="yes"),"","n/a")</f>
        <v/>
      </c>
      <c r="I34" s="14" t="str">
        <f>IF((Table15[[#This Row],[Mobile 
Web]]="yes"),"","n/a")</f>
        <v/>
      </c>
    </row>
    <row r="35" spans="1:9" ht="43.5" hidden="1" x14ac:dyDescent="0.35">
      <c r="A35" s="2" t="str">
        <f>Table15[[#This Row],[ID]]</f>
        <v>5.2.3</v>
      </c>
      <c r="B35" s="1" t="str">
        <f>Table15[[#This Row],[Section]]</f>
        <v>Form Elements</v>
      </c>
      <c r="C35" s="1" t="str">
        <f>Table15[[#This Row],[Sub-Section]]</f>
        <v>Control in error</v>
      </c>
      <c r="D35" s="16" t="str">
        <f>Table15[[#This Row],[Title]]</f>
        <v>On field focus, read error messages automatically after field announcement.</v>
      </c>
      <c r="E35" s="16" t="str">
        <f>IF(Table15[[#This Row],[Description]]&lt;&gt;0,Table15[[#This Row],[Description]],"No entry")</f>
        <v>Once the form control is read, the error associated with a control is read out by the screen reader or other assistive technology.</v>
      </c>
      <c r="F35" s="1" t="str">
        <f>IF((Table15[[#This Row],[Mobile 
Web]]="yes"),"yes","no")</f>
        <v>yes</v>
      </c>
      <c r="G35" s="14" t="str">
        <f>IF((Table15[[#This Row],[Mobile 
Web]]="yes"),"","n/a")</f>
        <v/>
      </c>
      <c r="H35" s="14" t="str">
        <f>IF((Table15[[#This Row],[Mobile 
Web]]="yes"),"","n/a")</f>
        <v/>
      </c>
      <c r="I35" s="14" t="str">
        <f>IF((Table15[[#This Row],[Mobile 
Web]]="yes"),"","n/a")</f>
        <v/>
      </c>
    </row>
    <row r="36" spans="1:9" ht="29" hidden="1" x14ac:dyDescent="0.35">
      <c r="A36" s="2" t="str">
        <f>Table15[[#This Row],[ID]]</f>
        <v>5.2.4</v>
      </c>
      <c r="B36" s="1" t="str">
        <f>Table15[[#This Row],[Section]]</f>
        <v>Form Elements</v>
      </c>
      <c r="C36" s="1" t="str">
        <f>Table15[[#This Row],[Sub-Section]]</f>
        <v>Control in error</v>
      </c>
      <c r="D36" s="16" t="str">
        <f>Table15[[#This Row],[Title]]</f>
        <v>Submitting with errors focuses first field in error</v>
      </c>
      <c r="E36" s="16" t="str">
        <f>IF(Table15[[#This Row],[Description]]&lt;&gt;0,Table15[[#This Row],[Description]],"No entry")</f>
        <v>When a form is submitted with errors, focus is moved to the first control in error, not to the first control in the form.</v>
      </c>
      <c r="F36" s="1" t="str">
        <f>IF((Table15[[#This Row],[Mobile 
Web]]="yes"),"yes","no")</f>
        <v>yes</v>
      </c>
      <c r="G36" s="14" t="str">
        <f>IF((Table15[[#This Row],[Mobile 
Web]]="yes"),"","n/a")</f>
        <v/>
      </c>
      <c r="H36" s="14" t="str">
        <f>IF((Table15[[#This Row],[Mobile 
Web]]="yes"),"","n/a")</f>
        <v/>
      </c>
      <c r="I36" s="14" t="str">
        <f>IF((Table15[[#This Row],[Mobile 
Web]]="yes"),"","n/a")</f>
        <v/>
      </c>
    </row>
    <row r="37" spans="1:9" ht="29" hidden="1" x14ac:dyDescent="0.35">
      <c r="A37" s="2" t="str">
        <f>Table15[[#This Row],[ID]]</f>
        <v>5.2.5</v>
      </c>
      <c r="B37" s="1" t="str">
        <f>Table15[[#This Row],[Section]]</f>
        <v>Form Elements</v>
      </c>
      <c r="C37" s="1" t="str">
        <f>Table15[[#This Row],[Sub-Section]]</f>
        <v>Control in error</v>
      </c>
      <c r="D37" s="16" t="str">
        <f>Table15[[#This Row],[Title]]</f>
        <v>No tab order deletion upon submission with errors</v>
      </c>
      <c r="E37" s="16" t="str">
        <f>IF(Table15[[#This Row],[Description]]&lt;&gt;0,Table15[[#This Row],[Description]],"No entry")</f>
        <v>Do not delete operable elements from the tab order when errors occur.</v>
      </c>
      <c r="F37" s="1" t="str">
        <f>IF((Table15[[#This Row],[Mobile 
Web]]="yes"),"yes","no")</f>
        <v>yes</v>
      </c>
      <c r="G37" s="14" t="str">
        <f>IF((Table15[[#This Row],[Mobile 
Web]]="yes"),"","n/a")</f>
        <v/>
      </c>
      <c r="H37" s="14"/>
    </row>
    <row r="38" spans="1:9" ht="43.5" hidden="1" x14ac:dyDescent="0.35">
      <c r="A38" s="2" t="str">
        <f>Table15[[#This Row],[ID]]</f>
        <v>5.3.1</v>
      </c>
      <c r="B38" s="1" t="str">
        <f>Table15[[#This Row],[Section]]</f>
        <v>Form Elements</v>
      </c>
      <c r="C38" s="1" t="str">
        <f>Table15[[#This Row],[Sub-Section]]</f>
        <v>Required Fields</v>
      </c>
      <c r="D38" s="16" t="str">
        <f>Table15[[#This Row],[Title]]</f>
        <v>Identify required fields visually and programmatically.</v>
      </c>
      <c r="E38" s="16" t="str">
        <f>IF(Table15[[#This Row],[Description]]&lt;&gt;0,Table15[[#This Row],[Description]],"No entry")</f>
        <v xml:space="preserve">Identify required fields programmatically for screen readers and other assistive technology. Typical visual treatment is to provide an asterisk for required fields. </v>
      </c>
      <c r="F38" s="1" t="str">
        <f>IF((Table15[[#This Row],[Mobile 
Web]]="yes"),"yes","no")</f>
        <v>yes</v>
      </c>
      <c r="G38" s="14" t="str">
        <f>IF((Table15[[#This Row],[Mobile 
Web]]="yes"),"","n/a")</f>
        <v/>
      </c>
      <c r="H38" s="14" t="str">
        <f>IF((Table15[[#This Row],[Mobile 
Web]]="yes"),"","n/a")</f>
        <v/>
      </c>
      <c r="I38" s="14" t="str">
        <f>IF((Table15[[#This Row],[Mobile 
Web]]="yes"),"","n/a")</f>
        <v/>
      </c>
    </row>
    <row r="39" spans="1:9" ht="29" hidden="1" x14ac:dyDescent="0.35">
      <c r="A39" s="2" t="str">
        <f>Table15[[#This Row],[ID]]</f>
        <v>5.3.2</v>
      </c>
      <c r="B39" s="1" t="str">
        <f>Table15[[#This Row],[Section]]</f>
        <v>Form Elements</v>
      </c>
      <c r="C39" s="1" t="str">
        <f>Table15[[#This Row],[Sub-Section]]</f>
        <v>Required Fields</v>
      </c>
      <c r="D39" s="16" t="str">
        <f>Table15[[#This Row],[Title]]</f>
        <v>Check-boxes cannot be required controls.</v>
      </c>
      <c r="E39" s="16" t="str">
        <f>IF(Table15[[#This Row],[Description]]&lt;&gt;0,Table15[[#This Row],[Description]],"No entry")</f>
        <v>A check-box cannot be a required control, lest the user is mislead to believe that "checked" is the only allowed state.</v>
      </c>
      <c r="F39" s="1" t="str">
        <f>IF((Table15[[#This Row],[Mobile 
Web]]="yes"),"yes","no")</f>
        <v>yes</v>
      </c>
      <c r="G39" s="14" t="str">
        <f>IF((Table15[[#This Row],[Mobile 
Web]]="yes"),"","n/a")</f>
        <v/>
      </c>
      <c r="H39" s="14" t="str">
        <f>IF((Table15[[#This Row],[Mobile 
Web]]="yes"),"","n/a")</f>
        <v/>
      </c>
      <c r="I39" s="14" t="str">
        <f>IF((Table15[[#This Row],[Mobile 
Web]]="yes"),"","n/a")</f>
        <v/>
      </c>
    </row>
    <row r="40" spans="1:9" ht="29" hidden="1" x14ac:dyDescent="0.35">
      <c r="A40" s="2" t="str">
        <f>Table15[[#This Row],[ID]]</f>
        <v>5.3.3</v>
      </c>
      <c r="B40" s="1" t="str">
        <f>Table15[[#This Row],[Section]]</f>
        <v>Form Elements</v>
      </c>
      <c r="C40" s="1" t="str">
        <f>Table15[[#This Row],[Sub-Section]]</f>
        <v>Required Fields</v>
      </c>
      <c r="D40" s="16" t="str">
        <f>Table15[[#This Row],[Title]]</f>
        <v>Required drop down menus have deafault null option</v>
      </c>
      <c r="E40" s="16" t="str">
        <f>IF(Table15[[#This Row],[Description]]&lt;&gt;0,Table15[[#This Row],[Description]],"No entry")</f>
        <v>If a dropdown menu is a "required" control, the default option must be a null placeholder.</v>
      </c>
      <c r="F40" s="1" t="str">
        <f>IF((Table15[[#This Row],[Mobile 
Web]]="yes"),"yes","no")</f>
        <v>yes</v>
      </c>
      <c r="G40" s="14" t="str">
        <f>IF((Table15[[#This Row],[Mobile 
Web]]="yes"),"","n/a")</f>
        <v/>
      </c>
      <c r="H40" s="14" t="str">
        <f>IF((Table15[[#This Row],[Mobile 
Web]]="yes"),"","n/a")</f>
        <v/>
      </c>
      <c r="I40" s="14" t="str">
        <f>IF((Table15[[#This Row],[Mobile 
Web]]="yes"),"","n/a")</f>
        <v/>
      </c>
    </row>
    <row r="41" spans="1:9" ht="58" hidden="1" x14ac:dyDescent="0.35">
      <c r="A41" s="2" t="str">
        <f>Table15[[#This Row],[ID]]</f>
        <v>5.4.1</v>
      </c>
      <c r="B41" s="1" t="str">
        <f>Table15[[#This Row],[Section]]</f>
        <v>Form Elements</v>
      </c>
      <c r="C41" s="1" t="str">
        <f>Table15[[#This Row],[Sub-Section]]</f>
        <v>Dynamic Survey Logic</v>
      </c>
      <c r="D41" s="16" t="str">
        <f>Table15[[#This Row],[Title]]</f>
        <v>Dynamically generated form elements are automatically added to the tab order.</v>
      </c>
      <c r="E41" s="16" t="str">
        <f>IF(Table15[[#This Row],[Description]]&lt;&gt;0,Table15[[#This Row],[Description]],"No entry")</f>
        <v>The screen reader user must not be required to operate unique, contrived keystrokes to navigate to dynamically generated fields. Conversely, dynamically generated content behaves seemlessly, like any other content.</v>
      </c>
      <c r="F41" s="1" t="str">
        <f>IF((Table15[[#This Row],[Mobile 
Web]]="yes"),"yes","no")</f>
        <v>yes</v>
      </c>
      <c r="G41" s="14" t="str">
        <f>IF((Table15[[#This Row],[Mobile 
Web]]="yes"),"","n/a")</f>
        <v/>
      </c>
      <c r="H41" s="14" t="str">
        <f>IF((Table15[[#This Row],[Mobile 
Web]]="yes"),"","n/a")</f>
        <v/>
      </c>
      <c r="I41" s="14" t="str">
        <f>IF((Table15[[#This Row],[Mobile 
Web]]="yes"),"","n/a")</f>
        <v/>
      </c>
    </row>
    <row r="42" spans="1:9" ht="29" hidden="1" x14ac:dyDescent="0.35">
      <c r="A42" s="2" t="str">
        <f>Table15[[#This Row],[ID]]</f>
        <v>6.0.0</v>
      </c>
      <c r="B42" s="1" t="str">
        <f>Table15[[#This Row],[Section]]</f>
        <v>Chat Panels</v>
      </c>
      <c r="C42" s="1" t="str">
        <f>Table15[[#This Row],[Sub-Section]]</f>
        <v>Modal Taxonomy</v>
      </c>
      <c r="D42" s="16" t="str">
        <f>Table15[[#This Row],[Title]]</f>
        <v>The in-div chat panel is a relaxed modal</v>
      </c>
      <c r="E42" s="16" t="str">
        <f>IF(Table15[[#This Row],[Description]]&lt;&gt;0,Table15[[#This Row],[Description]],"No entry")</f>
        <v>See Modal Taxonomy tab</v>
      </c>
      <c r="F42" s="1" t="str">
        <f>IF((Table15[[#This Row],[Mobile 
Web]]="yes"),"yes","no")</f>
        <v>no</v>
      </c>
      <c r="G42" s="14" t="str">
        <f>IF((Table15[[#This Row],[Mobile 
Web]]="yes"),"","n/a")</f>
        <v>n/a</v>
      </c>
      <c r="H42" s="14" t="str">
        <f>IF((Table15[[#This Row],[Mobile 
Web]]="yes"),"","n/a")</f>
        <v>n/a</v>
      </c>
      <c r="I42" s="14" t="str">
        <f>IF((Table15[[#This Row],[Mobile 
Web]]="yes"),"","n/a")</f>
        <v>n/a</v>
      </c>
    </row>
    <row r="43" spans="1:9" ht="29" hidden="1" x14ac:dyDescent="0.35">
      <c r="A43" s="2" t="str">
        <f>Table15[[#This Row],[ID]]</f>
        <v>6.1.1</v>
      </c>
      <c r="B43" s="1" t="str">
        <f>Table15[[#This Row],[Section]]</f>
        <v>Chat Panels</v>
      </c>
      <c r="C43" s="1" t="str">
        <f>Table15[[#This Row],[Sub-Section]]</f>
        <v>General Requirements</v>
      </c>
      <c r="D43" s="16" t="str">
        <f>Table15[[#This Row],[Title]]</f>
        <v>Chat is dismissable via escape key.</v>
      </c>
      <c r="E43" s="16" t="str">
        <f>IF(Table15[[#This Row],[Description]]&lt;&gt;0,Table15[[#This Row],[Description]],"No entry")</f>
        <v>For desktop, chat panel and child windows are dismissable via escape key in the in-page modal window.</v>
      </c>
      <c r="F43" s="1" t="str">
        <f>IF((Table15[[#This Row],[Mobile 
Web]]="yes"),"yes","no")</f>
        <v>no</v>
      </c>
      <c r="G43" s="14" t="str">
        <f>IF((Table15[[#This Row],[Mobile 
Web]]="yes"),"","n/a")</f>
        <v>n/a</v>
      </c>
      <c r="H43" s="14" t="str">
        <f>IF((Table15[[#This Row],[Mobile 
Web]]="yes"),"","n/a")</f>
        <v>n/a</v>
      </c>
      <c r="I43" s="14" t="str">
        <f>IF((Table15[[#This Row],[Mobile 
Web]]="yes"),"","n/a")</f>
        <v>n/a</v>
      </c>
    </row>
    <row r="44" spans="1:9" ht="29" hidden="1" x14ac:dyDescent="0.35">
      <c r="A44" s="2" t="str">
        <f>Table15[[#This Row],[ID]]</f>
        <v>6.1.2</v>
      </c>
      <c r="B44" s="1" t="str">
        <f>Table15[[#This Row],[Section]]</f>
        <v>Chat Panels</v>
      </c>
      <c r="C44" s="1" t="str">
        <f>Table15[[#This Row],[Sub-Section]]</f>
        <v>General Requirements</v>
      </c>
      <c r="D44" s="16" t="str">
        <f>Table15[[#This Row],[Title]]</f>
        <v>Minimized chat panel cannot be dismissed with the escape key.</v>
      </c>
      <c r="E44" s="16" t="str">
        <f>IF(Table15[[#This Row],[Description]]&lt;&gt;0,Table15[[#This Row],[Description]],"No entry")</f>
        <v>When chat is in a minimized state, operating the escape key has no effect.</v>
      </c>
      <c r="F44" s="1" t="str">
        <f>IF((Table15[[#This Row],[Mobile 
Web]]="yes"),"yes","no")</f>
        <v>no</v>
      </c>
      <c r="G44" s="14" t="str">
        <f>IF((Table15[[#This Row],[Mobile 
Web]]="yes"),"","n/a")</f>
        <v>n/a</v>
      </c>
      <c r="H44" s="14" t="str">
        <f>IF((Table15[[#This Row],[Mobile 
Web]]="yes"),"","n/a")</f>
        <v>n/a</v>
      </c>
      <c r="I44" s="14" t="str">
        <f>IF((Table15[[#This Row],[Mobile 
Web]]="yes"),"","n/a")</f>
        <v>n/a</v>
      </c>
    </row>
    <row r="45" spans="1:9" ht="29" hidden="1" x14ac:dyDescent="0.35">
      <c r="A45" s="2" t="str">
        <f>Table15[[#This Row],[ID]]</f>
        <v>6.10.0</v>
      </c>
      <c r="B45" s="1" t="str">
        <f>Table15[[#This Row],[Section]]</f>
        <v>Chat Panels</v>
      </c>
      <c r="C45" s="1" t="str">
        <f>Table15[[#This Row],[Sub-Section]]</f>
        <v>Email Transcript</v>
      </c>
      <c r="D45" s="16" t="str">
        <f>Table15[[#This Row],[Title]]</f>
        <v>Modal Taxonomy - Email transcript is a Strict Modal</v>
      </c>
      <c r="E45" s="16" t="str">
        <f>IF(Table15[[#This Row],[Description]]&lt;&gt;0,Table15[[#This Row],[Description]],"No entry")</f>
        <v>See Modal Taxonomy tab</v>
      </c>
      <c r="F45" s="1" t="str">
        <f>IF((Table15[[#This Row],[Mobile 
Web]]="yes"),"yes","no")</f>
        <v>no</v>
      </c>
      <c r="G45" s="14" t="str">
        <f>IF((Table15[[#This Row],[Mobile 
Web]]="yes"),"","n/a")</f>
        <v>n/a</v>
      </c>
      <c r="H45" s="14" t="str">
        <f>IF((Table15[[#This Row],[Mobile 
Web]]="yes"),"","n/a")</f>
        <v>n/a</v>
      </c>
      <c r="I45" s="14" t="str">
        <f>IF((Table15[[#This Row],[Mobile 
Web]]="yes"),"","n/a")</f>
        <v>n/a</v>
      </c>
    </row>
    <row r="46" spans="1:9" ht="72.5" hidden="1" x14ac:dyDescent="0.35">
      <c r="A46" s="2" t="str">
        <f>Table15[[#This Row],[ID]]</f>
        <v>6.10.1</v>
      </c>
      <c r="B46" s="1" t="str">
        <f>Table15[[#This Row],[Section]]</f>
        <v>Chat Panels</v>
      </c>
      <c r="C46" s="1" t="str">
        <f>Table15[[#This Row],[Sub-Section]]</f>
        <v>Email Transcript</v>
      </c>
      <c r="D46" s="16" t="str">
        <f>Table15[[#This Row],[Title]]</f>
        <v>Upon modal activation, Focus moves to email transcript text entry field automatically</v>
      </c>
      <c r="E46" s="16" t="str">
        <f>IF(Table15[[#This Row],[Description]]&lt;&gt;0,Table15[[#This Row],[Description]],"No entry")</f>
        <v>When the “email transcript” button is operated, the request panel is opened as a stacked strict modal on top of the chat panel: focus is moved to the text input field, and the dialogue prompt is read automatically by the screen reader.</v>
      </c>
      <c r="F46" s="1" t="str">
        <f>IF((Table15[[#This Row],[Mobile 
Web]]="yes"),"yes","no")</f>
        <v>yes</v>
      </c>
      <c r="G46" s="14" t="str">
        <f>IF((Table15[[#This Row],[Mobile 
Web]]="yes"),"","n/a")</f>
        <v/>
      </c>
      <c r="H46" s="14" t="str">
        <f>IF((Table15[[#This Row],[Mobile 
Web]]="yes"),"","n/a")</f>
        <v/>
      </c>
      <c r="I46" s="14" t="str">
        <f>IF((Table15[[#This Row],[Mobile 
Web]]="yes"),"","n/a")</f>
        <v/>
      </c>
    </row>
    <row r="47" spans="1:9" ht="72.5" hidden="1" x14ac:dyDescent="0.35">
      <c r="A47" s="2" t="str">
        <f>Table15[[#This Row],[ID]]</f>
        <v>6.10.2</v>
      </c>
      <c r="B47" s="1" t="str">
        <f>Table15[[#This Row],[Section]]</f>
        <v>Chat Panels</v>
      </c>
      <c r="C47" s="1" t="str">
        <f>Table15[[#This Row],[Sub-Section]]</f>
        <v>Email Transcript</v>
      </c>
      <c r="D47" s="16" t="str">
        <f>Table15[[#This Row],[Title]]</f>
        <v xml:space="preserve">Email transcript modal is self-contained </v>
      </c>
      <c r="E47" s="16" t="str">
        <f>IF(Table15[[#This Row],[Description]]&lt;&gt;0,Table15[[#This Row],[Description]],"No entry")</f>
        <v>The email transcript modal is a strict modal: it enforces modal boundaries: up/down arrows do not exceed modal boundaries, and tab and shift-tab navigation results in circular navigation inside modal (desktop only). On mobile circular navigation is not required.</v>
      </c>
      <c r="F47" s="1" t="str">
        <f>IF((Table15[[#This Row],[Mobile 
Web]]="yes"),"yes","no")</f>
        <v>no</v>
      </c>
      <c r="G47" s="14" t="str">
        <f>IF((Table15[[#This Row],[Mobile 
Web]]="yes"),"","n/a")</f>
        <v>n/a</v>
      </c>
      <c r="H47" s="14" t="str">
        <f>IF((Table15[[#This Row],[Mobile 
Web]]="yes"),"","n/a")</f>
        <v>n/a</v>
      </c>
      <c r="I47" s="14" t="str">
        <f>IF((Table15[[#This Row],[Mobile 
Web]]="yes"),"","n/a")</f>
        <v>n/a</v>
      </c>
    </row>
    <row r="48" spans="1:9" ht="43.5" hidden="1" x14ac:dyDescent="0.35">
      <c r="A48" s="2" t="str">
        <f>Table15[[#This Row],[ID]]</f>
        <v>6.10.3</v>
      </c>
      <c r="B48" s="1" t="str">
        <f>Table15[[#This Row],[Section]]</f>
        <v>Chat Panels</v>
      </c>
      <c r="C48" s="1" t="str">
        <f>Table15[[#This Row],[Sub-Section]]</f>
        <v>Email Transcript</v>
      </c>
      <c r="D48" s="16" t="str">
        <f>Table15[[#This Row],[Title]]</f>
        <v>Email transcript can be dismissed with escape key, or with "Close" button.</v>
      </c>
      <c r="E48" s="16" t="str">
        <f>IF(Table15[[#This Row],[Description]]&lt;&gt;0,Table15[[#This Row],[Description]],"No entry")</f>
        <v>Note that "escape" key is applicable to desktop only</v>
      </c>
      <c r="F48" s="1" t="str">
        <f>IF((Table15[[#This Row],[Mobile 
Web]]="yes"),"yes","no")</f>
        <v>no</v>
      </c>
      <c r="G48" s="14" t="str">
        <f>IF((Table15[[#This Row],[Mobile 
Web]]="yes"),"","n/a")</f>
        <v>n/a</v>
      </c>
      <c r="H48" s="14" t="str">
        <f>IF((Table15[[#This Row],[Mobile 
Web]]="yes"),"","n/a")</f>
        <v>n/a</v>
      </c>
      <c r="I48" s="14" t="str">
        <f>IF((Table15[[#This Row],[Mobile 
Web]]="yes"),"","n/a")</f>
        <v>n/a</v>
      </c>
    </row>
    <row r="49" spans="1:9" ht="58" hidden="1" x14ac:dyDescent="0.35">
      <c r="A49" s="2" t="str">
        <f>Table15[[#This Row],[ID]]</f>
        <v>6.10.4</v>
      </c>
      <c r="B49" s="1" t="str">
        <f>Table15[[#This Row],[Section]]</f>
        <v>Chat Panels</v>
      </c>
      <c r="C49" s="1" t="str">
        <f>Table15[[#This Row],[Sub-Section]]</f>
        <v>Email Transcript</v>
      </c>
      <c r="D49" s="16" t="str">
        <f>Table15[[#This Row],[Title]]</f>
        <v>Dismissing email transcript modal does not close chat</v>
      </c>
      <c r="E49" s="16" t="str">
        <f>IF(Table15[[#This Row],[Description]]&lt;&gt;0,Table15[[#This Row],[Description]],"No entry")</f>
        <v>When the email transcript modal is dismissed, only the modal itself is dismissed, but the main chat panel persists. In other words, modal dismissal occurs stack-wise, only one level at a time.</v>
      </c>
      <c r="F49" s="1" t="str">
        <f>IF((Table15[[#This Row],[Mobile 
Web]]="yes"),"yes","no")</f>
        <v>no</v>
      </c>
      <c r="G49" s="14" t="str">
        <f>IF((Table15[[#This Row],[Mobile 
Web]]="yes"),"","n/a")</f>
        <v>n/a</v>
      </c>
      <c r="H49" s="14" t="str">
        <f>IF((Table15[[#This Row],[Mobile 
Web]]="yes"),"","n/a")</f>
        <v>n/a</v>
      </c>
      <c r="I49" s="14" t="str">
        <f>IF((Table15[[#This Row],[Mobile 
Web]]="yes"),"","n/a")</f>
        <v>n/a</v>
      </c>
    </row>
    <row r="50" spans="1:9" ht="43.5" hidden="1" x14ac:dyDescent="0.35">
      <c r="A50" s="2" t="str">
        <f>Table15[[#This Row],[ID]]</f>
        <v>6.10.5</v>
      </c>
      <c r="B50" s="1" t="str">
        <f>Table15[[#This Row],[Section]]</f>
        <v>Chat Panels</v>
      </c>
      <c r="C50" s="1" t="str">
        <f>Table15[[#This Row],[Sub-Section]]</f>
        <v>Email Transcript</v>
      </c>
      <c r="D50" s="16" t="str">
        <f>Table15[[#This Row],[Title]]</f>
        <v>Any error or success messages are visible and spoken automatically.</v>
      </c>
      <c r="E50" s="16" t="str">
        <f>IF(Table15[[#This Row],[Description]]&lt;&gt;0,Table15[[#This Row],[Description]],"No entry")</f>
        <v xml:space="preserve">Upon sending a transcript request, the resulting success or error message is displayed in a div within the transcript modal. </v>
      </c>
      <c r="F50" s="1" t="str">
        <f>IF((Table15[[#This Row],[Mobile 
Web]]="yes"),"yes","no")</f>
        <v>yes</v>
      </c>
      <c r="G50" s="14" t="str">
        <f>IF((Table15[[#This Row],[Mobile 
Web]]="yes"),"","n/a")</f>
        <v/>
      </c>
      <c r="H50" s="14" t="str">
        <f>IF((Table15[[#This Row],[Mobile 
Web]]="yes"),"","n/a")</f>
        <v/>
      </c>
      <c r="I50" s="14" t="str">
        <f>IF((Table15[[#This Row],[Mobile 
Web]]="yes"),"","n/a")</f>
        <v/>
      </c>
    </row>
    <row r="51" spans="1:9" ht="58" hidden="1" x14ac:dyDescent="0.35">
      <c r="A51" s="2" t="str">
        <f>Table15[[#This Row],[ID]]</f>
        <v>6.10.6</v>
      </c>
      <c r="B51" s="1" t="str">
        <f>Table15[[#This Row],[Section]]</f>
        <v>Chat Panels</v>
      </c>
      <c r="C51" s="1" t="str">
        <f>Table15[[#This Row],[Sub-Section]]</f>
        <v>Email Transcript</v>
      </c>
      <c r="D51" s="16" t="str">
        <f>Table15[[#This Row],[Title]]</f>
        <v>Upon successful transcript request, closing email transcript modal returns focus to chat text input field.</v>
      </c>
      <c r="E51" s="16" t="str">
        <f>IF(Table15[[#This Row],[Description]]&lt;&gt;0,Table15[[#This Row],[Description]],"No entry")</f>
        <v>When the email transcript modal is closed, after having received success confirmation, keyboard focus returns to the main text entry field of the chat.</v>
      </c>
      <c r="F51" s="1" t="str">
        <f>IF((Table15[[#This Row],[Mobile 
Web]]="yes"),"yes","no")</f>
        <v>yes</v>
      </c>
      <c r="G51" s="14" t="str">
        <f>IF((Table15[[#This Row],[Mobile 
Web]]="yes"),"","n/a")</f>
        <v/>
      </c>
      <c r="H51" s="14" t="str">
        <f>IF((Table15[[#This Row],[Mobile 
Web]]="yes"),"","n/a")</f>
        <v/>
      </c>
      <c r="I51" s="14" t="str">
        <f>IF((Table15[[#This Row],[Mobile 
Web]]="yes"),"","n/a")</f>
        <v/>
      </c>
    </row>
    <row r="52" spans="1:9" ht="58" hidden="1" x14ac:dyDescent="0.35">
      <c r="A52" s="2" t="str">
        <f>Table15[[#This Row],[ID]]</f>
        <v>6.10.7</v>
      </c>
      <c r="B52" s="1" t="str">
        <f>Table15[[#This Row],[Section]]</f>
        <v>Chat Panels</v>
      </c>
      <c r="C52" s="1" t="str">
        <f>Table15[[#This Row],[Sub-Section]]</f>
        <v>Email Transcript</v>
      </c>
      <c r="D52" s="16" t="str">
        <f>Table15[[#This Row],[Title]]</f>
        <v>Upon failed transcript request, closing email transcript modal returns focus to the "Email Transcript" invocation button.</v>
      </c>
      <c r="E52" s="16" t="str">
        <f>IF(Table15[[#This Row],[Description]]&lt;&gt;0,Table15[[#This Row],[Description]],"No entry")</f>
        <v>When the email transcript modal is closed, after having received a request failure error message, keyboard focus returns to the "Email transcript" invocation button.</v>
      </c>
      <c r="F52" s="1" t="str">
        <f>IF((Table15[[#This Row],[Mobile 
Web]]="yes"),"yes","no")</f>
        <v>yes</v>
      </c>
      <c r="G52" s="14" t="str">
        <f>IF((Table15[[#This Row],[Mobile 
Web]]="yes"),"","n/a")</f>
        <v/>
      </c>
      <c r="H52" s="14" t="str">
        <f>IF((Table15[[#This Row],[Mobile 
Web]]="yes"),"","n/a")</f>
        <v/>
      </c>
      <c r="I52" s="14" t="str">
        <f>IF((Table15[[#This Row],[Mobile 
Web]]="yes"),"","n/a")</f>
        <v/>
      </c>
    </row>
    <row r="53" spans="1:9" ht="58" hidden="1" x14ac:dyDescent="0.35">
      <c r="A53" s="2" t="str">
        <f>Table15[[#This Row],[ID]]</f>
        <v>6.10.8</v>
      </c>
      <c r="B53" s="1" t="str">
        <f>Table15[[#This Row],[Section]]</f>
        <v>Chat Panels</v>
      </c>
      <c r="C53" s="1" t="str">
        <f>Table15[[#This Row],[Sub-Section]]</f>
        <v>Email Transcript</v>
      </c>
      <c r="D53" s="16" t="str">
        <f>Table15[[#This Row],[Title]]</f>
        <v>Closing email transcript modal, without completing the request, returns focus to the "Email Transcript" invocation button.</v>
      </c>
      <c r="E53" s="16" t="str">
        <f>IF(Table15[[#This Row],[Description]]&lt;&gt;0,Table15[[#This Row],[Description]],"No entry")</f>
        <v>When the email transcript modal is closed, before a request is sent, keyboard focus returns to the "Email transcript" invocation button.</v>
      </c>
      <c r="F53" s="1" t="str">
        <f>IF((Table15[[#This Row],[Mobile 
Web]]="yes"),"yes","no")</f>
        <v>yes</v>
      </c>
      <c r="G53" s="14" t="str">
        <f>IF((Table15[[#This Row],[Mobile 
Web]]="yes"),"","n/a")</f>
        <v/>
      </c>
      <c r="H53" s="14" t="str">
        <f>IF((Table15[[#This Row],[Mobile 
Web]]="yes"),"","n/a")</f>
        <v/>
      </c>
      <c r="I53" s="14" t="str">
        <f>IF((Table15[[#This Row],[Mobile 
Web]]="yes"),"","n/a")</f>
        <v/>
      </c>
    </row>
    <row r="54" spans="1:9" ht="58" hidden="1" x14ac:dyDescent="0.35">
      <c r="A54" s="2" t="str">
        <f>Table15[[#This Row],[ID]]</f>
        <v>6.11.1</v>
      </c>
      <c r="B54" s="1" t="str">
        <f>Table15[[#This Row],[Section]]</f>
        <v>Chat Panels</v>
      </c>
      <c r="C54" s="1" t="str">
        <f>Table15[[#This Row],[Sub-Section]]</f>
        <v>Tab Order</v>
      </c>
      <c r="D54" s="16" t="str">
        <f>Table15[[#This Row],[Title]]</f>
        <v>Only operational elements are in the tab order</v>
      </c>
      <c r="E54"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54" s="1" t="str">
        <f>IF((Table15[[#This Row],[Mobile 
Web]]="yes"),"yes","no")</f>
        <v>no</v>
      </c>
      <c r="G54" s="14" t="str">
        <f>IF((Table15[[#This Row],[Mobile 
Web]]="yes"),"","n/a")</f>
        <v>n/a</v>
      </c>
      <c r="H54" s="14" t="str">
        <f>IF((Table15[[#This Row],[Mobile 
Web]]="yes"),"","n/a")</f>
        <v>n/a</v>
      </c>
      <c r="I54" s="14" t="str">
        <f>IF((Table15[[#This Row],[Mobile 
Web]]="yes"),"","n/a")</f>
        <v>n/a</v>
      </c>
    </row>
    <row r="55" spans="1:9" ht="72.5" hidden="1" x14ac:dyDescent="0.35">
      <c r="A55" s="2" t="str">
        <f>Table15[[#This Row],[ID]]</f>
        <v>6.11.2</v>
      </c>
      <c r="B55" s="1" t="str">
        <f>Table15[[#This Row],[Section]]</f>
        <v>Chat Panels</v>
      </c>
      <c r="C55" s="1" t="str">
        <f>Table15[[#This Row],[Sub-Section]]</f>
        <v>Tab Order</v>
      </c>
      <c r="D55" s="16" t="str">
        <f>Table15[[#This Row],[Title]]</f>
        <v>Avoid use of tabindex.</v>
      </c>
      <c r="E55"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55" s="1" t="str">
        <f>IF((Table15[[#This Row],[Mobile 
Web]]="yes"),"yes","no")</f>
        <v>yes</v>
      </c>
      <c r="G55" s="14" t="str">
        <f>IF((Table15[[#This Row],[Mobile 
Web]]="yes"),"","n/a")</f>
        <v/>
      </c>
      <c r="H55" s="14" t="str">
        <f>IF((Table15[[#This Row],[Mobile 
Web]]="yes"),"","n/a")</f>
        <v/>
      </c>
      <c r="I55" s="14" t="str">
        <f>IF((Table15[[#This Row],[Mobile 
Web]]="yes"),"","n/a")</f>
        <v/>
      </c>
    </row>
    <row r="56" spans="1:9" ht="29" hidden="1" x14ac:dyDescent="0.35">
      <c r="A56" s="2" t="str">
        <f>Table15[[#This Row],[ID]]</f>
        <v>6.12.0</v>
      </c>
      <c r="B56" s="1" t="str">
        <f>Table15[[#This Row],[Section]]</f>
        <v>Chat Panels</v>
      </c>
      <c r="C56" s="1" t="str">
        <f>Table15[[#This Row],[Sub-Section]]</f>
        <v>Sales Banners</v>
      </c>
      <c r="D56" s="16" t="str">
        <f>Table15[[#This Row],[Title]]</f>
        <v>Modal Taxonomy - Sales Banners are Strict Modals</v>
      </c>
      <c r="E56" s="16" t="str">
        <f>IF(Table15[[#This Row],[Description]]&lt;&gt;0,Table15[[#This Row],[Description]],"No entry")</f>
        <v>See Modal Taxonomy tab</v>
      </c>
      <c r="F56" s="1" t="str">
        <f>IF((Table15[[#This Row],[Mobile 
Web]]="yes"),"yes","no")</f>
        <v>no</v>
      </c>
      <c r="G56" s="14" t="str">
        <f>IF((Table15[[#This Row],[Mobile 
Web]]="yes"),"","n/a")</f>
        <v>n/a</v>
      </c>
      <c r="H56" s="14" t="str">
        <f>IF((Table15[[#This Row],[Mobile 
Web]]="yes"),"","n/a")</f>
        <v>n/a</v>
      </c>
      <c r="I56" s="14" t="str">
        <f>IF((Table15[[#This Row],[Mobile 
Web]]="yes"),"","n/a")</f>
        <v>n/a</v>
      </c>
    </row>
    <row r="57" spans="1:9" ht="29" hidden="1" x14ac:dyDescent="0.35">
      <c r="A57" s="2" t="str">
        <f>Table15[[#This Row],[ID]]</f>
        <v>6.12.1</v>
      </c>
      <c r="B57" s="1" t="str">
        <f>Table15[[#This Row],[Section]]</f>
        <v>Chat Panels</v>
      </c>
      <c r="C57" s="1" t="str">
        <f>Table15[[#This Row],[Sub-Section]]</f>
        <v>Sales Banners</v>
      </c>
      <c r="D57" s="16" t="str">
        <f>Table15[[#This Row],[Title]]</f>
        <v>Avoid images of text</v>
      </c>
      <c r="E57" s="16" t="str">
        <f>IF(Table15[[#This Row],[Description]]&lt;&gt;0,Table15[[#This Row],[Description]],"No entry")</f>
        <v>Any text displayed in chat must be live text so that it can be appropriately scaled and managed by the user.</v>
      </c>
      <c r="F57" s="1" t="str">
        <f>IF((Table15[[#This Row],[Mobile 
Web]]="yes"),"yes","no")</f>
        <v>no</v>
      </c>
      <c r="G57" s="14" t="str">
        <f>IF((Table15[[#This Row],[Mobile 
Web]]="yes"),"","n/a")</f>
        <v>n/a</v>
      </c>
      <c r="H57" s="14" t="str">
        <f>IF((Table15[[#This Row],[Mobile 
Web]]="yes"),"","n/a")</f>
        <v>n/a</v>
      </c>
      <c r="I57" s="14" t="str">
        <f>IF((Table15[[#This Row],[Mobile 
Web]]="yes"),"","n/a")</f>
        <v>n/a</v>
      </c>
    </row>
    <row r="58" spans="1:9" ht="29" hidden="1" x14ac:dyDescent="0.35">
      <c r="A58" s="2" t="str">
        <f>Table15[[#This Row],[ID]]</f>
        <v>6.12.2</v>
      </c>
      <c r="B58" s="1" t="str">
        <f>Table15[[#This Row],[Section]]</f>
        <v>Chat Panels</v>
      </c>
      <c r="C58" s="1" t="str">
        <f>Table15[[#This Row],[Sub-Section]]</f>
        <v>Sales Banners</v>
      </c>
      <c r="D58" s="16" t="str">
        <f>Table15[[#This Row],[Title]]</f>
        <v>Upon spawning a sales banner, focus moves to default button.</v>
      </c>
      <c r="E58" s="18" t="str">
        <f>IF(Table15[[#This Row],[Description]]&lt;&gt;0,Table15[[#This Row],[Description]],"No entry")</f>
        <v>When the sales banner opens, focus is placed on the default button or equivalent default operational element.</v>
      </c>
      <c r="F58" s="1" t="str">
        <f>IF((Table15[[#This Row],[Mobile 
Web]]="yes"),"yes","no")</f>
        <v>yes</v>
      </c>
      <c r="G58" s="14" t="str">
        <f>IF((Table15[[#This Row],[Mobile 
Web]]="yes"),"","n/a")</f>
        <v/>
      </c>
      <c r="H58" s="14"/>
    </row>
    <row r="59" spans="1:9" ht="72.5" hidden="1" x14ac:dyDescent="0.35">
      <c r="A59" s="2" t="str">
        <f>Table15[[#This Row],[ID]]</f>
        <v>6.12.3</v>
      </c>
      <c r="B59" s="1" t="str">
        <f>Table15[[#This Row],[Section]]</f>
        <v>Chat Panels</v>
      </c>
      <c r="C59" s="1" t="str">
        <f>Table15[[#This Row],[Sub-Section]]</f>
        <v>Sales Banners</v>
      </c>
      <c r="D59" s="16" t="str">
        <f>Table15[[#This Row],[Title]]</f>
        <v>Upon spawning a sales banner, screen readers announce banner message and default button automatically.</v>
      </c>
      <c r="E59"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9" s="1" t="str">
        <f>IF((Table15[[#This Row],[Mobile 
Web]]="yes"),"yes","no")</f>
        <v>yes</v>
      </c>
      <c r="G59" s="14" t="str">
        <f>IF((Table15[[#This Row],[Mobile 
Web]]="yes"),"","n/a")</f>
        <v/>
      </c>
      <c r="H59" s="14" t="str">
        <f>IF((Table15[[#This Row],[Mobile 
Web]]="yes"),"","n/a")</f>
        <v/>
      </c>
      <c r="I59" s="14" t="str">
        <f>IF((Table15[[#This Row],[Mobile 
Web]]="yes"),"","n/a")</f>
        <v/>
      </c>
    </row>
    <row r="60" spans="1:9" ht="58" hidden="1" x14ac:dyDescent="0.35">
      <c r="A60" s="2" t="str">
        <f>Table15[[#This Row],[ID]]</f>
        <v>6.12.4</v>
      </c>
      <c r="B60" s="1" t="str">
        <f>Table15[[#This Row],[Section]]</f>
        <v>Chat Panels</v>
      </c>
      <c r="C60" s="1" t="str">
        <f>Table15[[#This Row],[Sub-Section]]</f>
        <v>Sales Banners</v>
      </c>
      <c r="D60" s="16" t="str">
        <f>Table15[[#This Row],[Title]]</f>
        <v>When offer details are displayed after operating a call to action button, screen readers announce them automatically.</v>
      </c>
      <c r="E60" s="16" t="str">
        <f>IF(Table15[[#This Row],[Description]]&lt;&gt;0,Table15[[#This Row],[Description]],"No entry")</f>
        <v>If the user requests more details within a banner, the resulting details are announced by assistive technology such as screen readers. See semantic binding requirement for main banner panel.</v>
      </c>
      <c r="F60" s="1" t="str">
        <f>IF((Table15[[#This Row],[Mobile 
Web]]="yes"),"yes","no")</f>
        <v>yes</v>
      </c>
      <c r="G60" s="14" t="str">
        <f>IF((Table15[[#This Row],[Mobile 
Web]]="yes"),"","n/a")</f>
        <v/>
      </c>
      <c r="H60" s="14" t="str">
        <f>IF((Table15[[#This Row],[Mobile 
Web]]="yes"),"","n/a")</f>
        <v/>
      </c>
      <c r="I60" s="14" t="str">
        <f>IF((Table15[[#This Row],[Mobile 
Web]]="yes"),"","n/a")</f>
        <v/>
      </c>
    </row>
    <row r="61" spans="1:9" ht="43.5" hidden="1" x14ac:dyDescent="0.35">
      <c r="A61" s="2" t="str">
        <f>Table15[[#This Row],[ID]]</f>
        <v>6.12.5</v>
      </c>
      <c r="B61" s="1" t="str">
        <f>Table15[[#This Row],[Section]]</f>
        <v>Chat Panels</v>
      </c>
      <c r="C61" s="1" t="str">
        <f>Table15[[#This Row],[Sub-Section]]</f>
        <v>Sales Banners</v>
      </c>
      <c r="D61" s="16" t="str">
        <f>Table15[[#This Row],[Title]]</f>
        <v>When sales banner is closed, move focus to chat text entry field.</v>
      </c>
      <c r="E61" s="16" t="str">
        <f>IF(Table15[[#This Row],[Description]]&lt;&gt;0,Table15[[#This Row],[Description]],"No entry")</f>
        <v>Modal dismissal button dismisses banner and moves focus to chat text entry field.</v>
      </c>
      <c r="F61" s="1" t="str">
        <f>IF((Table15[[#This Row],[Mobile 
Web]]="yes"),"yes","no")</f>
        <v>yes</v>
      </c>
      <c r="G61" s="14" t="str">
        <f>IF((Table15[[#This Row],[Mobile 
Web]]="yes"),"","n/a")</f>
        <v/>
      </c>
      <c r="H61" s="14" t="str">
        <f>IF((Table15[[#This Row],[Mobile 
Web]]="yes"),"","n/a")</f>
        <v/>
      </c>
      <c r="I61" s="14" t="str">
        <f>IF((Table15[[#This Row],[Mobile 
Web]]="yes"),"","n/a")</f>
        <v/>
      </c>
    </row>
    <row r="62" spans="1:9" ht="29" hidden="1" x14ac:dyDescent="0.35">
      <c r="A62" s="2" t="str">
        <f>Table15[[#This Row],[ID]]</f>
        <v>6.13.1</v>
      </c>
      <c r="B62" s="1" t="str">
        <f>Table15[[#This Row],[Section]]</f>
        <v>Chat Panels</v>
      </c>
      <c r="C62" s="1" t="str">
        <f>Table15[[#This Row],[Sub-Section]]</f>
        <v>Title</v>
      </c>
      <c r="D62" s="16" t="str">
        <f>Table15[[#This Row],[Title]]</f>
        <v>Chat panel title is enclosed in header tag.</v>
      </c>
      <c r="E62" s="16" t="str">
        <f>IF(Table15[[#This Row],[Description]]&lt;&gt;0,Table15[[#This Row],[Description]],"No entry")</f>
        <v>No entry</v>
      </c>
      <c r="F62" s="1" t="str">
        <f>IF((Table15[[#This Row],[Mobile 
Web]]="yes"),"yes","no")</f>
        <v>yes</v>
      </c>
      <c r="G62" s="14" t="str">
        <f>IF((Table15[[#This Row],[Mobile 
Web]]="yes"),"","n/a")</f>
        <v/>
      </c>
      <c r="H62" s="14" t="str">
        <f>IF((Table15[[#This Row],[Mobile 
Web]]="yes"),"","n/a")</f>
        <v/>
      </c>
      <c r="I62" s="14" t="str">
        <f>IF((Table15[[#This Row],[Mobile 
Web]]="yes"),"","n/a")</f>
        <v/>
      </c>
    </row>
    <row r="63" spans="1:9" ht="29" hidden="1" x14ac:dyDescent="0.35">
      <c r="A63" s="2" t="str">
        <f>Table15[[#This Row],[ID]]</f>
        <v>6.14.1</v>
      </c>
      <c r="B63" s="1" t="str">
        <f>Table15[[#This Row],[Section]]</f>
        <v>Chat Panels</v>
      </c>
      <c r="C63" s="1" t="str">
        <f>Table15[[#This Row],[Sub-Section]]</f>
        <v>Inline Links</v>
      </c>
      <c r="D63" s="16" t="str">
        <f>Table15[[#This Row],[Title]]</f>
        <v>Dynamically inserted links and buttons are in tab order.</v>
      </c>
      <c r="E63" s="16" t="str">
        <f>IF(Table15[[#This Row],[Description]]&lt;&gt;0,Table15[[#This Row],[Description]],"No entry")</f>
        <v>These links and buttons are typically contained in agent or system messages, and are keyboard operable.</v>
      </c>
      <c r="F63" s="1" t="str">
        <f>IF((Table15[[#This Row],[Mobile 
Web]]="yes"),"yes","no")</f>
        <v>yes</v>
      </c>
      <c r="G63" s="14" t="str">
        <f>IF((Table15[[#This Row],[Mobile 
Web]]="yes"),"","n/a")</f>
        <v/>
      </c>
      <c r="H63" s="14" t="str">
        <f>IF((Table15[[#This Row],[Mobile 
Web]]="yes"),"","n/a")</f>
        <v/>
      </c>
      <c r="I63" s="14" t="str">
        <f>IF((Table15[[#This Row],[Mobile 
Web]]="yes"),"","n/a")</f>
        <v/>
      </c>
    </row>
    <row r="64" spans="1:9" ht="58" hidden="1" x14ac:dyDescent="0.35">
      <c r="A64" s="2" t="str">
        <f>Table15[[#This Row],[ID]]</f>
        <v>6.14.2</v>
      </c>
      <c r="B64" s="1" t="str">
        <f>Table15[[#This Row],[Section]]</f>
        <v>Chat Panels</v>
      </c>
      <c r="C64" s="1" t="str">
        <f>Table15[[#This Row],[Sub-Section]]</f>
        <v>Inline Links</v>
      </c>
      <c r="D64" s="16" t="str">
        <f>Table15[[#This Row],[Title]]</f>
        <v>Dynamically inserted buttons and links have access key</v>
      </c>
      <c r="E64"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64" s="1" t="str">
        <f>IF((Table15[[#This Row],[Mobile 
Web]]="yes"),"yes","no")</f>
        <v>no</v>
      </c>
      <c r="G64" s="14" t="str">
        <f>IF((Table15[[#This Row],[Mobile 
Web]]="yes"),"","n/a")</f>
        <v>n/a</v>
      </c>
      <c r="H64" s="14" t="str">
        <f>IF((Table15[[#This Row],[Mobile 
Web]]="yes"),"","n/a")</f>
        <v>n/a</v>
      </c>
      <c r="I64" s="14" t="str">
        <f>IF((Table15[[#This Row],[Mobile 
Web]]="yes"),"","n/a")</f>
        <v>n/a</v>
      </c>
    </row>
    <row r="65" spans="1:9" ht="43.5" hidden="1" x14ac:dyDescent="0.35">
      <c r="A65" s="2" t="str">
        <f>Table15[[#This Row],[ID]]</f>
        <v>6.2.1</v>
      </c>
      <c r="B65" s="1" t="str">
        <f>Table15[[#This Row],[Section]]</f>
        <v>Chat Panels</v>
      </c>
      <c r="C65" s="1" t="str">
        <f>Table15[[#This Row],[Sub-Section]]</f>
        <v>Chat Opening</v>
      </c>
      <c r="D65" s="16" t="str">
        <f>Table15[[#This Row],[Title]]</f>
        <v>Auto-opener spoken automatically when chat launched.</v>
      </c>
      <c r="E65" s="16" t="str">
        <f>IF(Table15[[#This Row],[Description]]&lt;&gt;0,Table15[[#This Row],[Description]],"No entry")</f>
        <v>All welcome/auto-opener messages are announced automatically by the screen reader on chat launch. The message is only read once.</v>
      </c>
      <c r="F65" s="1" t="str">
        <f>IF((Table15[[#This Row],[Mobile 
Web]]="yes"),"yes","no")</f>
        <v>yes</v>
      </c>
      <c r="G65" s="14" t="str">
        <f>IF((Table15[[#This Row],[Mobile 
Web]]="yes"),"","n/a")</f>
        <v/>
      </c>
      <c r="H65" s="14" t="str">
        <f>IF((Table15[[#This Row],[Mobile 
Web]]="yes"),"","n/a")</f>
        <v/>
      </c>
      <c r="I65" s="14" t="str">
        <f>IF((Table15[[#This Row],[Mobile 
Web]]="yes"),"","n/a")</f>
        <v/>
      </c>
    </row>
    <row r="66" spans="1:9" ht="43.5" hidden="1" x14ac:dyDescent="0.35">
      <c r="A66" s="2" t="str">
        <f>Table15[[#This Row],[ID]]</f>
        <v>6.2.2</v>
      </c>
      <c r="B66" s="1" t="str">
        <f>Table15[[#This Row],[Section]]</f>
        <v>Chat Panels</v>
      </c>
      <c r="C66" s="1" t="str">
        <f>Table15[[#This Row],[Sub-Section]]</f>
        <v>Chat Opening</v>
      </c>
      <c r="D66" s="16" t="str">
        <f>Table15[[#This Row],[Title]]</f>
        <v>Initial focus is on text input control.</v>
      </c>
      <c r="E66" s="16" t="str">
        <f>IF(Table15[[#This Row],[Description]]&lt;&gt;0,Table15[[#This Row],[Description]],"No entry")</f>
        <v>When the chat panel/window opens, initial keyboard and screen reader focus moves automatically to the text input area.</v>
      </c>
      <c r="F66" s="1" t="str">
        <f>IF((Table15[[#This Row],[Mobile 
Web]]="yes"),"yes","no")</f>
        <v>yes</v>
      </c>
      <c r="G66" s="14" t="str">
        <f>IF((Table15[[#This Row],[Mobile 
Web]]="yes"),"","n/a")</f>
        <v/>
      </c>
      <c r="H66" s="14" t="str">
        <f>IF((Table15[[#This Row],[Mobile 
Web]]="yes"),"","n/a")</f>
        <v/>
      </c>
      <c r="I66" s="14" t="str">
        <f>IF((Table15[[#This Row],[Mobile 
Web]]="yes"),"","n/a")</f>
        <v/>
      </c>
    </row>
    <row r="67" spans="1:9" ht="43.5" hidden="1" x14ac:dyDescent="0.35">
      <c r="A67" s="2" t="str">
        <f>Table15[[#This Row],[ID]]</f>
        <v>6.2.3</v>
      </c>
      <c r="B67" s="1" t="str">
        <f>Table15[[#This Row],[Section]]</f>
        <v>Chat Panels</v>
      </c>
      <c r="C67" s="1" t="str">
        <f>Table15[[#This Row],[Sub-Section]]</f>
        <v>Chat Opening</v>
      </c>
      <c r="D67" s="16" t="str">
        <f>Table15[[#This Row],[Title]]</f>
        <v>Text area entry field is labeled</v>
      </c>
      <c r="E67" s="16" t="str">
        <f>IF(Table15[[#This Row],[Description]]&lt;&gt;0,Table15[[#This Row],[Description]],"No entry")</f>
        <v>Text area is labeled, or uses a placeholder, e.g. “type your message”, which is read automatically by the screen reader.</v>
      </c>
      <c r="F67" s="1" t="str">
        <f>IF((Table15[[#This Row],[Mobile 
Web]]="yes"),"yes","no")</f>
        <v>yes</v>
      </c>
      <c r="G67" s="14" t="str">
        <f>IF((Table15[[#This Row],[Mobile 
Web]]="yes"),"","n/a")</f>
        <v/>
      </c>
      <c r="H67" s="14" t="str">
        <f>IF((Table15[[#This Row],[Mobile 
Web]]="yes"),"","n/a")</f>
        <v/>
      </c>
      <c r="I67" s="14" t="str">
        <f>IF((Table15[[#This Row],[Mobile 
Web]]="yes"),"","n/a")</f>
        <v/>
      </c>
    </row>
    <row r="68" spans="1:9" ht="29" hidden="1" x14ac:dyDescent="0.35">
      <c r="A68" s="2" t="str">
        <f>Table15[[#This Row],[ID]]</f>
        <v>6.3.1</v>
      </c>
      <c r="B68" s="1" t="str">
        <f>Table15[[#This Row],[Section]]</f>
        <v>Chat Panels</v>
      </c>
      <c r="C68" s="1" t="str">
        <f>Table15[[#This Row],[Sub-Section]]</f>
        <v>Persistent chat</v>
      </c>
      <c r="D68" s="16" t="str">
        <f>Table15[[#This Row],[Title]]</f>
        <v xml:space="preserve">Provide access key to move chat to persistent window </v>
      </c>
      <c r="E68" s="16" t="str">
        <f>IF(Table15[[#This Row],[Description]]&lt;&gt;0,Table15[[#This Row],[Description]],"No entry")</f>
        <v>In desktop environments, add an access key to the button that moves chat to a persistent window.</v>
      </c>
      <c r="F68" s="1" t="str">
        <f>IF((Table15[[#This Row],[Mobile 
Web]]="yes"),"yes","no")</f>
        <v>no</v>
      </c>
      <c r="G68" s="14" t="str">
        <f>IF((Table15[[#This Row],[Mobile 
Web]]="yes"),"","n/a")</f>
        <v>n/a</v>
      </c>
      <c r="H68" s="14" t="str">
        <f>IF((Table15[[#This Row],[Mobile 
Web]]="yes"),"","n/a")</f>
        <v>n/a</v>
      </c>
      <c r="I68" s="14" t="str">
        <f>IF((Table15[[#This Row],[Mobile 
Web]]="yes"),"","n/a")</f>
        <v>n/a</v>
      </c>
    </row>
    <row r="69" spans="1:9" ht="145" hidden="1" x14ac:dyDescent="0.35">
      <c r="A69" s="2" t="str">
        <f>Table15[[#This Row],[ID]]</f>
        <v>6.4.1</v>
      </c>
      <c r="B69" s="1" t="str">
        <f>Table15[[#This Row],[Section]]</f>
        <v>Chat Panels</v>
      </c>
      <c r="C69" s="1" t="str">
        <f>Table15[[#This Row],[Sub-Section]]</f>
        <v>Block Navigation</v>
      </c>
      <c r="D69" s="16" t="str">
        <f>Table15[[#This Row],[Title]]</f>
        <v>Landmarks implemented for block navigation</v>
      </c>
      <c r="E69"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9" s="1" t="str">
        <f>IF((Table15[[#This Row],[Mobile 
Web]]="yes"),"yes","no")</f>
        <v>yes</v>
      </c>
      <c r="G69" s="14" t="str">
        <f>IF((Table15[[#This Row],[Mobile 
Web]]="yes"),"","n/a")</f>
        <v/>
      </c>
      <c r="H69" s="14" t="str">
        <f>IF((Table15[[#This Row],[Mobile 
Web]]="yes"),"","n/a")</f>
        <v/>
      </c>
      <c r="I69" s="14" t="str">
        <f>IF((Table15[[#This Row],[Mobile 
Web]]="yes"),"","n/a")</f>
        <v/>
      </c>
    </row>
    <row r="70" spans="1:9" ht="58" hidden="1" x14ac:dyDescent="0.35">
      <c r="A70" s="2" t="str">
        <f>Table15[[#This Row],[ID]]</f>
        <v>6.5.1</v>
      </c>
      <c r="B70" s="1" t="str">
        <f>Table15[[#This Row],[Section]]</f>
        <v>Chat Panels</v>
      </c>
      <c r="C70" s="1" t="str">
        <f>Table15[[#This Row],[Sub-Section]]</f>
        <v>Auto reading of messages</v>
      </c>
      <c r="D70" s="16" t="str">
        <f>Table15[[#This Row],[Title]]</f>
        <v>Incoming/outgoing messages read automatically</v>
      </c>
      <c r="E70" s="18" t="str">
        <f>IF(Table15[[#This Row],[Description]]&lt;&gt;0,Table15[[#This Row],[Description]],"No entry")</f>
        <v xml:space="preserve">Each new message posted to the transcript (user, agent, system) will be read automatically by the screen reader. 
</v>
      </c>
      <c r="F70" s="1" t="str">
        <f>IF((Table15[[#This Row],[Mobile 
Web]]="yes"),"yes","no")</f>
        <v>yes</v>
      </c>
      <c r="G70" s="14" t="str">
        <f>IF((Table15[[#This Row],[Mobile 
Web]]="yes"),"","n/a")</f>
        <v/>
      </c>
      <c r="H70" s="14"/>
    </row>
    <row r="71" spans="1:9" ht="43.5" hidden="1" x14ac:dyDescent="0.35">
      <c r="A71" s="2" t="str">
        <f>Table15[[#This Row],[ID]]</f>
        <v>6.5.2</v>
      </c>
      <c r="B71" s="1" t="str">
        <f>Table15[[#This Row],[Section]]</f>
        <v>Chat Panels</v>
      </c>
      <c r="C71" s="1" t="str">
        <f>Table15[[#This Row],[Sub-Section]]</f>
        <v>Auto reading of messages</v>
      </c>
      <c r="D71" s="16" t="str">
        <f>Table15[[#This Row],[Title]]</f>
        <v>Message sender name spoken automatically</v>
      </c>
      <c r="E71" s="18" t="str">
        <f>IF(Table15[[#This Row],[Description]]&lt;&gt;0,Table15[[#This Row],[Description]],"No entry")</f>
        <v>Automatic announcement of sender name will be included e.g. “Guido: I need help with my iPhone”, or “Melissa: How can I help you today?”</v>
      </c>
      <c r="F71" s="1" t="str">
        <f>IF((Table15[[#This Row],[Mobile 
Web]]="yes"),"yes","no")</f>
        <v>yes</v>
      </c>
      <c r="G71" s="14" t="str">
        <f>IF((Table15[[#This Row],[Mobile 
Web]]="yes"),"","n/a")</f>
        <v/>
      </c>
      <c r="H71" s="14"/>
    </row>
    <row r="72" spans="1:9" ht="72.5" hidden="1" x14ac:dyDescent="0.35">
      <c r="A72" s="2" t="str">
        <f>Table15[[#This Row],[ID]]</f>
        <v>6.6.1</v>
      </c>
      <c r="B72" s="1" t="str">
        <f>Table15[[#This Row],[Section]]</f>
        <v>Chat Panels</v>
      </c>
      <c r="C72" s="1" t="str">
        <f>Table15[[#This Row],[Sub-Section]]</f>
        <v>Messages with links, URLs or buttons</v>
      </c>
      <c r="D72" s="16" t="str">
        <f>Table15[[#This Row],[Title]]</f>
        <v>Operable elements inside messages are in tab order and keyboardable</v>
      </c>
      <c r="E72" s="18" t="str">
        <f>IF(Table15[[#This Row],[Description]]&lt;&gt;0,Table15[[#This Row],[Description]],"No entry")</f>
        <v>If an incoming message contains a link, a URL, or a button, e.g. to open an agent-pushed secure form or a video, the operational component of the message will be in the tab order and will be operable with the keyboard, and with screen reader compatible gestures in  touch devices.</v>
      </c>
      <c r="F72" s="1" t="str">
        <f>IF((Table15[[#This Row],[Mobile 
Web]]="yes"),"yes","no")</f>
        <v>yes</v>
      </c>
      <c r="G72" s="14" t="str">
        <f>IF((Table15[[#This Row],[Mobile 
Web]]="yes"),"","n/a")</f>
        <v/>
      </c>
      <c r="H72" s="14"/>
    </row>
    <row r="73" spans="1:9" ht="72.5" hidden="1" x14ac:dyDescent="0.35">
      <c r="A73" s="2" t="str">
        <f>Table15[[#This Row],[ID]]</f>
        <v>6.6.2</v>
      </c>
      <c r="B73" s="1" t="str">
        <f>Table15[[#This Row],[Section]]</f>
        <v>Chat Panels</v>
      </c>
      <c r="C73" s="1" t="str">
        <f>Table15[[#This Row],[Sub-Section]]</f>
        <v>Messages with links, URLs or buttons</v>
      </c>
      <c r="D73" s="16" t="str">
        <f>Table15[[#This Row],[Title]]</f>
        <v xml:space="preserve">Exposed URLs are inside anchor tags </v>
      </c>
      <c r="E73" s="18" t="str">
        <f>IF(Table15[[#This Row],[Description]]&lt;&gt;0,Table15[[#This Row],[Description]],"No entry")</f>
        <v>If an incoming message contains a script-generated exposed URL, the URL will be contained in the body of an anchor tag, and will be navigable and operable via keyboard. On  touch devices, the link will be navigable and operable with gestures compatible with screen readers.</v>
      </c>
      <c r="F73" s="1" t="str">
        <f>IF((Table15[[#This Row],[Mobile 
Web]]="yes"),"yes","no")</f>
        <v>yes</v>
      </c>
      <c r="G73" s="14" t="str">
        <f>IF((Table15[[#This Row],[Mobile 
Web]]="yes"),"","n/a")</f>
        <v/>
      </c>
      <c r="H73" s="14"/>
    </row>
    <row r="74" spans="1:9" ht="116" hidden="1" x14ac:dyDescent="0.35">
      <c r="A74" s="2" t="str">
        <f>Table15[[#This Row],[ID]]</f>
        <v>6.7.1</v>
      </c>
      <c r="B74" s="1" t="str">
        <f>Table15[[#This Row],[Section]]</f>
        <v>Chat Panels</v>
      </c>
      <c r="C74" s="1" t="str">
        <f>Table15[[#This Row],[Sub-Section]]</f>
        <v>Sending a message</v>
      </c>
      <c r="D74" s="16" t="str">
        <f>Table15[[#This Row],[Title]]</f>
        <v>Multiple keyboard methods for message submission</v>
      </c>
      <c r="E74" s="18"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74" s="1" t="str">
        <f>IF((Table15[[#This Row],[Mobile 
Web]]="yes"),"yes","no")</f>
        <v>yes</v>
      </c>
      <c r="G74" s="14" t="str">
        <f>IF((Table15[[#This Row],[Mobile 
Web]]="yes"),"","n/a")</f>
        <v/>
      </c>
      <c r="H74" s="14"/>
    </row>
    <row r="75" spans="1:9" ht="29" hidden="1" x14ac:dyDescent="0.35">
      <c r="A75" s="2" t="str">
        <f>Table15[[#This Row],[ID]]</f>
        <v>6.7.2</v>
      </c>
      <c r="B75" s="1" t="str">
        <f>Table15[[#This Row],[Section]]</f>
        <v>Chat Panels</v>
      </c>
      <c r="C75" s="1" t="str">
        <f>Table15[[#This Row],[Sub-Section]]</f>
        <v>Sending a message</v>
      </c>
      <c r="D75" s="16" t="str">
        <f>Table15[[#This Row],[Title]]</f>
        <v>Focus returns to text area after message submission</v>
      </c>
      <c r="E75" s="18" t="str">
        <f>IF(Table15[[#This Row],[Description]]&lt;&gt;0,Table15[[#This Row],[Description]],"No entry")</f>
        <v>No entry</v>
      </c>
      <c r="F75" s="1" t="str">
        <f>IF((Table15[[#This Row],[Mobile 
Web]]="yes"),"yes","no")</f>
        <v>yes</v>
      </c>
      <c r="G75" s="14" t="str">
        <f>IF((Table15[[#This Row],[Mobile 
Web]]="yes"),"","n/a")</f>
        <v/>
      </c>
      <c r="H75" s="14"/>
    </row>
    <row r="76" spans="1:9" ht="43.5" hidden="1" x14ac:dyDescent="0.35">
      <c r="A76" s="2" t="str">
        <f>Table15[[#This Row],[ID]]</f>
        <v>6.8.1</v>
      </c>
      <c r="B76" s="1" t="str">
        <f>Table15[[#This Row],[Section]]</f>
        <v>Chat Panels</v>
      </c>
      <c r="C76" s="1" t="str">
        <f>Table15[[#This Row],[Sub-Section]]</f>
        <v>Alert chime</v>
      </c>
      <c r="D76" s="16" t="str">
        <f>Table15[[#This Row],[Title]]</f>
        <v>User can set alert chimes to active or off.</v>
      </c>
      <c r="E76" s="16" t="str">
        <f>IF(Table15[[#This Row],[Description]]&lt;&gt;0,Table15[[#This Row],[Description]],"No entry")</f>
        <v>A button lets users turn chime for incoming messages on (active) and off. Outgoing messages from user to agent do not have a chime.</v>
      </c>
      <c r="F76" s="1" t="str">
        <f>IF((Table15[[#This Row],[Mobile 
Web]]="yes"),"yes","no")</f>
        <v>yes</v>
      </c>
      <c r="G76" s="14" t="str">
        <f>IF((Table15[[#This Row],[Mobile 
Web]]="yes"),"","n/a")</f>
        <v/>
      </c>
      <c r="H76" s="14" t="str">
        <f>IF((Table15[[#This Row],[Mobile 
Web]]="yes"),"","n/a")</f>
        <v/>
      </c>
      <c r="I76" s="14" t="str">
        <f>IF((Table15[[#This Row],[Mobile 
Web]]="yes"),"","n/a")</f>
        <v/>
      </c>
    </row>
    <row r="77" spans="1:9" ht="43.5" hidden="1" x14ac:dyDescent="0.35">
      <c r="A77" s="2" t="str">
        <f>Table15[[#This Row],[ID]]</f>
        <v>6.8.2</v>
      </c>
      <c r="B77" s="1" t="str">
        <f>Table15[[#This Row],[Section]]</f>
        <v>Chat Panels</v>
      </c>
      <c r="C77" s="1" t="str">
        <f>Table15[[#This Row],[Sub-Section]]</f>
        <v>Alert chime</v>
      </c>
      <c r="D77" s="16" t="str">
        <f>Table15[[#This Row],[Title]]</f>
        <v>Upon operation, chime alert button conveys state change automatically</v>
      </c>
      <c r="E77" s="16" t="str">
        <f>IF(Table15[[#This Row],[Description]]&lt;&gt;0,Table15[[#This Row],[Description]],"No entry")</f>
        <v>A button lets users turn chime for incoming messages on (active) and off. Outgoing messages from user to agent do not have a chime.</v>
      </c>
      <c r="F77" s="1" t="str">
        <f>IF((Table15[[#This Row],[Mobile 
Web]]="yes"),"yes","no")</f>
        <v>yes</v>
      </c>
      <c r="G77" s="14" t="str">
        <f>IF((Table15[[#This Row],[Mobile 
Web]]="yes"),"","n/a")</f>
        <v/>
      </c>
      <c r="H77" s="14" t="str">
        <f>IF((Table15[[#This Row],[Mobile 
Web]]="yes"),"","n/a")</f>
        <v/>
      </c>
      <c r="I77" s="14" t="str">
        <f>IF((Table15[[#This Row],[Mobile 
Web]]="yes"),"","n/a")</f>
        <v/>
      </c>
    </row>
    <row r="78" spans="1:9" ht="43.5" hidden="1" x14ac:dyDescent="0.35">
      <c r="A78" s="2" t="str">
        <f>Table15[[#This Row],[ID]]</f>
        <v>6.8.3</v>
      </c>
      <c r="B78" s="1" t="str">
        <f>Table15[[#This Row],[Section]]</f>
        <v>Chat Panels</v>
      </c>
      <c r="C78" s="1" t="str">
        <f>Table15[[#This Row],[Sub-Section]]</f>
        <v>Alert chime</v>
      </c>
      <c r="D78" s="16" t="str">
        <f>Table15[[#This Row],[Title]]</f>
        <v>If chime is active, agent messages are prefixed by an audible short chime</v>
      </c>
      <c r="E78" s="80" t="str">
        <f>IF(Table15[[#This Row],[Description]]&lt;&gt;0,Table15[[#This Row],[Description]],"No entry")</f>
        <v xml:space="preserve">When chime toggle is on, all incoming agent messages are accompanied by an audible chime.  </v>
      </c>
      <c r="F78" s="81" t="str">
        <f>IF((Table15[[#This Row],[Mobile 
Web]]="yes"),"yes","no")</f>
        <v>yes</v>
      </c>
      <c r="G78" s="79" t="str">
        <f>IF((Table15[[#This Row],[Mobile 
Web]]="yes"),"","n/a")</f>
        <v/>
      </c>
      <c r="H78" s="14" t="str">
        <f>IF((Table15[[#This Row],[Mobile 
Web]]="yes"),"","n/a")</f>
        <v/>
      </c>
      <c r="I78" s="14" t="str">
        <f>IF((Table15[[#This Row],[Mobile 
Web]]="yes"),"","n/a")</f>
        <v/>
      </c>
    </row>
    <row r="79" spans="1:9" ht="43.5" hidden="1" x14ac:dyDescent="0.35">
      <c r="A79" s="2" t="str">
        <f>Table15[[#This Row],[ID]]</f>
        <v>6.8.4</v>
      </c>
      <c r="B79" s="1" t="str">
        <f>Table15[[#This Row],[Section]]</f>
        <v>Chat Panels</v>
      </c>
      <c r="C79" s="1" t="str">
        <f>Table15[[#This Row],[Sub-Section]]</f>
        <v>Alert chime</v>
      </c>
      <c r="D79" s="16" t="str">
        <f>Table15[[#This Row],[Title]]</f>
        <v>Alert chimes are active by default.</v>
      </c>
      <c r="E79" s="80" t="str">
        <f>IF(Table15[[#This Row],[Description]]&lt;&gt;0,Table15[[#This Row],[Description]],"No entry")</f>
        <v>The default state of the chime toggle is active. On devices, if global sound is active, alert chimes are active by default as well.</v>
      </c>
      <c r="F79" s="81" t="str">
        <f>IF((Table15[[#This Row],[Mobile 
Web]]="yes"),"yes","no")</f>
        <v>yes</v>
      </c>
      <c r="G79" s="79" t="str">
        <f>IF((Table15[[#This Row],[Mobile 
Web]]="yes"),"","n/a")</f>
        <v/>
      </c>
      <c r="H79" s="14" t="str">
        <f>IF((Table15[[#This Row],[Mobile 
Web]]="yes"),"","n/a")</f>
        <v/>
      </c>
      <c r="I79" s="14" t="str">
        <f>IF((Table15[[#This Row],[Mobile 
Web]]="yes"),"","n/a")</f>
        <v/>
      </c>
    </row>
    <row r="80" spans="1:9" ht="87" hidden="1" x14ac:dyDescent="0.35">
      <c r="A80" s="2" t="str">
        <f>Table15[[#This Row],[ID]]</f>
        <v>6.8.5</v>
      </c>
      <c r="B80" s="1" t="str">
        <f>Table15[[#This Row],[Section]]</f>
        <v>Chat Panels</v>
      </c>
      <c r="C80" s="1" t="str">
        <f>Table15[[#This Row],[Sub-Section]]</f>
        <v>Alert chime</v>
      </c>
      <c r="D80" s="16" t="str">
        <f>Table15[[#This Row],[Title]]</f>
        <v>On focus, and on operation of the chime button, button text content and chime state are announced.</v>
      </c>
      <c r="E80" s="80"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80" s="81" t="str">
        <f>IF((Table15[[#This Row],[Mobile 
Web]]="yes"),"yes","no")</f>
        <v>yes</v>
      </c>
      <c r="G80" s="79" t="str">
        <f>IF((Table15[[#This Row],[Mobile 
Web]]="yes"),"","n/a")</f>
        <v/>
      </c>
      <c r="H80" s="14" t="str">
        <f>IF((Table15[[#This Row],[Mobile 
Web]]="yes"),"","n/a")</f>
        <v/>
      </c>
      <c r="I80" s="14" t="str">
        <f>IF((Table15[[#This Row],[Mobile 
Web]]="yes"),"","n/a")</f>
        <v/>
      </c>
    </row>
    <row r="81" spans="1:9" ht="58" hidden="1" x14ac:dyDescent="0.35">
      <c r="A81" s="2" t="str">
        <f>Table15[[#This Row],[ID]]</f>
        <v>6.8.6</v>
      </c>
      <c r="B81" s="1" t="str">
        <f>Table15[[#This Row],[Section]]</f>
        <v>Chat Panels</v>
      </c>
      <c r="C81" s="1" t="str">
        <f>Table15[[#This Row],[Sub-Section]]</f>
        <v>Alert chime</v>
      </c>
      <c r="D81" s="16" t="str">
        <f>Table15[[#This Row],[Title]]</f>
        <v>On devices, if global sound is muted, alert chimes are disabled by default</v>
      </c>
      <c r="E81" s="80"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81" s="81" t="str">
        <f>IF((Table15[[#This Row],[Mobile 
Web]]="yes"),"yes","no")</f>
        <v>yes</v>
      </c>
      <c r="G81" s="79" t="str">
        <f>IF((Table15[[#This Row],[Mobile 
Web]]="yes"),"","n/a")</f>
        <v/>
      </c>
      <c r="H81" s="14" t="str">
        <f>IF((Table15[[#This Row],[Mobile 
Web]]="yes"),"","n/a")</f>
        <v/>
      </c>
      <c r="I81" s="14" t="str">
        <f>IF((Table15[[#This Row],[Mobile 
Web]]="yes"),"","n/a")</f>
        <v/>
      </c>
    </row>
    <row r="82" spans="1:9" ht="43.5" hidden="1" x14ac:dyDescent="0.35">
      <c r="A82" s="2" t="str">
        <f>Table15[[#This Row],[ID]]</f>
        <v>6.8.9</v>
      </c>
      <c r="B82" s="1" t="str">
        <f>Table15[[#This Row],[Section]]</f>
        <v>Chat Panels</v>
      </c>
      <c r="C82" s="1" t="str">
        <f>Table15[[#This Row],[Sub-Section]]</f>
        <v>Alert chime</v>
      </c>
      <c r="D82" s="16" t="str">
        <f>Table15[[#This Row],[Title]]</f>
        <v>When the operation of the chime button activates chimes, a sample chime is issued and heard.</v>
      </c>
      <c r="E82" s="80" t="str">
        <f>IF(Table15[[#This Row],[Description]]&lt;&gt;0,Table15[[#This Row],[Description]],"No entry")</f>
        <v>The sample chime informs the user what sound to expect when receiving an agent message.</v>
      </c>
      <c r="F82" s="81" t="str">
        <f>IF((Table15[[#This Row],[Mobile 
Web]]="yes"),"yes","no")</f>
        <v>yes</v>
      </c>
      <c r="G82" s="79" t="str">
        <f>IF((Table15[[#This Row],[Mobile 
Web]]="yes"),"","n/a")</f>
        <v/>
      </c>
      <c r="H82" s="14" t="str">
        <f>IF((Table15[[#This Row],[Mobile 
Web]]="yes"),"","n/a")</f>
        <v/>
      </c>
      <c r="I82" s="14" t="str">
        <f>IF((Table15[[#This Row],[Mobile 
Web]]="yes"),"","n/a")</f>
        <v/>
      </c>
    </row>
    <row r="83" spans="1:9" ht="43.5" hidden="1" x14ac:dyDescent="0.35">
      <c r="A83" s="2" t="str">
        <f>Table15[[#This Row],[ID]]</f>
        <v>6.9.0</v>
      </c>
      <c r="B83" s="1" t="str">
        <f>Table15[[#This Row],[Section]]</f>
        <v>Chat Panels</v>
      </c>
      <c r="C83" s="1" t="str">
        <f>Table15[[#This Row],[Sub-Section]]</f>
        <v>Inline Pushed Forms</v>
      </c>
      <c r="D83" s="16" t="str">
        <f>Table15[[#This Row],[Title]]</f>
        <v>Modal Taxonomy - Inline Pushed Forms are contained in strict modals</v>
      </c>
      <c r="E83" s="80" t="str">
        <f>IF(Table15[[#This Row],[Description]]&lt;&gt;0,Table15[[#This Row],[Description]],"No entry")</f>
        <v>See Modal Taxonomy tab</v>
      </c>
      <c r="F83" s="81" t="str">
        <f>IF((Table15[[#This Row],[Mobile 
Web]]="yes"),"yes","no")</f>
        <v>no</v>
      </c>
      <c r="G83" s="79" t="str">
        <f>IF((Table15[[#This Row],[Mobile 
Web]]="yes"),"","n/a")</f>
        <v>n/a</v>
      </c>
      <c r="H83" s="14" t="str">
        <f>IF((Table15[[#This Row],[Mobile 
Web]]="yes"),"","n/a")</f>
        <v>n/a</v>
      </c>
      <c r="I83" s="14" t="str">
        <f>IF((Table15[[#This Row],[Mobile 
Web]]="yes"),"","n/a")</f>
        <v>n/a</v>
      </c>
    </row>
    <row r="84" spans="1:9" ht="29" hidden="1" x14ac:dyDescent="0.35">
      <c r="A84" s="2" t="str">
        <f>Table15[[#This Row],[ID]]</f>
        <v>7.0.0</v>
      </c>
      <c r="B84" s="1" t="str">
        <f>Table15[[#This Row],[Section]]</f>
        <v>Minimized chat</v>
      </c>
      <c r="C84" s="1" t="str">
        <f>Table15[[#This Row],[Sub-Section]]</f>
        <v>Modal Taxonomy</v>
      </c>
      <c r="D84" s="16" t="str">
        <f>Table15[[#This Row],[Title]]</f>
        <v>Minimized chat contained in Pseudo-modal</v>
      </c>
      <c r="E84" s="80" t="str">
        <f>IF(Table15[[#This Row],[Description]]&lt;&gt;0,Table15[[#This Row],[Description]],"No entry")</f>
        <v>See Modal Taxonomy tab</v>
      </c>
      <c r="F84" s="81" t="str">
        <f>IF((Table15[[#This Row],[Mobile 
Web]]="yes"),"yes","no")</f>
        <v>no</v>
      </c>
      <c r="G84" s="79" t="str">
        <f>IF((Table15[[#This Row],[Mobile 
Web]]="yes"),"","n/a")</f>
        <v>n/a</v>
      </c>
      <c r="H84" s="14" t="str">
        <f>IF((Table15[[#This Row],[Mobile 
Web]]="yes"),"","n/a")</f>
        <v>n/a</v>
      </c>
      <c r="I84" s="14" t="str">
        <f>IF((Table15[[#This Row],[Mobile 
Web]]="yes"),"","n/a")</f>
        <v>n/a</v>
      </c>
    </row>
    <row r="85" spans="1:9" ht="72.5" hidden="1" x14ac:dyDescent="0.35">
      <c r="A85" s="2" t="str">
        <f>Table15[[#This Row],[ID]]</f>
        <v>7.1.1</v>
      </c>
      <c r="B85" s="4" t="str">
        <f>Table15[[#This Row],[Section]]</f>
        <v>Minimized chat</v>
      </c>
      <c r="C85" s="4" t="str">
        <f>Table15[[#This Row],[Sub-Section]]</f>
        <v>General Requirements</v>
      </c>
      <c r="D85" s="16" t="str">
        <f>Table15[[#This Row],[Title]]</f>
        <v>Minimizing chat moves focus to “restore” button</v>
      </c>
      <c r="E85" s="80" t="str">
        <f>IF(Table15[[#This Row],[Description]]&lt;&gt;0,Table15[[#This Row],[Description]],"No entry")</f>
        <v>When the “minimize chat” button is operated, keyboard and screen reader focus move to the “restore chat” inside the minimized chat pseudo-modal, and the "restore/continue chat” button is read automatically by the screen reader.</v>
      </c>
      <c r="F85" s="81" t="str">
        <f>IF((Table15[[#This Row],[Mobile 
Web]]="yes"),"yes","no")</f>
        <v>yes</v>
      </c>
      <c r="G85" s="79" t="str">
        <f>IF((Table15[[#This Row],[Mobile 
Web]]="yes"),"","n/a")</f>
        <v/>
      </c>
      <c r="H85" s="14"/>
    </row>
    <row r="86" spans="1:9" ht="58" hidden="1" x14ac:dyDescent="0.35">
      <c r="A86" s="2" t="str">
        <f>Table15[[#This Row],[ID]]</f>
        <v>7.1.2</v>
      </c>
      <c r="B86" s="4" t="str">
        <f>Table15[[#This Row],[Section]]</f>
        <v>Minimized chat</v>
      </c>
      <c r="C86" s="4" t="str">
        <f>Table15[[#This Row],[Sub-Section]]</f>
        <v>General Requirements</v>
      </c>
      <c r="D86" s="16" t="str">
        <f>Table15[[#This Row],[Title]]</f>
        <v>If shown, agent messages in minimize chat can scroll only once.</v>
      </c>
      <c r="E86" s="80" t="str">
        <f>IF(Table15[[#This Row],[Description]]&lt;&gt;0,Table15[[#This Row],[Description]],"No entry")</f>
        <v>If a scrolling marquee is implemented for minimized chat, it may scroll automatically in the marquee only once. Scrolling then stops, and the leftmost part of the message remains visible.</v>
      </c>
      <c r="F86" s="81" t="str">
        <f>IF((Table15[[#This Row],[Mobile 
Web]]="yes"),"yes","no")</f>
        <v>yes</v>
      </c>
      <c r="G86" s="79" t="str">
        <f>IF((Table15[[#This Row],[Mobile 
Web]]="yes"),"","n/a")</f>
        <v/>
      </c>
      <c r="H86" s="14"/>
    </row>
    <row r="87" spans="1:9" ht="58" hidden="1" x14ac:dyDescent="0.35">
      <c r="A87" s="2" t="str">
        <f>Table15[[#This Row],[ID]]</f>
        <v>7.1.3</v>
      </c>
      <c r="B87" s="4" t="str">
        <f>Table15[[#This Row],[Section]]</f>
        <v>Minimized chat</v>
      </c>
      <c r="C87" s="4" t="str">
        <f>Table15[[#This Row],[Sub-Section]]</f>
        <v>General Requirements</v>
      </c>
      <c r="D87" s="16" t="str">
        <f>Table15[[#This Row],[Title]]</f>
        <v>Agent messages in minimized chat read automatically</v>
      </c>
      <c r="E87" s="80" t="str">
        <f>IF(Table15[[#This Row],[Description]]&lt;&gt;0,Table15[[#This Row],[Description]],"No entry")</f>
        <v>When an agent message is received while chat is minimized, the message is read automatically by the screen reader. If the alert chime is active, the chime is issued.</v>
      </c>
      <c r="F87" s="81" t="str">
        <f>IF((Table15[[#This Row],[Mobile 
Web]]="yes"),"yes","no")</f>
        <v>yes</v>
      </c>
      <c r="G87" s="79" t="str">
        <f>IF((Table15[[#This Row],[Mobile 
Web]]="yes"),"","n/a")</f>
        <v/>
      </c>
      <c r="H87" s="14"/>
    </row>
    <row r="88" spans="1:9" ht="43.5" hidden="1" x14ac:dyDescent="0.35">
      <c r="A88" s="2" t="str">
        <f>Table15[[#This Row],[ID]]</f>
        <v>7.1.4</v>
      </c>
      <c r="B88" s="4" t="str">
        <f>Table15[[#This Row],[Section]]</f>
        <v>Minimized chat</v>
      </c>
      <c r="C88" s="4" t="str">
        <f>Table15[[#This Row],[Sub-Section]]</f>
        <v>General Requirements</v>
      </c>
      <c r="D88" s="16" t="str">
        <f>Table15[[#This Row],[Title]]</f>
        <v>Agent messages in minimized chat are keyboard navigable</v>
      </c>
      <c r="E88" s="80" t="str">
        <f>IF(Table15[[#This Row],[Description]]&lt;&gt;0,Table15[[#This Row],[Description]],"No entry")</f>
        <v>Desktop: If agent messages are visible in minimized chat pseudo-modal, they are navigable by the screen reader using the down/up arrow keys.</v>
      </c>
      <c r="F88" s="81" t="str">
        <f>IF((Table15[[#This Row],[Mobile 
Web]]="yes"),"yes","no")</f>
        <v>no</v>
      </c>
      <c r="G88" s="79" t="str">
        <f>IF((Table15[[#This Row],[Mobile 
Web]]="yes"),"","n/a")</f>
        <v>n/a</v>
      </c>
      <c r="H88" s="14"/>
    </row>
    <row r="89" spans="1:9" ht="58" hidden="1" x14ac:dyDescent="0.35">
      <c r="A89" s="2" t="str">
        <f>Table15[[#This Row],[ID]]</f>
        <v>7.1.5</v>
      </c>
      <c r="B89" s="4" t="str">
        <f>Table15[[#This Row],[Section]]</f>
        <v>Minimized chat</v>
      </c>
      <c r="C89" s="4" t="str">
        <f>Table15[[#This Row],[Sub-Section]]</f>
        <v>General Requirements</v>
      </c>
      <c r="D89" s="16" t="str">
        <f>Table15[[#This Row],[Title]]</f>
        <v>Minimized chat div is not self-contained</v>
      </c>
      <c r="E89" s="80" t="str">
        <f>IF(Table15[[#This Row],[Description]]&lt;&gt;0,Table15[[#This Row],[Description]],"No entry")</f>
        <v>The minimized chat panel is a pseudo-modal. The user can navigate outside the minimized chat panel using any page navigation keystrokes or screen reader compatible gestures.</v>
      </c>
      <c r="F89" s="81" t="str">
        <f>IF((Table15[[#This Row],[Mobile 
Web]]="yes"),"yes","no")</f>
        <v>yes</v>
      </c>
      <c r="G89" s="79" t="str">
        <f>IF((Table15[[#This Row],[Mobile 
Web]]="yes"),"","n/a")</f>
        <v/>
      </c>
      <c r="H89" s="14"/>
    </row>
    <row r="90" spans="1:9" ht="29" hidden="1" x14ac:dyDescent="0.35">
      <c r="A90" s="2" t="str">
        <f>Table15[[#This Row],[ID]]</f>
        <v>7.1.6</v>
      </c>
      <c r="B90" s="4" t="str">
        <f>Table15[[#This Row],[Section]]</f>
        <v>Minimized chat</v>
      </c>
      <c r="C90" s="4" t="str">
        <f>Table15[[#This Row],[Sub-Section]]</f>
        <v>General Requirements</v>
      </c>
      <c r="D90" s="16" t="str">
        <f>Table15[[#This Row],[Title]]</f>
        <v>Focus returns to input text area upon chat restore</v>
      </c>
      <c r="E90" s="80" t="str">
        <f>IF(Table15[[#This Row],[Description]]&lt;&gt;0,Table15[[#This Row],[Description]],"No entry")</f>
        <v>When the user operates the restore chat button, focus is returned to the chat text area input field.</v>
      </c>
      <c r="F90" s="81" t="str">
        <f>IF((Table15[[#This Row],[Mobile 
Web]]="yes"),"yes","no")</f>
        <v>yes</v>
      </c>
      <c r="G90" s="79" t="str">
        <f>IF((Table15[[#This Row],[Mobile 
Web]]="yes"),"","n/a")</f>
        <v/>
      </c>
      <c r="H90" s="14"/>
    </row>
    <row r="91" spans="1:9" ht="29" hidden="1" x14ac:dyDescent="0.35">
      <c r="A91" s="2" t="str">
        <f>Table15[[#This Row],[ID]]</f>
        <v>8.0.0</v>
      </c>
      <c r="B91" s="4" t="str">
        <f>Table15[[#This Row],[Section]]</f>
        <v>Co-Browsing</v>
      </c>
      <c r="C91" s="4" t="str">
        <f>Table15[[#This Row],[Sub-Section]]</f>
        <v>Modal Taxonomy</v>
      </c>
      <c r="D91" s="16" t="str">
        <f>Table15[[#This Row],[Title]]</f>
        <v>The Co-browse banner is a psudo-modal</v>
      </c>
      <c r="E91" s="80" t="str">
        <f>IF(Table15[[#This Row],[Description]]&lt;&gt;0,Table15[[#This Row],[Description]],"No entry")</f>
        <v>See Modal Taxonomy tab</v>
      </c>
      <c r="F91" s="81" t="str">
        <f>IF((Table15[[#This Row],[Mobile 
Web]]="yes"),"yes","no")</f>
        <v>no</v>
      </c>
      <c r="G91" s="79" t="str">
        <f>IF((Table15[[#This Row],[Mobile 
Web]]="yes"),"","n/a")</f>
        <v>n/a</v>
      </c>
      <c r="H91" s="14"/>
    </row>
    <row r="92" spans="1:9" ht="29" hidden="1" x14ac:dyDescent="0.35">
      <c r="A92" s="2" t="str">
        <f>Table15[[#This Row],[ID]]</f>
        <v>8.1.1</v>
      </c>
      <c r="B92" s="4" t="str">
        <f>Table15[[#This Row],[Section]]</f>
        <v>Co-Browsing</v>
      </c>
      <c r="C92" s="4" t="str">
        <f>Table15[[#This Row],[Sub-Section]]</f>
        <v>Buttons</v>
      </c>
      <c r="D92" s="16" t="str">
        <f>Table15[[#This Row],[Title]]</f>
        <v>The buttons in the co-browse banner are in the tab order.</v>
      </c>
      <c r="E92" s="80" t="str">
        <f>IF(Table15[[#This Row],[Description]]&lt;&gt;0,Table15[[#This Row],[Description]],"No entry")</f>
        <v>No entry</v>
      </c>
      <c r="F92" s="81" t="str">
        <f>IF((Table15[[#This Row],[Mobile 
Web]]="yes"),"yes","no")</f>
        <v>yes</v>
      </c>
      <c r="G92" s="79" t="str">
        <f>IF((Table15[[#This Row],[Mobile 
Web]]="yes"),"","n/a")</f>
        <v/>
      </c>
      <c r="H92" s="14"/>
    </row>
    <row r="93" spans="1:9" ht="29" hidden="1" x14ac:dyDescent="0.35">
      <c r="A93" s="2" t="str">
        <f>Table15[[#This Row],[ID]]</f>
        <v>8.1.2</v>
      </c>
      <c r="B93" s="4" t="str">
        <f>Table15[[#This Row],[Section]]</f>
        <v>Co-Browsing</v>
      </c>
      <c r="C93" s="4" t="str">
        <f>Table15[[#This Row],[Sub-Section]]</f>
        <v>Buttons</v>
      </c>
      <c r="D93" s="16" t="str">
        <f>Table15[[#This Row],[Title]]</f>
        <v>Add access keys for co-browse accept and decline controls.</v>
      </c>
      <c r="E93" s="80" t="str">
        <f>IF(Table15[[#This Row],[Description]]&lt;&gt;0,Table15[[#This Row],[Description]],"No entry")</f>
        <v xml:space="preserve">Use accesskey="A" for accept, and accesskey="D" for decline co-browse. </v>
      </c>
      <c r="F93" s="81" t="str">
        <f>IF((Table15[[#This Row],[Mobile 
Web]]="yes"),"yes","no")</f>
        <v>no</v>
      </c>
      <c r="G93" s="79" t="str">
        <f>IF((Table15[[#This Row],[Mobile 
Web]]="yes"),"","n/a")</f>
        <v>n/a</v>
      </c>
      <c r="H93" s="14"/>
    </row>
    <row r="94" spans="1:9" ht="116" hidden="1" x14ac:dyDescent="0.35">
      <c r="A94" s="2" t="str">
        <f>Table15[[#This Row],[ID]]</f>
        <v>8.2.1</v>
      </c>
      <c r="B94" s="4" t="str">
        <f>Table15[[#This Row],[Section]]</f>
        <v>Co-Browsing</v>
      </c>
      <c r="C94" s="4" t="str">
        <f>Table15[[#This Row],[Sub-Section]]</f>
        <v>Banner</v>
      </c>
      <c r="D94" s="16" t="str">
        <f>Table15[[#This Row],[Title]]</f>
        <v>Co-browsing banner title read automatically when displayed.</v>
      </c>
      <c r="E94" s="80"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94" s="81" t="str">
        <f>IF((Table15[[#This Row],[Mobile 
Web]]="yes"),"yes","no")</f>
        <v>yes</v>
      </c>
      <c r="G94" s="79" t="str">
        <f>IF((Table15[[#This Row],[Mobile 
Web]]="yes"),"","n/a")</f>
        <v/>
      </c>
      <c r="H94" s="14"/>
    </row>
    <row r="95" spans="1:9" ht="29" hidden="1" x14ac:dyDescent="0.35">
      <c r="A95" s="2" t="str">
        <f>Table15[[#This Row],[ID]]</f>
        <v>8.2.2</v>
      </c>
      <c r="B95" s="4" t="str">
        <f>Table15[[#This Row],[Section]]</f>
        <v>Co-Browsing</v>
      </c>
      <c r="C95" s="4" t="str">
        <f>Table15[[#This Row],[Sub-Section]]</f>
        <v>Banner</v>
      </c>
      <c r="D95" s="16" t="str">
        <f>Table15[[#This Row],[Title]]</f>
        <v>Banner title is enclosed in an &lt;h1&gt; tag.</v>
      </c>
      <c r="E95" s="80" t="str">
        <f>IF(Table15[[#This Row],[Description]]&lt;&gt;0,Table15[[#This Row],[Description]],"No entry")</f>
        <v>No entry</v>
      </c>
      <c r="F95" s="81" t="str">
        <f>IF((Table15[[#This Row],[Mobile 
Web]]="yes"),"yes","no")</f>
        <v>yes</v>
      </c>
      <c r="G95" s="79" t="str">
        <f>IF((Table15[[#This Row],[Mobile 
Web]]="yes"),"","n/a")</f>
        <v/>
      </c>
      <c r="H95" s="14"/>
    </row>
    <row r="96" spans="1:9" ht="43.5" hidden="1" x14ac:dyDescent="0.35">
      <c r="A96" s="2" t="str">
        <f>Table15[[#This Row],[ID]]</f>
        <v>8.2.3</v>
      </c>
      <c r="B96" s="4" t="str">
        <f>Table15[[#This Row],[Section]]</f>
        <v>Co-Browsing</v>
      </c>
      <c r="C96" s="4" t="str">
        <f>Table15[[#This Row],[Sub-Section]]</f>
        <v>Banner</v>
      </c>
      <c r="D96" s="16" t="str">
        <f>Table15[[#This Row],[Title]]</f>
        <v>Chat restore button has initial focus when co-browse marquee appears.</v>
      </c>
      <c r="E96" s="80" t="str">
        <f>IF(Table15[[#This Row],[Description]]&lt;&gt;0,Table15[[#This Row],[Description]],"No entry")</f>
        <v>"Restore cht" or "end cobrowse" must have initial focus. Button must be read automatically without interference with the banner title announcement.</v>
      </c>
      <c r="F96" s="81" t="str">
        <f>IF((Table15[[#This Row],[Mobile 
Web]]="yes"),"yes","no")</f>
        <v>yes</v>
      </c>
      <c r="G96" s="79" t="str">
        <f>IF((Table15[[#This Row],[Mobile 
Web]]="yes"),"","n/a")</f>
        <v/>
      </c>
      <c r="H96" s="14"/>
    </row>
    <row r="97" spans="1:8" ht="43.5" hidden="1" x14ac:dyDescent="0.35">
      <c r="A97" s="2" t="str">
        <f>Table15[[#This Row],[ID]]</f>
        <v>8.2.4</v>
      </c>
      <c r="B97" s="4" t="str">
        <f>Table15[[#This Row],[Section]]</f>
        <v>Co-Browsing</v>
      </c>
      <c r="C97" s="4" t="str">
        <f>Table15[[#This Row],[Sub-Section]]</f>
        <v>Banner</v>
      </c>
      <c r="D97" s="16" t="str">
        <f>Table15[[#This Row],[Title]]</f>
        <v>Cobrowse banner buttons have access keys</v>
      </c>
      <c r="E97" s="80" t="str">
        <f>IF(Table15[[#This Row],[Description]]&lt;&gt;0,Table15[[#This Row],[Description]],"No entry")</f>
        <v>Use accesskey="R" on the restore chat button. Use accesskey="X" on the combined "close co-browse" and chat session button.</v>
      </c>
      <c r="F97" s="81" t="str">
        <f>IF((Table15[[#This Row],[Mobile 
Web]]="yes"),"yes","no")</f>
        <v>yes</v>
      </c>
      <c r="G97" s="79" t="str">
        <f>IF((Table15[[#This Row],[Mobile 
Web]]="yes"),"","n/a")</f>
        <v/>
      </c>
      <c r="H97" s="14"/>
    </row>
    <row r="98" spans="1:8" ht="58" hidden="1" x14ac:dyDescent="0.35">
      <c r="A98" s="2" t="str">
        <f>Table15[[#This Row],[ID]]</f>
        <v>8.2.5</v>
      </c>
      <c r="B98" s="4" t="str">
        <f>Table15[[#This Row],[Section]]</f>
        <v>Co-Browsing</v>
      </c>
      <c r="C98" s="4" t="str">
        <f>Table15[[#This Row],[Sub-Section]]</f>
        <v>Banner</v>
      </c>
      <c r="D98" s="16" t="str">
        <f>Table15[[#This Row],[Title]]</f>
        <v>When an agent message is received during a co-browse session, the message is announce automatically.</v>
      </c>
      <c r="E98" s="80" t="str">
        <f>IF(Table15[[#This Row],[Description]]&lt;&gt;0,Table15[[#This Row],[Description]],"No entry")</f>
        <v>Use ARIA-live="polite".</v>
      </c>
      <c r="F98" s="81" t="str">
        <f>IF((Table15[[#This Row],[Mobile 
Web]]="yes"),"yes","no")</f>
        <v>yes</v>
      </c>
      <c r="G98" s="79" t="str">
        <f>IF((Table15[[#This Row],[Mobile 
Web]]="yes"),"","n/a")</f>
        <v/>
      </c>
      <c r="H98" s="14"/>
    </row>
    <row r="99" spans="1:8" ht="58" hidden="1" x14ac:dyDescent="0.35">
      <c r="A99" s="2" t="str">
        <f>Table15[[#This Row],[ID]]</f>
        <v>8.2.6</v>
      </c>
      <c r="B99" s="4" t="str">
        <f>Table15[[#This Row],[Section]]</f>
        <v>Co-Browsing</v>
      </c>
      <c r="C99" s="4" t="str">
        <f>Table15[[#This Row],[Sub-Section]]</f>
        <v>Banner</v>
      </c>
      <c r="D99" s="16" t="str">
        <f>Table15[[#This Row],[Title]]</f>
        <v>The latest message received in cobrowse is navigable by the screen reader</v>
      </c>
      <c r="E99" s="80" t="str">
        <f>IF(Table15[[#This Row],[Description]]&lt;&gt;0,Table15[[#This Row],[Description]],"No entry")</f>
        <v>It may be posted invisibly  to the banner via CSS. Screen readers will still perceive it. Message is navigable, and spoken automatically when received, and respects state of "chime" button</v>
      </c>
      <c r="F99" s="81" t="str">
        <f>IF((Table15[[#This Row],[Mobile 
Web]]="yes"),"yes","no")</f>
        <v>yes</v>
      </c>
      <c r="G99" s="79" t="str">
        <f>IF((Table15[[#This Row],[Mobile 
Web]]="yes"),"","n/a")</f>
        <v/>
      </c>
      <c r="H99" s="14"/>
    </row>
    <row r="100" spans="1:8" ht="43.5" hidden="1" x14ac:dyDescent="0.35">
      <c r="A100" s="2" t="str">
        <f>Table15[[#This Row],[ID]]</f>
        <v>8.3.1</v>
      </c>
      <c r="B100" s="4" t="str">
        <f>Table15[[#This Row],[Section]]</f>
        <v>Co-Browsing</v>
      </c>
      <c r="C100" s="4" t="str">
        <f>Table15[[#This Row],[Sub-Section]]</f>
        <v>Highlighting</v>
      </c>
      <c r="D100" s="16" t="str">
        <f>Table15[[#This Row],[Title]]</f>
        <v>Co-browse highlighting is spoken automatically.</v>
      </c>
      <c r="E100" s="80" t="str">
        <f>IF(Table15[[#This Row],[Description]]&lt;&gt;0,Table15[[#This Row],[Description]],"No entry")</f>
        <v>On each span delimiting a highlight area, specify ARIA-Live = polite or role="alert". Do not use ARIA-live="assertive", because it might fail.</v>
      </c>
      <c r="F100" s="81" t="str">
        <f>IF((Table15[[#This Row],[Mobile 
Web]]="yes"),"yes","no")</f>
        <v>yes</v>
      </c>
      <c r="G100" s="79" t="str">
        <f>IF((Table15[[#This Row],[Mobile 
Web]]="yes"),"","n/a")</f>
        <v/>
      </c>
      <c r="H100" s="14"/>
    </row>
    <row r="101" spans="1:8" ht="87" hidden="1" x14ac:dyDescent="0.35">
      <c r="A101" s="2" t="str">
        <f>Table15[[#This Row],[ID]]</f>
        <v>8.3.2</v>
      </c>
      <c r="B101" s="4" t="str">
        <f>Table15[[#This Row],[Section]]</f>
        <v>Co-Browsing</v>
      </c>
      <c r="C101" s="4" t="str">
        <f>Table15[[#This Row],[Sub-Section]]</f>
        <v>Highlighting</v>
      </c>
      <c r="D101" s="16" t="str">
        <f>Table15[[#This Row],[Title]]</f>
        <v>Color of the co-browse highlight is announced automatically.</v>
      </c>
      <c r="E101" s="80" t="str">
        <f>IF(Table15[[#This Row],[Description]]&lt;&gt;0,Table15[[#This Row],[Description]],"No entry")</f>
        <v>Specify a unique ARIA-label attribute on each span containing highlighted text, in the form: aria-label="{some_color}". Note that }some_color} is replacement text... Use what ever color name you are using for the highlight(s)... E.g. "lemon yellow", "fuxia", or "aqua green".</v>
      </c>
      <c r="F101" s="81" t="str">
        <f>IF((Table15[[#This Row],[Mobile 
Web]]="yes"),"yes","no")</f>
        <v>yes</v>
      </c>
      <c r="G101" s="79" t="str">
        <f>IF((Table15[[#This Row],[Mobile 
Web]]="yes"),"","n/a")</f>
        <v/>
      </c>
      <c r="H101" s="14"/>
    </row>
    <row r="102" spans="1:8" ht="116" hidden="1" x14ac:dyDescent="0.35">
      <c r="A102" s="2" t="str">
        <f>Table15[[#This Row],[ID]]</f>
        <v>8.3.3</v>
      </c>
      <c r="B102" s="4" t="str">
        <f>Table15[[#This Row],[Section]]</f>
        <v>Co-Browsing</v>
      </c>
      <c r="C102" s="4" t="str">
        <f>Table15[[#This Row],[Sub-Section]]</f>
        <v>Highlighting</v>
      </c>
      <c r="D102" s="16" t="str">
        <f>Table15[[#This Row],[Title]]</f>
        <v>Co-browse highlighted areas support landmark navigation</v>
      </c>
      <c r="E102" s="80" t="str">
        <f>IF(Table15[[#This Row],[Description]]&lt;&gt;0,Table15[[#This Row],[Description]],"No entry")</f>
        <v xml:space="preserve">on each  span surrounding highlighted regions, specify role="complementary" to establish landmark navigability by screen readers, and aria-label="{some_color}" which will announce the color of the highlight to be announced. Note that }some_color} is replacement text... Use what ever color name you are using for the highlight(s)... E.g. "lemon yellow", "fuxia", or "aqua green". by screen readers. </v>
      </c>
      <c r="F102" s="81" t="str">
        <f>IF((Table15[[#This Row],[Mobile 
Web]]="yes"),"yes","no")</f>
        <v>yes</v>
      </c>
      <c r="G102" s="79" t="str">
        <f>IF((Table15[[#This Row],[Mobile 
Web]]="yes"),"","n/a")</f>
        <v/>
      </c>
      <c r="H102" s="14"/>
    </row>
    <row r="103" spans="1:8" ht="58" hidden="1" x14ac:dyDescent="0.35">
      <c r="A103" s="2" t="str">
        <f>Table15[[#This Row],[ID]]</f>
        <v>9.1.1</v>
      </c>
      <c r="B103" s="4" t="str">
        <f>Table15[[#This Row],[Section]]</f>
        <v>National Language Support</v>
      </c>
      <c r="C103" s="4" t="str">
        <f>Table15[[#This Row],[Sub-Section]]</f>
        <v>General Requirements</v>
      </c>
      <c r="D103" s="16" t="str">
        <f>Table15[[#This Row],[Title]]</f>
        <v>Primary chat language is supported globally.</v>
      </c>
      <c r="E103" s="80" t="str">
        <f>IF(Table15[[#This Row],[Description]]&lt;&gt;0,Table15[[#This Row],[Description]],"No entry")</f>
        <v xml:space="preserve">The primary language of the chat environment is declared with an appropriate lang attribute assignment on the outmost container tag of each chat component.
</v>
      </c>
      <c r="F103" s="81" t="str">
        <f>IF((Table15[[#This Row],[Mobile 
Web]]="yes"),"yes","no")</f>
        <v>yes</v>
      </c>
      <c r="G103" s="79" t="str">
        <f>IF((Table15[[#This Row],[Mobile 
Web]]="yes"),"","n/a")</f>
        <v/>
      </c>
      <c r="H103" s="14"/>
    </row>
    <row r="104" spans="1:8" ht="72.5" hidden="1" x14ac:dyDescent="0.35">
      <c r="A104" s="2" t="str">
        <f>Table15[[#This Row],[ID]]</f>
        <v xml:space="preserve"> 9.1.2</v>
      </c>
      <c r="B104" s="4" t="str">
        <f>Table15[[#This Row],[Section]]</f>
        <v>National Language Support</v>
      </c>
      <c r="C104" s="4" t="str">
        <f>Table15[[#This Row],[Sub-Section]]</f>
        <v>General Requirements</v>
      </c>
      <c r="D104" s="16" t="str">
        <f>Table15[[#This Row],[Title]]</f>
        <v>Ensure that all text, and all literal string assignments for attributes are written/translated in the national language of the chat.</v>
      </c>
      <c r="E10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104" s="81" t="str">
        <f>IF((Table15[[#This Row],[Mobile 
Web]]="yes"),"yes","no")</f>
        <v>yes</v>
      </c>
      <c r="G104" s="79" t="str">
        <f>IF((Table15[[#This Row],[Mobile 
Web]]="yes"),"","n/a")</f>
        <v/>
      </c>
      <c r="H104" s="14"/>
    </row>
    <row r="105" spans="1:8" ht="72.5" hidden="1" x14ac:dyDescent="0.35">
      <c r="A105" s="2" t="str">
        <f>Table15[[#This Row],[ID]]</f>
        <v>9.1.3</v>
      </c>
      <c r="B105" s="4" t="str">
        <f>Table15[[#This Row],[Section]]</f>
        <v>National Language Support</v>
      </c>
      <c r="C105" s="4" t="str">
        <f>Table15[[#This Row],[Sub-Section]]</f>
        <v>General Requirements</v>
      </c>
      <c r="D105" s="16" t="str">
        <f>Table15[[#This Row],[Title]]</f>
        <v>In imported widgets, ensure that all text, and all literal string assignments for attributes are written/translated in the national language of the chat.</v>
      </c>
      <c r="E105"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105" s="81" t="str">
        <f>IF((Table15[[#This Row],[Mobile 
Web]]="yes"),"yes","no")</f>
        <v>yes</v>
      </c>
      <c r="G105" s="79" t="str">
        <f>IF((Table15[[#This Row],[Mobile 
Web]]="yes"),"","n/a")</f>
        <v/>
      </c>
      <c r="H105" s="14"/>
    </row>
    <row r="106" spans="1:8" ht="29" hidden="1" x14ac:dyDescent="0.35">
      <c r="A106" s="2" t="str">
        <f>Table15[[#This Row],[ID]]</f>
        <v>11.0.0</v>
      </c>
      <c r="B106" s="4" t="str">
        <f>Table15[[#This Row],[Section]]</f>
        <v>Imported Widgets</v>
      </c>
      <c r="C106" s="4" t="str">
        <f>Table15[[#This Row],[Sub-Section]]</f>
        <v>Modal Taxonomy</v>
      </c>
      <c r="D106" s="16" t="str">
        <f>Table15[[#This Row],[Title]]</f>
        <v>Imported Widgets are Strict Modals</v>
      </c>
      <c r="E106" s="80" t="str">
        <f>IF(Table15[[#This Row],[Description]]&lt;&gt;0,Table15[[#This Row],[Description]],"No entry")</f>
        <v>See Modal Taxonomy tab</v>
      </c>
      <c r="F106" s="81" t="str">
        <f>IF((Table15[[#This Row],[Mobile 
Web]]="yes"),"yes","no")</f>
        <v>no</v>
      </c>
      <c r="G106" s="79" t="str">
        <f>IF((Table15[[#This Row],[Mobile 
Web]]="yes"),"","n/a")</f>
        <v>n/a</v>
      </c>
      <c r="H106" s="14"/>
    </row>
    <row r="107" spans="1:8" ht="29" hidden="1" x14ac:dyDescent="0.35">
      <c r="A107" s="2" t="str">
        <f>Table15[[#This Row],[ID]]</f>
        <v>11.1.1</v>
      </c>
      <c r="B107" s="4" t="str">
        <f>Table15[[#This Row],[Section]]</f>
        <v>Imported Widgets</v>
      </c>
      <c r="C107" s="4" t="str">
        <f>Table15[[#This Row],[Sub-Section]]</f>
        <v>General Requirements</v>
      </c>
      <c r="D107" s="16" t="str">
        <f>Table15[[#This Row],[Title]]</f>
        <v>Imported widgets are modalized</v>
      </c>
      <c r="E107" s="80" t="str">
        <f>IF(Table15[[#This Row],[Description]]&lt;&gt;0,Table15[[#This Row],[Description]],"No entry")</f>
        <v>Imported widgets are housed in strict modals. See detailed requirements in Modals section of ACASTT: UID 3.1.3.</v>
      </c>
      <c r="F107" s="81" t="str">
        <f>IF((Table15[[#This Row],[Mobile 
Web]]="yes"),"yes","no")</f>
        <v>yes</v>
      </c>
      <c r="G107" s="79" t="str">
        <f>IF((Table15[[#This Row],[Mobile 
Web]]="yes"),"","n/a")</f>
        <v/>
      </c>
      <c r="H107" s="14"/>
    </row>
    <row r="108" spans="1:8" ht="43.5" hidden="1" x14ac:dyDescent="0.35">
      <c r="A108" s="2" t="str">
        <f>Table15[[#This Row],[ID]]</f>
        <v>11.1.2</v>
      </c>
      <c r="B108" s="4" t="str">
        <f>Table15[[#This Row],[Section]]</f>
        <v>Imported Widgets</v>
      </c>
      <c r="C108" s="4" t="str">
        <f>Table15[[#This Row],[Sub-Section]]</f>
        <v>General Requirements</v>
      </c>
      <c r="D108" s="16" t="str">
        <f>Table15[[#This Row],[Title]]</f>
        <v>Forms inside widgets will conform to chat requirements for form elements.</v>
      </c>
      <c r="E108" s="80" t="str">
        <f>IF(Table15[[#This Row],[Description]]&lt;&gt;0,Table15[[#This Row],[Description]],"No entry")</f>
        <v>See detailed requirements in Forms section of ACASTT</v>
      </c>
      <c r="F108" s="81" t="str">
        <f>IF((Table15[[#This Row],[Mobile 
Web]]="yes"),"yes","no")</f>
        <v>yes</v>
      </c>
      <c r="G108" s="79" t="str">
        <f>IF((Table15[[#This Row],[Mobile 
Web]]="yes"),"","n/a")</f>
        <v/>
      </c>
      <c r="H108" s="14"/>
    </row>
    <row r="109" spans="1:8" ht="43.5" hidden="1" x14ac:dyDescent="0.35">
      <c r="A109" s="2" t="str">
        <f>Table15[[#This Row],[ID]]</f>
        <v>12.1.1</v>
      </c>
      <c r="B109" s="4" t="str">
        <f>Table15[[#This Row],[Section]]</f>
        <v>Chat Suppression</v>
      </c>
      <c r="C109" s="4" t="str">
        <f>Table15[[#This Row],[Sub-Section]]</f>
        <v>General Requirements</v>
      </c>
      <c r="D109" s="16" t="str">
        <f>Table15[[#This Row],[Title]]</f>
        <v>On suppressed pages, chat must not be percievable by any users, including screen reader users.</v>
      </c>
      <c r="E109" s="80" t="str">
        <f>IF(Table15[[#This Row],[Description]]&lt;&gt;0,Table15[[#This Row],[Description]],"No entry")</f>
        <v>If the chat POI is properly suppressed, the process will not yield any announcement of the chat POI.</v>
      </c>
      <c r="F109" s="81" t="str">
        <f>IF((Table15[[#This Row],[Mobile 
Web]]="yes"),"yes","no")</f>
        <v>yes</v>
      </c>
      <c r="G109" s="79" t="str">
        <f>IF((Table15[[#This Row],[Mobile 
Web]]="yes"),"","n/a")</f>
        <v/>
      </c>
      <c r="H109" s="14"/>
    </row>
  </sheetData>
  <conditionalFormatting sqref="A11:F11 A32:F33 A2:D10 A12:D31 F12:F31 A37:F37 A34:D36 F34:F36 F2:F10 A38:D84 F38:F84 E76:E84 A85:A109">
    <cfRule type="expression" dxfId="16428" priority="15">
      <formula>$F2="no"</formula>
    </cfRule>
  </conditionalFormatting>
  <conditionalFormatting sqref="E2:E4 E6:E10 E12:E16 E19:E31 E34:E36 E38:E57 E59:E69">
    <cfRule type="expression" dxfId="16427" priority="8">
      <formula>$F2="no"</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I109"/>
  <sheetViews>
    <sheetView workbookViewId="0">
      <selection activeCell="B120" sqref="B120"/>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6" customWidth="1"/>
    <col min="6" max="6" width="20.7265625" style="1" customWidth="1"/>
    <col min="7" max="8" width="30.7265625" style="14" customWidth="1"/>
    <col min="9" max="9" width="30.7265625" customWidth="1"/>
  </cols>
  <sheetData>
    <row r="1" spans="1:9" ht="45" customHeight="1" x14ac:dyDescent="0.35">
      <c r="A1" s="1" t="s">
        <v>4</v>
      </c>
      <c r="B1" s="1" t="s">
        <v>0</v>
      </c>
      <c r="C1" s="1" t="s">
        <v>13</v>
      </c>
      <c r="D1" s="16" t="s">
        <v>1</v>
      </c>
      <c r="E1" s="16" t="s">
        <v>82</v>
      </c>
      <c r="F1" s="1" t="s">
        <v>83</v>
      </c>
      <c r="G1" s="1" t="s">
        <v>96</v>
      </c>
      <c r="H1" s="1" t="s">
        <v>97</v>
      </c>
      <c r="I1" s="2" t="s">
        <v>79</v>
      </c>
    </row>
    <row r="2" spans="1:9" ht="43.5" hidden="1" x14ac:dyDescent="0.35">
      <c r="A2" s="2" t="str">
        <f>Table15[[#This Row],[ID]]</f>
        <v>1.1.2</v>
      </c>
      <c r="B2" s="1" t="str">
        <f>Table15[[#This Row],[Section]]</f>
        <v>Business Rules</v>
      </c>
      <c r="C2" s="1" t="str">
        <f>Table15[[#This Row],[Sub-Section]]</f>
        <v>General Requirements</v>
      </c>
      <c r="D2" s="16" t="str">
        <f>Table15[[#This Row],[Title]]</f>
        <v>If a proactive invocation is present, a reactive POI must also be available to the user.</v>
      </c>
      <c r="E2" s="16" t="str">
        <f>IF(Table15[[#This Row],[Description]]&lt;&gt;0,Table15[[#This Row],[Description]],"No entry")</f>
        <v>Avoid scenarios where keyboard only users do not have a chat option.</v>
      </c>
      <c r="F2" s="1" t="str">
        <f>IF((Table15[[#This Row],[Mobile 
Native 
App]]="yes"),"yes","no")</f>
        <v>yes</v>
      </c>
      <c r="G2" s="14" t="str">
        <f>IF((Table15[[#This Row],[Mobile 
Web]]="yes"),"","n/a")</f>
        <v/>
      </c>
      <c r="H2" s="14" t="str">
        <f>IF((Table15[[#This Row],[Mobile 
Web]]="yes"),"","n/a")</f>
        <v/>
      </c>
      <c r="I2" s="14" t="str">
        <f>IF((Table15[[#This Row],[Mobile 
Native 
App]]="yes"),"","n/a")</f>
        <v/>
      </c>
    </row>
    <row r="3" spans="1:9" ht="145" x14ac:dyDescent="0.35">
      <c r="A3" s="2" t="str">
        <f>Table15[[#This Row],[ID]]</f>
        <v>2.1.1</v>
      </c>
      <c r="B3" s="1" t="str">
        <f>Table15[[#This Row],[Section]]</f>
        <v>Points of Invocation</v>
      </c>
      <c r="C3" s="1" t="str">
        <f>Table15[[#This Row],[Sub-Section]]</f>
        <v>Reactive POI</v>
      </c>
      <c r="D3" s="16" t="str">
        <f>Table15[[#This Row],[Title]]</f>
        <v>Reactive POIs are in the tab order</v>
      </c>
      <c r="E3"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3" s="1" t="str">
        <f>IF((Table15[[#This Row],[Mobile 
Native 
App]]="yes"),"yes","no")</f>
        <v>yes</v>
      </c>
      <c r="G3" s="14" t="str">
        <f>IF((Table15[[#This Row],[Mobile 
Web]]="yes"),"","n/a")</f>
        <v/>
      </c>
      <c r="H3" s="14" t="str">
        <f>IF((Table15[[#This Row],[Mobile 
Web]]="yes"),"","n/a")</f>
        <v/>
      </c>
      <c r="I3" s="14" t="str">
        <f>IF((Table15[[#This Row],[Mobile 
Native 
App]]="yes"),"","n/a")</f>
        <v/>
      </c>
    </row>
    <row r="4" spans="1:9" ht="72.5" x14ac:dyDescent="0.35">
      <c r="A4" s="2" t="str">
        <f>Table15[[#This Row],[ID]]</f>
        <v>2.1.2</v>
      </c>
      <c r="B4" s="1" t="str">
        <f>Table15[[#This Row],[Section]]</f>
        <v>Points of Invocation</v>
      </c>
      <c r="C4" s="1" t="str">
        <f>Table15[[#This Row],[Sub-Section]]</f>
        <v>Reactive POI</v>
      </c>
      <c r="D4" s="16" t="str">
        <f>Table15[[#This Row],[Title]]</f>
        <v>Chat activation transfers focus automatically into the chat flow</v>
      </c>
      <c r="E4" s="16"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4" s="1" t="str">
        <f>IF((Table15[[#This Row],[Mobile 
Native 
App]]="yes"),"yes","no")</f>
        <v>yes</v>
      </c>
      <c r="G4" s="14" t="str">
        <f>IF((Table15[[#This Row],[Mobile 
Web]]="yes"),"","n/a")</f>
        <v/>
      </c>
      <c r="H4" s="14" t="str">
        <f>IF((Table15[[#This Row],[Mobile 
Web]]="yes"),"","n/a")</f>
        <v/>
      </c>
      <c r="I4" s="14" t="str">
        <f>IF((Table15[[#This Row],[Mobile 
Native 
App]]="yes"),"","n/a")</f>
        <v/>
      </c>
    </row>
    <row r="5" spans="1:9" ht="29" x14ac:dyDescent="0.35">
      <c r="A5" s="2" t="str">
        <f>Table15[[#This Row],[ID]]</f>
        <v>2.1.3</v>
      </c>
      <c r="B5" s="1" t="str">
        <f>Table15[[#This Row],[Section]]</f>
        <v>Points of Invocation</v>
      </c>
      <c r="C5" s="1" t="str">
        <f>Table15[[#This Row],[Sub-Section]]</f>
        <v>Chat Availability Status</v>
      </c>
      <c r="D5" s="16" t="str">
        <f>Table15[[#This Row],[Title]]</f>
        <v>Dynamic C2C POI status changes announced automatically</v>
      </c>
      <c r="E5" s="16" t="str">
        <f>IF(Table15[[#This Row],[Description]]&lt;&gt;0,Table15[[#This Row],[Description]],"No entry")</f>
        <v xml:space="preserve">When a chat POI changes status to available, the state will be announced automatically by the screen reader. </v>
      </c>
      <c r="F5" s="1" t="str">
        <f>IF((Table15[[#This Row],[Mobile 
Native 
App]]="yes"),"yes","no")</f>
        <v>yes</v>
      </c>
      <c r="G5" s="14" t="str">
        <f>IF((Table15[[#This Row],[Mobile 
Web]]="yes"),"","n/a")</f>
        <v/>
      </c>
      <c r="H5" s="14" t="str">
        <f>IF((Table15[[#This Row],[Mobile 
Web]]="yes"),"","n/a")</f>
        <v/>
      </c>
      <c r="I5" s="14" t="str">
        <f>IF((Table15[[#This Row],[Mobile 
Native 
App]]="yes"),"","n/a")</f>
        <v/>
      </c>
    </row>
    <row r="6" spans="1:9" ht="29" x14ac:dyDescent="0.35">
      <c r="A6" s="2" t="str">
        <f>Table15[[#This Row],[ID]]</f>
        <v>2.1.4</v>
      </c>
      <c r="B6" s="1" t="str">
        <f>Table15[[#This Row],[Section]]</f>
        <v>Points of Invocation</v>
      </c>
      <c r="C6" s="1" t="str">
        <f>Table15[[#This Row],[Sub-Section]]</f>
        <v>Chat Availability Status</v>
      </c>
      <c r="D6" s="16" t="str">
        <f>Table15[[#This Row],[Title]]</f>
        <v>Only visible POI components are perceivable by screen readers</v>
      </c>
      <c r="E6" s="16" t="str">
        <f>IF(Table15[[#This Row],[Description]]&lt;&gt;0,Table15[[#This Row],[Description]],"No entry")</f>
        <v>If the POI is suppressed or otherwise becomes hidden, it must also not be perceivable by screen readers.</v>
      </c>
      <c r="F6" s="1" t="str">
        <f>IF((Table15[[#This Row],[Mobile 
Native 
App]]="yes"),"yes","no")</f>
        <v>yes</v>
      </c>
      <c r="G6" s="14" t="str">
        <f>IF((Table15[[#This Row],[Mobile 
Web]]="yes"),"","n/a")</f>
        <v/>
      </c>
      <c r="H6" s="14" t="str">
        <f>IF((Table15[[#This Row],[Mobile 
Web]]="yes"),"","n/a")</f>
        <v/>
      </c>
      <c r="I6" s="14" t="str">
        <f>IF((Table15[[#This Row],[Mobile 
Native 
App]]="yes"),"","n/a")</f>
        <v/>
      </c>
    </row>
    <row r="7" spans="1:9" ht="43.5" x14ac:dyDescent="0.35">
      <c r="A7" s="2" t="str">
        <f>Table15[[#This Row],[ID]]</f>
        <v>2.1.6</v>
      </c>
      <c r="B7" s="1" t="str">
        <f>Table15[[#This Row],[Section]]</f>
        <v>Points of Invocation</v>
      </c>
      <c r="C7" s="1" t="str">
        <f>Table15[[#This Row],[Sub-Section]]</f>
        <v>General Requirements</v>
      </c>
      <c r="D7" s="16" t="str">
        <f>Table15[[#This Row],[Title]]</f>
        <v>POIs must have a single focusable element.</v>
      </c>
      <c r="E7" s="16" t="str">
        <f>IF(Table15[[#This Row],[Description]]&lt;&gt;0,Table15[[#This Row],[Description]],"No entry")</f>
        <v>POI is either a button, or a link. Any ancillary elements such as surrounding div tags are not focusable with tabindex or other techniques.</v>
      </c>
      <c r="F7" s="1" t="str">
        <f>IF((Table15[[#This Row],[Mobile 
Native 
App]]="yes"),"yes","no")</f>
        <v>yes</v>
      </c>
      <c r="G7" s="14" t="str">
        <f>IF((Table15[[#This Row],[Mobile 
Web]]="yes"),"","n/a")</f>
        <v/>
      </c>
      <c r="H7" s="14" t="str">
        <f>IF((Table15[[#This Row],[Mobile 
Web]]="yes"),"","n/a")</f>
        <v/>
      </c>
      <c r="I7" s="14" t="str">
        <f>IF((Table15[[#This Row],[Mobile 
Native 
App]]="yes"),"","n/a")</f>
        <v/>
      </c>
    </row>
    <row r="8" spans="1:9" ht="29" x14ac:dyDescent="0.35">
      <c r="A8" s="2" t="str">
        <f>Table15[[#This Row],[ID]]</f>
        <v>2.1.7</v>
      </c>
      <c r="B8" s="1" t="str">
        <f>Table15[[#This Row],[Section]]</f>
        <v>Points of Invocation</v>
      </c>
      <c r="C8" s="1" t="str">
        <f>Table15[[#This Row],[Sub-Section]]</f>
        <v>General Requirements</v>
      </c>
      <c r="D8" s="16" t="str">
        <f>Table15[[#This Row],[Title]]</f>
        <v>Reactive POIs have access key</v>
      </c>
      <c r="E8" s="16" t="str">
        <f>IF(Table15[[#This Row],[Description]]&lt;&gt;0,Table15[[#This Row],[Description]],"No entry")</f>
        <v>Attribute accesskey="1" is added to the focusable POI.</v>
      </c>
      <c r="F8" s="1" t="str">
        <f>IF((Table15[[#This Row],[Mobile 
Native 
App]]="yes"),"yes","no")</f>
        <v>no</v>
      </c>
      <c r="G8" s="14" t="str">
        <f>IF((Table15[[#This Row],[Mobile 
Web]]="yes"),"","n/a")</f>
        <v>n/a</v>
      </c>
      <c r="H8" s="14" t="str">
        <f>IF((Table15[[#This Row],[Mobile 
Web]]="yes"),"","n/a")</f>
        <v>n/a</v>
      </c>
      <c r="I8" s="14" t="str">
        <f>IF((Table15[[#This Row],[Mobile 
Native 
App]]="yes"),"","n/a")</f>
        <v>n/a</v>
      </c>
    </row>
    <row r="9" spans="1:9" ht="43.5" x14ac:dyDescent="0.35">
      <c r="A9" s="2" t="str">
        <f>Table15[[#This Row],[ID]]</f>
        <v>2.1.8</v>
      </c>
      <c r="B9" s="1" t="str">
        <f>Table15[[#This Row],[Section]]</f>
        <v>Points of Invocation</v>
      </c>
      <c r="C9" s="1" t="str">
        <f>Table15[[#This Row],[Sub-Section]]</f>
        <v>Chat Suppression</v>
      </c>
      <c r="D9" s="16" t="str">
        <f>Table15[[#This Row],[Title]]</f>
        <v>On suppressed pages, chat must not be percievable by users including screen reader users.</v>
      </c>
      <c r="E9" s="16" t="str">
        <f>IF(Table15[[#This Row],[Description]]&lt;&gt;0,Table15[[#This Row],[Description]],"No entry")</f>
        <v>If the chat POI is properly suppressed, the process will not yield any announcement of the chat POI.</v>
      </c>
      <c r="F9" s="1" t="str">
        <f>IF((Table15[[#This Row],[Mobile 
Native 
App]]="yes"),"yes","no")</f>
        <v>yes</v>
      </c>
      <c r="G9" s="14" t="str">
        <f>IF((Table15[[#This Row],[Mobile 
Web]]="yes"),"","n/a")</f>
        <v/>
      </c>
      <c r="H9" s="14" t="str">
        <f>IF((Table15[[#This Row],[Mobile 
Web]]="yes"),"","n/a")</f>
        <v/>
      </c>
      <c r="I9" s="14" t="str">
        <f>IF((Table15[[#This Row],[Mobile 
Native 
App]]="yes"),"","n/a")</f>
        <v/>
      </c>
    </row>
    <row r="10" spans="1:9" ht="29" hidden="1" x14ac:dyDescent="0.35">
      <c r="A10" s="2" t="str">
        <f>Table15[[#This Row],[ID]]</f>
        <v>3.1.0</v>
      </c>
      <c r="B10" s="1" t="str">
        <f>Table15[[#This Row],[Section]]</f>
        <v>Modals</v>
      </c>
      <c r="C10" s="1" t="str">
        <f>Table15[[#This Row],[Sub-Section]]</f>
        <v>Modal Taxonomy</v>
      </c>
      <c r="D10" s="16" t="str">
        <f>Table15[[#This Row],[Title]]</f>
        <v>Modals can be Strict, Relaxed, or Psudo-modals</v>
      </c>
      <c r="E10" s="16" t="str">
        <f>IF(Table15[[#This Row],[Description]]&lt;&gt;0,Table15[[#This Row],[Description]],"No entry")</f>
        <v>See navigation rules and restrictions in Modal Taxonomy tab</v>
      </c>
      <c r="F10" s="1" t="str">
        <f>IF((Table15[[#This Row],[Mobile 
Native 
App]]="yes"),"yes","no")</f>
        <v>no</v>
      </c>
      <c r="G10" s="14" t="str">
        <f>IF((Table15[[#This Row],[Mobile 
Web]]="yes"),"","n/a")</f>
        <v>n/a</v>
      </c>
      <c r="H10" s="14" t="str">
        <f>IF((Table15[[#This Row],[Mobile 
Web]]="yes"),"","n/a")</f>
        <v>n/a</v>
      </c>
      <c r="I10" s="14" t="str">
        <f>IF((Table15[[#This Row],[Mobile 
Native 
App]]="yes"),"","n/a")</f>
        <v>n/a</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Native 
App]]="yes"),"yes","no")</f>
        <v>yes</v>
      </c>
      <c r="G11" s="14" t="str">
        <f>IF((Table15[[#This Row],[Mobile 
Web]]="yes"),"","n/a")</f>
        <v/>
      </c>
      <c r="H11" s="14" t="str">
        <f>IF((Table15[[#This Row],[Mobile 
Web]]="yes"),"","n/a")</f>
        <v/>
      </c>
      <c r="I11" s="14" t="str">
        <f>IF((Table15[[#This Row],[Mobile 
Native 
App]]="yes"),"","n/a")</f>
        <v/>
      </c>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strict modals.</v>
      </c>
      <c r="E12" s="16" t="str">
        <f>IF(Table15[[#This Row],[Description]]&lt;&gt;0,Table15[[#This Row],[Description]],"No entry")</f>
        <v>With some exceptions, like minimized chat panels, and co-browse banners, child windows are strict modals. In other words, they restrict focus to themselves when they are active, and enforce circular navigation.
* Desktop:  Tabbing to browser chrome is not permitted.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Native 
App]]="yes"),"yes","no")</f>
        <v>yes</v>
      </c>
      <c r="G12" s="14" t="str">
        <f>IF((Table15[[#This Row],[Mobile 
Web]]="yes"),"","n/a")</f>
        <v/>
      </c>
      <c r="H12" s="14" t="str">
        <f>IF((Table15[[#This Row],[Mobile 
Web]]="yes"),"","n/a")</f>
        <v/>
      </c>
      <c r="I12" s="14" t="str">
        <f>IF((Table15[[#This Row],[Mobile 
Native 
App]]="yes"),"","n/a")</f>
        <v/>
      </c>
    </row>
    <row r="13" spans="1:9" ht="145" hidden="1" x14ac:dyDescent="0.35">
      <c r="A13" s="2" t="str">
        <f>Table15[[#This Row],[ID]]</f>
        <v>3.1.3</v>
      </c>
      <c r="B13" s="1" t="str">
        <f>Table15[[#This Row],[Section]]</f>
        <v>Modals</v>
      </c>
      <c r="C13" s="1" t="str">
        <f>Table15[[#This Row],[Sub-Section]]</f>
        <v>General Requirements</v>
      </c>
      <c r="D13" s="16" t="str">
        <f>Table15[[#This Row],[Title]]</f>
        <v>Secondary child windows (modals) are strict modals</v>
      </c>
      <c r="E13" s="16" t="str">
        <f>IF(Table15[[#This Row],[Description]]&lt;&gt;0,Table15[[#This Row],[Description]],"No entry")</f>
        <v>Secondary windows such as email transcript do not allow access and navigation outside their boundaries.
This applies to certain modals spawned by, and stacked on top of other modals. For example:
• Email transcript submission form.
• Pushed forms inside chat panel that do not require messages to be exchanged before submission/completion.
• Backup nodes spawned by Touch Guides. For example: “You have reached us after business hours”.</v>
      </c>
      <c r="F13" s="1" t="str">
        <f>IF((Table15[[#This Row],[Mobile 
Native 
App]]="yes"),"yes","no")</f>
        <v>yes</v>
      </c>
      <c r="G13" s="14" t="str">
        <f>IF((Table15[[#This Row],[Mobile 
Web]]="yes"),"","n/a")</f>
        <v/>
      </c>
      <c r="H13" s="14" t="str">
        <f>IF((Table15[[#This Row],[Mobile 
Web]]="yes"),"","n/a")</f>
        <v/>
      </c>
      <c r="I13" s="14" t="str">
        <f>IF((Table15[[#This Row],[Mobile 
Native 
App]]="yes"),"","n/a")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Native 
App]]="yes"),"yes","no")</f>
        <v>yes</v>
      </c>
      <c r="G14" s="14" t="str">
        <f>IF((Table15[[#This Row],[Mobile 
Web]]="yes"),"","n/a")</f>
        <v/>
      </c>
      <c r="H14" s="14" t="str">
        <f>IF((Table15[[#This Row],[Mobile 
Web]]="yes"),"","n/a")</f>
        <v/>
      </c>
      <c r="I14" s="14" t="str">
        <f>IF((Table15[[#This Row],[Mobile 
Native 
App]]="yes"),"","n/a")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Native 
App]]="yes"),"yes","no")</f>
        <v>yes</v>
      </c>
      <c r="G15" s="14" t="str">
        <f>IF((Table15[[#This Row],[Mobile 
Web]]="yes"),"","n/a")</f>
        <v/>
      </c>
      <c r="H15" s="14" t="str">
        <f>IF((Table15[[#This Row],[Mobile 
Web]]="yes"),"","n/a")</f>
        <v/>
      </c>
      <c r="I15" s="14" t="str">
        <f>IF((Table15[[#This Row],[Mobile 
Native 
App]]="yes"),"","n/a")</f>
        <v/>
      </c>
    </row>
    <row r="16" spans="1:9" ht="58" hidden="1" x14ac:dyDescent="0.35">
      <c r="A16" s="2" t="str">
        <f>Table15[[#This Row],[ID]]</f>
        <v>3.1.6</v>
      </c>
      <c r="B16" s="1" t="str">
        <f>Table15[[#This Row],[Section]]</f>
        <v>Modals</v>
      </c>
      <c r="C16" s="1" t="str">
        <f>Table15[[#This Row],[Sub-Section]]</f>
        <v>General Requirements</v>
      </c>
      <c r="D16" s="16" t="str">
        <f>Table15[[#This Row],[Title]]</f>
        <v>Upon modal spawning, modal title, prompts, and initial focused control are read automatically in the given order.</v>
      </c>
      <c r="E16" s="16" t="str">
        <f>IF(Table15[[#This Row],[Description]]&lt;&gt;0,Table15[[#This Row],[Description]],"No entry")</f>
        <v>When a modal is spawned, the screen reader announces: (1) modal title, (2) modal prompt, (3) control having initial focus. Automatic announcements must occur in the order A, B, C.</v>
      </c>
      <c r="F16" s="1" t="str">
        <f>IF((Table15[[#This Row],[Mobile 
Native 
App]]="yes"),"yes","no")</f>
        <v>yes</v>
      </c>
      <c r="G16" s="14" t="str">
        <f>IF((Table15[[#This Row],[Mobile 
Web]]="yes"),"","n/a")</f>
        <v/>
      </c>
      <c r="H16" s="14" t="str">
        <f>IF((Table15[[#This Row],[Mobile 
Web]]="yes"),"","n/a")</f>
        <v/>
      </c>
      <c r="I16" s="14" t="str">
        <f>IF((Table15[[#This Row],[Mobile 
Native 
App]]="yes"),"","n/a")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6" t="str">
        <f>IF(Table15[[#This Row],[Description]]&lt;&gt;0,Table15[[#This Row],[Description]],"No entry")</f>
        <v>Modals must have at least one button or a link, and such control must have initial focus on modal spawning.</v>
      </c>
      <c r="F17" s="1" t="str">
        <f>IF((Table15[[#This Row],[Mobile 
Native 
App]]="yes"),"yes","no")</f>
        <v>yes</v>
      </c>
      <c r="G17" s="14" t="str">
        <f>IF((Table15[[#This Row],[Mobile 
Web]]="yes"),"","n/a")</f>
        <v/>
      </c>
      <c r="H17" s="14" t="str">
        <f>IF((Table15[[#This Row],[Mobile 
Web]]="yes"),"","n/a")</f>
        <v/>
      </c>
      <c r="I17" s="14" t="str">
        <f>IF((Table15[[#This Row],[Mobile 
Native 
App]]="yes"),"","n/a")</f>
        <v/>
      </c>
    </row>
    <row r="18" spans="1:9" ht="29" hidden="1" x14ac:dyDescent="0.35">
      <c r="A18" s="2" t="str">
        <f>Table15[[#This Row],[ID]]</f>
        <v>4.1.0</v>
      </c>
      <c r="B18" s="1" t="str">
        <f>Table15[[#This Row],[Section]]</f>
        <v>Touch Guides (TG / Routing Guides)</v>
      </c>
      <c r="C18" s="1" t="str">
        <f>Table15[[#This Row],[Sub-Section]]</f>
        <v>Modal Taxonomy</v>
      </c>
      <c r="D18" s="16" t="str">
        <f>Table15[[#This Row],[Title]]</f>
        <v>TouchGuides are Strict Modals</v>
      </c>
      <c r="E18" s="16" t="str">
        <f>IF(Table15[[#This Row],[Description]]&lt;&gt;0,Table15[[#This Row],[Description]],"No entry")</f>
        <v>See Modal Taxonomy tab</v>
      </c>
      <c r="F18" s="1" t="str">
        <f>IF((Table15[[#This Row],[Mobile 
Native 
App]]="yes"),"yes","no")</f>
        <v>no</v>
      </c>
      <c r="G18" s="14" t="str">
        <f>IF((Table15[[#This Row],[Mobile 
Web]]="yes"),"","n/a")</f>
        <v>n/a</v>
      </c>
      <c r="H18" s="14" t="str">
        <f>IF((Table15[[#This Row],[Mobile 
Web]]="yes"),"","n/a")</f>
        <v>n/a</v>
      </c>
      <c r="I18" s="14" t="str">
        <f>IF((Table15[[#This Row],[Mobile 
Native 
App]]="yes"),"","n/a")</f>
        <v>n/a</v>
      </c>
    </row>
    <row r="19" spans="1:9" ht="116" hidden="1" x14ac:dyDescent="0.35">
      <c r="A19" s="2" t="str">
        <f>Table15[[#This Row],[ID]]</f>
        <v xml:space="preserve"> 4.1.1</v>
      </c>
      <c r="B19" s="1" t="str">
        <f>Table15[[#This Row],[Section]]</f>
        <v>Touch Guides (TG / Routing Guides)</v>
      </c>
      <c r="C19" s="1" t="str">
        <f>Table15[[#This Row],[Sub-Section]]</f>
        <v>General Requirements</v>
      </c>
      <c r="D19" s="16" t="str">
        <f>Table15[[#This Row],[Title]]</f>
        <v>Only operable elements are in tab order</v>
      </c>
      <c r="E19" s="16"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9" s="1" t="str">
        <f>IF((Table15[[#This Row],[Mobile 
Native 
App]]="yes"),"yes","no")</f>
        <v>yes</v>
      </c>
      <c r="G19" s="14" t="str">
        <f>IF((Table15[[#This Row],[Mobile 
Web]]="yes"),"","n/a")</f>
        <v/>
      </c>
      <c r="H19" s="14" t="str">
        <f>IF((Table15[[#This Row],[Mobile 
Web]]="yes"),"","n/a")</f>
        <v/>
      </c>
      <c r="I19" s="14" t="str">
        <f>IF((Table15[[#This Row],[Mobile 
Native 
App]]="yes"),"","n/a")</f>
        <v/>
      </c>
    </row>
    <row r="20" spans="1:9" ht="58" hidden="1" x14ac:dyDescent="0.35">
      <c r="A20" s="2" t="str">
        <f>Table15[[#This Row],[ID]]</f>
        <v>4.1.2</v>
      </c>
      <c r="B20" s="1" t="str">
        <f>Table15[[#This Row],[Section]]</f>
        <v>Touch Guides (TG / Routing Guides)</v>
      </c>
      <c r="C20" s="1" t="str">
        <f>Table15[[#This Row],[Sub-Section]]</f>
        <v>General Requirements</v>
      </c>
      <c r="D20" s="16" t="str">
        <f>Table15[[#This Row],[Title]]</f>
        <v>Operable elements in TG are activatable via keyboard and accessible gestures</v>
      </c>
      <c r="E20" s="16" t="str">
        <f>IF(Table15[[#This Row],[Description]]&lt;&gt;0,Table15[[#This Row],[Description]],"No entry")</f>
        <v>Operable elements in a TG can be activated via enter-key as well as space-bar. On accessible touchscreen environments, operable elements can be activated with screen reader compatible gestures.</v>
      </c>
      <c r="F20" s="1" t="str">
        <f>IF((Table15[[#This Row],[Mobile 
Native 
App]]="yes"),"yes","no")</f>
        <v>yes</v>
      </c>
      <c r="G20" s="14" t="str">
        <f>IF((Table15[[#This Row],[Mobile 
Web]]="yes"),"","n/a")</f>
        <v/>
      </c>
      <c r="H20" s="14" t="str">
        <f>IF((Table15[[#This Row],[Mobile 
Web]]="yes"),"","n/a")</f>
        <v/>
      </c>
      <c r="I20" s="14" t="str">
        <f>IF((Table15[[#This Row],[Mobile 
Native 
App]]="yes"),"","n/a")</f>
        <v/>
      </c>
    </row>
    <row r="21" spans="1:9" ht="72.5" hidden="1" x14ac:dyDescent="0.35">
      <c r="A21" s="2" t="str">
        <f>Table15[[#This Row],[ID]]</f>
        <v>4.1.3</v>
      </c>
      <c r="B21" s="1" t="str">
        <f>Table15[[#This Row],[Section]]</f>
        <v>Touch Guides (TG / Routing Guides)</v>
      </c>
      <c r="C21" s="1" t="str">
        <f>Table15[[#This Row],[Sub-Section]]</f>
        <v>General Requirements</v>
      </c>
      <c r="D21" s="16" t="str">
        <f>Table15[[#This Row],[Title]]</f>
        <v xml:space="preserve">Spawning Touch Guide moves focus to first menu item </v>
      </c>
      <c r="E21" s="16" t="str">
        <f>IF(Table15[[#This Row],[Description]]&lt;&gt;0,Table15[[#This Row],[Description]],"No entry")</f>
        <v>When a TG panel containing a menu is spawned, focus is moved automatically to the first menu item in the TG panel. Please note that a "back" button, or other similar non topic-specific button is not deemed to be a menu item, and as such must not have initial focus.</v>
      </c>
      <c r="F21" s="1" t="str">
        <f>IF((Table15[[#This Row],[Mobile 
Native 
App]]="yes"),"yes","no")</f>
        <v>yes</v>
      </c>
      <c r="G21" s="14" t="str">
        <f>IF((Table15[[#This Row],[Mobile 
Web]]="yes"),"","n/a")</f>
        <v/>
      </c>
      <c r="H21" s="14" t="str">
        <f>IF((Table15[[#This Row],[Mobile 
Web]]="yes"),"","n/a")</f>
        <v/>
      </c>
      <c r="I21" s="14" t="str">
        <f>IF((Table15[[#This Row],[Mobile 
Native 
App]]="yes"),"","n/a")</f>
        <v/>
      </c>
    </row>
    <row r="22" spans="1:9" ht="58" hidden="1" x14ac:dyDescent="0.35">
      <c r="A22" s="2" t="str">
        <f>Table15[[#This Row],[ID]]</f>
        <v>4.1.4</v>
      </c>
      <c r="B22" s="1" t="str">
        <f>Table15[[#This Row],[Section]]</f>
        <v>Touch Guides (TG / Routing Guides)</v>
      </c>
      <c r="C22" s="1" t="str">
        <f>Table15[[#This Row],[Sub-Section]]</f>
        <v>General Requirements</v>
      </c>
      <c r="D22" s="16" t="str">
        <f>Table15[[#This Row],[Title]]</f>
        <v>Upon TG spawning, TG title, prompts, and initial focused menu item are read automatically in the given order.</v>
      </c>
      <c r="E22" s="16" t="str">
        <f>IF(Table15[[#This Row],[Description]]&lt;&gt;0,Table15[[#This Row],[Description]],"No entry")</f>
        <v>When a TG is spawned, the screen reader announces: (1) TG title, (2) TG prompt, (3) menu item having initial focus. Automatic announcements must occur in the order A, B, C.</v>
      </c>
      <c r="F22" s="1" t="str">
        <f>IF((Table15[[#This Row],[Mobile 
Native 
App]]="yes"),"yes","no")</f>
        <v>yes</v>
      </c>
      <c r="G22" s="14" t="str">
        <f>IF((Table15[[#This Row],[Mobile 
Web]]="yes"),"","n/a")</f>
        <v/>
      </c>
      <c r="H22" s="14" t="str">
        <f>IF((Table15[[#This Row],[Mobile 
Web]]="yes"),"","n/a")</f>
        <v/>
      </c>
      <c r="I22" s="14" t="str">
        <f>IF((Table15[[#This Row],[Mobile 
Native 
App]]="yes"),"","n/a")</f>
        <v/>
      </c>
    </row>
    <row r="23" spans="1:9" ht="43.5" hidden="1" x14ac:dyDescent="0.35">
      <c r="A23" s="2" t="str">
        <f>Table15[[#This Row],[ID]]</f>
        <v>4.1.5</v>
      </c>
      <c r="B23" s="1" t="str">
        <f>Table15[[#This Row],[Section]]</f>
        <v>Touch Guides (TG / Routing Guides)</v>
      </c>
      <c r="C23" s="1" t="str">
        <f>Table15[[#This Row],[Sub-Section]]</f>
        <v>General Requirements</v>
      </c>
      <c r="D23" s="16" t="str">
        <f>Table15[[#This Row],[Title]]</f>
        <v>In active items with tooltips, the tooltip is spoken after item is announced.</v>
      </c>
      <c r="E23" s="16" t="str">
        <f>IF(Table15[[#This Row],[Description]]&lt;&gt;0,Table15[[#This Row],[Description]],"No entry")</f>
        <v>TG items do not necessarily need tooltips or tooltip-like features, but if they have them, the tooltips will be spoken after the item.</v>
      </c>
      <c r="F23" s="1" t="str">
        <f>IF((Table15[[#This Row],[Mobile 
Native 
App]]="yes"),"yes","no")</f>
        <v>yes</v>
      </c>
      <c r="G23" s="14" t="str">
        <f>IF((Table15[[#This Row],[Mobile 
Web]]="yes"),"","n/a")</f>
        <v/>
      </c>
      <c r="H23" s="14" t="str">
        <f>IF((Table15[[#This Row],[Mobile 
Web]]="yes"),"","n/a")</f>
        <v/>
      </c>
      <c r="I23" s="14" t="str">
        <f>IF((Table15[[#This Row],[Mobile 
Native 
App]]="yes"),"","n/a")</f>
        <v/>
      </c>
    </row>
    <row r="24" spans="1:9" ht="43.5" hidden="1" x14ac:dyDescent="0.35">
      <c r="A24" s="2" t="str">
        <f>Table15[[#This Row],[ID]]</f>
        <v>4.1.6</v>
      </c>
      <c r="B24" s="1" t="str">
        <f>Table15[[#This Row],[Section]]</f>
        <v>Touch Guides (TG / Routing Guides)</v>
      </c>
      <c r="C24" s="1" t="str">
        <f>Table15[[#This Row],[Sub-Section]]</f>
        <v>General Requirements</v>
      </c>
      <c r="D24" s="16" t="str">
        <f>Table15[[#This Row],[Title]]</f>
        <v>Icons matching TG item titles have alt="" text</v>
      </c>
      <c r="E24" s="16" t="str">
        <f>IF(Table15[[#This Row],[Description]]&lt;&gt;0,Table15[[#This Row],[Description]],"No entry")</f>
        <v>If TG items feature a textual title as well as an icon, the icon is assigned a null alt (alt="") text in order to avoid duplicate verbalization by screen readers.</v>
      </c>
      <c r="F24" s="1" t="str">
        <f>IF((Table15[[#This Row],[Mobile 
Native 
App]]="yes"),"yes","no")</f>
        <v>yes</v>
      </c>
      <c r="G24" s="14" t="str">
        <f>IF((Table15[[#This Row],[Mobile 
Web]]="yes"),"","n/a")</f>
        <v/>
      </c>
      <c r="H24" s="14" t="str">
        <f>IF((Table15[[#This Row],[Mobile 
Web]]="yes"),"","n/a")</f>
        <v/>
      </c>
      <c r="I24" s="14" t="str">
        <f>IF((Table15[[#This Row],[Mobile 
Native 
App]]="yes"),"","n/a")</f>
        <v/>
      </c>
    </row>
    <row r="25" spans="1:9" ht="87" hidden="1" x14ac:dyDescent="0.35">
      <c r="A25" s="2" t="str">
        <f>Table15[[#This Row],[ID]]</f>
        <v>4.1.7</v>
      </c>
      <c r="B25" s="1" t="str">
        <f>Table15[[#This Row],[Section]]</f>
        <v>Touch Guides (TG / Routing Guides)</v>
      </c>
      <c r="C25" s="1" t="str">
        <f>Table15[[#This Row],[Sub-Section]]</f>
        <v>General Requirements</v>
      </c>
      <c r="D25" s="16" t="str">
        <f>Table15[[#This Row],[Title]]</f>
        <v>TouchGuide (Routing Guide) items with icons are focused and operable as a single object.</v>
      </c>
      <c r="E25"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5" s="1" t="str">
        <f>IF((Table15[[#This Row],[Mobile 
Native 
App]]="yes"),"yes","no")</f>
        <v>yes</v>
      </c>
      <c r="G25" s="14" t="str">
        <f>IF((Table15[[#This Row],[Mobile 
Web]]="yes"),"","n/a")</f>
        <v/>
      </c>
      <c r="H25" s="14" t="str">
        <f>IF((Table15[[#This Row],[Mobile 
Web]]="yes"),"","n/a")</f>
        <v/>
      </c>
      <c r="I25" s="14" t="str">
        <f>IF((Table15[[#This Row],[Mobile 
Native 
App]]="yes"),"","n/a")</f>
        <v/>
      </c>
    </row>
    <row r="26" spans="1:9" hidden="1" x14ac:dyDescent="0.35">
      <c r="A26" s="2" t="str">
        <f>Table15[[#This Row],[ID]]</f>
        <v>4.2.0</v>
      </c>
      <c r="B26" s="1" t="str">
        <f>Table15[[#This Row],[Section]]</f>
        <v>Backup Modals</v>
      </c>
      <c r="C26" s="1" t="str">
        <f>Table15[[#This Row],[Sub-Section]]</f>
        <v>Modal Taxonomy</v>
      </c>
      <c r="D26" s="16" t="str">
        <f>Table15[[#This Row],[Title]]</f>
        <v>Backup nodes are Strict Modals</v>
      </c>
      <c r="E26" s="16" t="str">
        <f>IF(Table15[[#This Row],[Description]]&lt;&gt;0,Table15[[#This Row],[Description]],"No entry")</f>
        <v>see Modal Taxonomy tab</v>
      </c>
      <c r="F26" s="1" t="str">
        <f>IF((Table15[[#This Row],[Mobile 
Native 
App]]="yes"),"yes","no")</f>
        <v>no</v>
      </c>
      <c r="G26" s="14" t="str">
        <f>IF((Table15[[#This Row],[Mobile 
Web]]="yes"),"","n/a")</f>
        <v>n/a</v>
      </c>
      <c r="H26" s="14" t="str">
        <f>IF((Table15[[#This Row],[Mobile 
Web]]="yes"),"","n/a")</f>
        <v>n/a</v>
      </c>
      <c r="I26" s="14" t="str">
        <f>IF((Table15[[#This Row],[Mobile 
Native 
App]]="yes"),"","n/a")</f>
        <v>n/a</v>
      </c>
    </row>
    <row r="27" spans="1:9" ht="43.5" hidden="1" x14ac:dyDescent="0.35">
      <c r="A27" s="2" t="str">
        <f>Table15[[#This Row],[ID]]</f>
        <v>4.2.1</v>
      </c>
      <c r="B27" s="1" t="str">
        <f>Table15[[#This Row],[Section]]</f>
        <v>Backup Modals</v>
      </c>
      <c r="C27" s="1" t="str">
        <f>Table15[[#This Row],[Sub-Section]]</f>
        <v>General Requirements</v>
      </c>
      <c r="D27" s="16" t="str">
        <f>Table15[[#This Row],[Title]]</f>
        <v>Backup nodes have prompt and default button.</v>
      </c>
      <c r="E27" s="16" t="str">
        <f>IF(Table15[[#This Row],[Description]]&lt;&gt;0,Table15[[#This Row],[Description]],"No entry")</f>
        <v xml:space="preserve">Backup nodes must contain both a prompt and a default call to action button. The default button is focused automatically when backup node is spawned. </v>
      </c>
      <c r="F27" s="1" t="str">
        <f>IF((Table15[[#This Row],[Mobile 
Native 
App]]="yes"),"yes","no")</f>
        <v>yes</v>
      </c>
      <c r="G27" s="14" t="str">
        <f>IF((Table15[[#This Row],[Mobile 
Web]]="yes"),"","n/a")</f>
        <v/>
      </c>
      <c r="H27" s="14" t="str">
        <f>IF((Table15[[#This Row],[Mobile 
Web]]="yes"),"","n/a")</f>
        <v/>
      </c>
      <c r="I27" s="14" t="str">
        <f>IF((Table15[[#This Row],[Mobile 
Native 
App]]="yes"),"","n/a")</f>
        <v/>
      </c>
    </row>
    <row r="28" spans="1:9" ht="43.5" hidden="1" x14ac:dyDescent="0.35">
      <c r="A28" s="2" t="str">
        <f>Table15[[#This Row],[ID]]</f>
        <v>4.2.2</v>
      </c>
      <c r="B28" s="1" t="str">
        <f>Table15[[#This Row],[Section]]</f>
        <v>Backup Modals</v>
      </c>
      <c r="C28" s="1" t="str">
        <f>Table15[[#This Row],[Sub-Section]]</f>
        <v>General Requirements</v>
      </c>
      <c r="D28" s="16" t="str">
        <f>Table15[[#This Row],[Title]]</f>
        <v>In backup nodes, prompt and default button are both verbalized upon node spawning.</v>
      </c>
      <c r="E28" s="16" t="str">
        <f>IF(Table15[[#This Row],[Description]]&lt;&gt;0,Table15[[#This Row],[Description]],"No entry")</f>
        <v>The prompt is spoken before the button. If focus is removed from default button, and then button is refocused, prompt is not repeated.</v>
      </c>
      <c r="F28" s="1" t="str">
        <f>IF((Table15[[#This Row],[Mobile 
Native 
App]]="yes"),"yes","no")</f>
        <v>yes</v>
      </c>
      <c r="G28" s="14" t="str">
        <f>IF((Table15[[#This Row],[Mobile 
Web]]="yes"),"","n/a")</f>
        <v/>
      </c>
      <c r="H28" s="14" t="str">
        <f>IF((Table15[[#This Row],[Mobile 
Web]]="yes"),"","n/a")</f>
        <v/>
      </c>
      <c r="I28" s="14" t="str">
        <f>IF((Table15[[#This Row],[Mobile 
Native 
App]]="yes"),"","n/a")</f>
        <v/>
      </c>
    </row>
    <row r="29" spans="1:9" ht="29" hidden="1" x14ac:dyDescent="0.35">
      <c r="A29" s="2" t="str">
        <f>Table15[[#This Row],[ID]]</f>
        <v>5.0.0</v>
      </c>
      <c r="B29" s="1" t="str">
        <f>Table15[[#This Row],[Section]]</f>
        <v>Surveys and Forms</v>
      </c>
      <c r="C29" s="1" t="str">
        <f>Table15[[#This Row],[Sub-Section]]</f>
        <v>Modal Taxonomy</v>
      </c>
      <c r="D29" s="16" t="str">
        <f>Table15[[#This Row],[Title]]</f>
        <v>Pre-chat and Post-chat surveys are contained in Relaxed Modals</v>
      </c>
      <c r="E29" s="16" t="str">
        <f>IF(Table15[[#This Row],[Description]]&lt;&gt;0,Table15[[#This Row],[Description]],"No entry")</f>
        <v>See Modal Taxonomy tab</v>
      </c>
      <c r="F29" s="1" t="str">
        <f>IF((Table15[[#This Row],[Mobile 
Native 
App]]="yes"),"yes","no")</f>
        <v>no</v>
      </c>
      <c r="G29" s="14" t="str">
        <f>IF((Table15[[#This Row],[Mobile 
Web]]="yes"),"","n/a")</f>
        <v>n/a</v>
      </c>
      <c r="H29" s="14" t="str">
        <f>IF((Table15[[#This Row],[Mobile 
Web]]="yes"),"","n/a")</f>
        <v>n/a</v>
      </c>
      <c r="I29" s="14" t="str">
        <f>IF((Table15[[#This Row],[Mobile 
Native 
App]]="yes"),"","n/a")</f>
        <v>n/a</v>
      </c>
    </row>
    <row r="30" spans="1:9" ht="72.5" hidden="1" x14ac:dyDescent="0.35">
      <c r="A30" s="2" t="str">
        <f>Table15[[#This Row],[ID]]</f>
        <v>5.1.1</v>
      </c>
      <c r="B30" s="1" t="str">
        <f>Table15[[#This Row],[Section]]</f>
        <v>Form Elements</v>
      </c>
      <c r="C30" s="1" t="str">
        <f>Table15[[#This Row],[Sub-Section]]</f>
        <v>General Requirements</v>
      </c>
      <c r="D30" s="16" t="str">
        <f>Table15[[#This Row],[Title]]</f>
        <v>Use drop-downs instead of radio buttons on Desktop Web.</v>
      </c>
      <c r="E30"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 and should be preferrebly implemented.</v>
      </c>
      <c r="F30" s="1" t="str">
        <f>IF((Table15[[#This Row],[Mobile 
Native 
App]]="yes"),"yes","no")</f>
        <v>no</v>
      </c>
      <c r="G30" s="14" t="str">
        <f>IF((Table15[[#This Row],[Mobile 
Web]]="yes"),"","n/a")</f>
        <v>n/a</v>
      </c>
      <c r="H30" s="14" t="str">
        <f>IF((Table15[[#This Row],[Mobile 
Web]]="yes"),"","n/a")</f>
        <v>n/a</v>
      </c>
      <c r="I30" s="14" t="str">
        <f>IF((Table15[[#This Row],[Mobile 
Native 
App]]="yes"),"","n/a")</f>
        <v>n/a</v>
      </c>
    </row>
    <row r="31" spans="1:9" ht="43.5" hidden="1" x14ac:dyDescent="0.35">
      <c r="A31" s="2" t="str">
        <f>Table15[[#This Row],[ID]]</f>
        <v>5.1.2</v>
      </c>
      <c r="B31" s="1" t="str">
        <f>Table15[[#This Row],[Section]]</f>
        <v>Form Elements</v>
      </c>
      <c r="C31" s="1" t="str">
        <f>Table15[[#This Row],[Sub-Section]]</f>
        <v>General Requirements</v>
      </c>
      <c r="D31" s="16" t="str">
        <f>Table15[[#This Row],[Title]]</f>
        <v>On form spawning, move focus to first control specific to topic</v>
      </c>
      <c r="E31" s="16" t="str">
        <f>IF(Table15[[#This Row],[Description]]&lt;&gt;0,Table15[[#This Row],[Description]],"No entry")</f>
        <v>When a form is spawned, move focus to the first topical form control that is specific to the subject or purpose of the form.</v>
      </c>
      <c r="F31" s="1" t="str">
        <f>IF((Table15[[#This Row],[Mobile 
Native 
App]]="yes"),"yes","no")</f>
        <v>yes</v>
      </c>
      <c r="G31" s="14" t="str">
        <f>IF((Table15[[#This Row],[Mobile 
Web]]="yes"),"","n/a")</f>
        <v/>
      </c>
      <c r="H31" s="14" t="str">
        <f>IF((Table15[[#This Row],[Mobile 
Web]]="yes"),"","n/a")</f>
        <v/>
      </c>
      <c r="I31" s="14" t="str">
        <f>IF((Table15[[#This Row],[Mobile 
Native 
App]]="yes"),"","n/a")</f>
        <v/>
      </c>
    </row>
    <row r="32" spans="1:9" ht="87" hidden="1" x14ac:dyDescent="0.35">
      <c r="A32" s="2" t="str">
        <f>Table15[[#This Row],[ID]]</f>
        <v>5.1.3</v>
      </c>
      <c r="B32" s="1" t="str">
        <f>Table15[[#This Row],[Section]]</f>
        <v>Form Elements</v>
      </c>
      <c r="C32" s="1" t="str">
        <f>Table15[[#This Row],[Sub-Section]]</f>
        <v>General Requirements</v>
      </c>
      <c r="D32" s="16" t="str">
        <f>Table15[[#This Row],[Title]]</f>
        <v>Break up extended, bound text into multiple spans.</v>
      </c>
      <c r="E32" s="16" t="str">
        <f>IF(Table15[[#This Row],[Description]]&lt;&gt;0,Table15[[#This Row],[Description]],"No entry")</f>
        <v>When a text element longer than 1024 characters is bound to another element with aria-describedby or aria-labelledby, the text needs to be distributed over two or more elements, so that screen readers read the text completely, lest truncation will occur at the 1024 character mark.</v>
      </c>
      <c r="F32" s="1" t="str">
        <f>IF((Table15[[#This Row],[Mobile 
Native 
App]]="yes"),"yes","no")</f>
        <v>no</v>
      </c>
      <c r="G32" s="14" t="str">
        <f>IF((Table15[[#This Row],[Mobile 
Web]]="yes"),"","n/a")</f>
        <v/>
      </c>
      <c r="H32" s="14" t="str">
        <f>IF((Table15[[#This Row],[Mobile 
Web]]="yes"),"","n/a")</f>
        <v/>
      </c>
      <c r="I32" s="14" t="str">
        <f>IF((Table15[[#This Row],[Mobile 
Native 
App]]="yes"),"","n/a")</f>
        <v>n/a</v>
      </c>
    </row>
    <row r="33" spans="1:9" ht="72.5" hidden="1" x14ac:dyDescent="0.35">
      <c r="A33" s="2" t="str">
        <f>Table15[[#This Row],[ID]]</f>
        <v>5.2.1</v>
      </c>
      <c r="B33" s="1" t="str">
        <f>Table15[[#This Row],[Section]]</f>
        <v>Form Elements</v>
      </c>
      <c r="C33" s="1" t="str">
        <f>Table15[[#This Row],[Sub-Section]]</f>
        <v>Control in error</v>
      </c>
      <c r="D33" s="16" t="str">
        <f>Table15[[#This Row],[Title]]</f>
        <v>Error messages must be meaningful and specific.</v>
      </c>
      <c r="E33"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3" s="1" t="str">
        <f>IF((Table15[[#This Row],[Mobile 
Native 
App]]="yes"),"yes","no")</f>
        <v>yes</v>
      </c>
      <c r="G33" s="14" t="str">
        <f>IF((Table15[[#This Row],[Mobile 
Web]]="yes"),"","n/a")</f>
        <v/>
      </c>
      <c r="H33" s="14" t="str">
        <f>IF((Table15[[#This Row],[Mobile 
Web]]="yes"),"","n/a")</f>
        <v/>
      </c>
      <c r="I33" s="14" t="str">
        <f>IF((Table15[[#This Row],[Mobile 
Native 
App]]="yes"),"","n/a")</f>
        <v/>
      </c>
    </row>
    <row r="34" spans="1:9" ht="43.5" hidden="1" x14ac:dyDescent="0.35">
      <c r="A34" s="2" t="str">
        <f>Table15[[#This Row],[ID]]</f>
        <v>5.2.2</v>
      </c>
      <c r="B34" s="1" t="str">
        <f>Table15[[#This Row],[Section]]</f>
        <v>Form Elements</v>
      </c>
      <c r="C34" s="1" t="str">
        <f>Table15[[#This Row],[Sub-Section]]</f>
        <v>Control in error</v>
      </c>
      <c r="D34" s="16" t="str">
        <f>Table15[[#This Row],[Title]]</f>
        <v>Error messages must be placed inline with the invalid field.</v>
      </c>
      <c r="E34" s="16" t="str">
        <f>IF(Table15[[#This Row],[Description]]&lt;&gt;0,Table15[[#This Row],[Description]],"No entry")</f>
        <v>Error messages are placed visually and programmatically just to the right of or below the invalid field in the underlying code for proper error association.</v>
      </c>
      <c r="F34" s="1" t="str">
        <f>IF((Table15[[#This Row],[Mobile 
Native 
App]]="yes"),"yes","no")</f>
        <v>yes</v>
      </c>
      <c r="G34" s="14" t="str">
        <f>IF((Table15[[#This Row],[Mobile 
Web]]="yes"),"","n/a")</f>
        <v/>
      </c>
      <c r="H34" s="14" t="str">
        <f>IF((Table15[[#This Row],[Mobile 
Web]]="yes"),"","n/a")</f>
        <v/>
      </c>
      <c r="I34" s="14" t="str">
        <f>IF((Table15[[#This Row],[Mobile 
Native 
App]]="yes"),"","n/a")</f>
        <v/>
      </c>
    </row>
    <row r="35" spans="1:9" ht="43.5" hidden="1" x14ac:dyDescent="0.35">
      <c r="A35" s="2" t="str">
        <f>Table15[[#This Row],[ID]]</f>
        <v>5.2.3</v>
      </c>
      <c r="B35" s="1" t="str">
        <f>Table15[[#This Row],[Section]]</f>
        <v>Form Elements</v>
      </c>
      <c r="C35" s="1" t="str">
        <f>Table15[[#This Row],[Sub-Section]]</f>
        <v>Control in error</v>
      </c>
      <c r="D35" s="16" t="str">
        <f>Table15[[#This Row],[Title]]</f>
        <v>On field focus, read error messages automatically after field announcement.</v>
      </c>
      <c r="E35" s="16" t="str">
        <f>IF(Table15[[#This Row],[Description]]&lt;&gt;0,Table15[[#This Row],[Description]],"No entry")</f>
        <v>Once the form control is read, the error associated with a control is read out by the screen reader or other assistive technology.</v>
      </c>
      <c r="F35" s="1" t="str">
        <f>IF((Table15[[#This Row],[Mobile 
Native 
App]]="yes"),"yes","no")</f>
        <v>yes</v>
      </c>
      <c r="G35" s="14" t="str">
        <f>IF((Table15[[#This Row],[Mobile 
Web]]="yes"),"","n/a")</f>
        <v/>
      </c>
      <c r="H35" s="14" t="str">
        <f>IF((Table15[[#This Row],[Mobile 
Web]]="yes"),"","n/a")</f>
        <v/>
      </c>
      <c r="I35" s="14" t="str">
        <f>IF((Table15[[#This Row],[Mobile 
Native 
App]]="yes"),"","n/a")</f>
        <v/>
      </c>
    </row>
    <row r="36" spans="1:9" ht="29" hidden="1" x14ac:dyDescent="0.35">
      <c r="A36" s="2" t="str">
        <f>Table15[[#This Row],[ID]]</f>
        <v>5.2.4</v>
      </c>
      <c r="B36" s="1" t="str">
        <f>Table15[[#This Row],[Section]]</f>
        <v>Form Elements</v>
      </c>
      <c r="C36" s="1" t="str">
        <f>Table15[[#This Row],[Sub-Section]]</f>
        <v>Control in error</v>
      </c>
      <c r="D36" s="16" t="str">
        <f>Table15[[#This Row],[Title]]</f>
        <v>Submitting with errors focuses first field in error</v>
      </c>
      <c r="E36" s="16" t="str">
        <f>IF(Table15[[#This Row],[Description]]&lt;&gt;0,Table15[[#This Row],[Description]],"No entry")</f>
        <v>When a form is submitted with errors, focus is moved to the first control in error, not to the first control in the form.</v>
      </c>
      <c r="F36" s="1" t="str">
        <f>IF((Table15[[#This Row],[Mobile 
Native 
App]]="yes"),"yes","no")</f>
        <v>yes</v>
      </c>
      <c r="G36" s="14" t="str">
        <f>IF((Table15[[#This Row],[Mobile 
Web]]="yes"),"","n/a")</f>
        <v/>
      </c>
      <c r="H36" s="14" t="str">
        <f>IF((Table15[[#This Row],[Mobile 
Web]]="yes"),"","n/a")</f>
        <v/>
      </c>
      <c r="I36" s="14" t="str">
        <f>IF((Table15[[#This Row],[Mobile 
Native 
App]]="yes"),"","n/a")</f>
        <v/>
      </c>
    </row>
    <row r="37" spans="1:9" ht="29" hidden="1" x14ac:dyDescent="0.35">
      <c r="A37" s="2" t="str">
        <f>Table15[[#This Row],[ID]]</f>
        <v>5.2.5</v>
      </c>
      <c r="B37" s="1" t="str">
        <f>Table15[[#This Row],[Section]]</f>
        <v>Form Elements</v>
      </c>
      <c r="C37" s="1" t="str">
        <f>Table15[[#This Row],[Sub-Section]]</f>
        <v>Control in error</v>
      </c>
      <c r="D37" s="16" t="str">
        <f>Table15[[#This Row],[Title]]</f>
        <v>No tab order deletion upon submission with errors</v>
      </c>
      <c r="E37" s="16" t="str">
        <f>IF(Table15[[#This Row],[Description]]&lt;&gt;0,Table15[[#This Row],[Description]],"No entry")</f>
        <v>Do not delete operable elements from the tab order when errors occur.</v>
      </c>
      <c r="F37" s="1" t="str">
        <f>IF((Table15[[#This Row],[Mobile 
Native 
App]]="yes"),"yes","no")</f>
        <v>yes</v>
      </c>
      <c r="G37" s="14" t="str">
        <f>IF((Table15[[#This Row],[Mobile 
Web]]="yes"),"","n/a")</f>
        <v/>
      </c>
      <c r="H37" s="14" t="str">
        <f>IF((Table15[[#This Row],[Mobile 
Web]]="yes"),"","n/a")</f>
        <v/>
      </c>
      <c r="I37" s="14" t="str">
        <f>IF((Table15[[#This Row],[Mobile 
Native 
App]]="yes"),"","n/a")</f>
        <v/>
      </c>
    </row>
    <row r="38" spans="1:9" ht="43.5" hidden="1" x14ac:dyDescent="0.35">
      <c r="A38" s="2" t="str">
        <f>Table15[[#This Row],[ID]]</f>
        <v>5.3.1</v>
      </c>
      <c r="B38" s="1" t="str">
        <f>Table15[[#This Row],[Section]]</f>
        <v>Form Elements</v>
      </c>
      <c r="C38" s="1" t="str">
        <f>Table15[[#This Row],[Sub-Section]]</f>
        <v>Required Fields</v>
      </c>
      <c r="D38" s="16" t="str">
        <f>Table15[[#This Row],[Title]]</f>
        <v>Identify required fields visually and programmatically.</v>
      </c>
      <c r="E38" s="16" t="str">
        <f>IF(Table15[[#This Row],[Description]]&lt;&gt;0,Table15[[#This Row],[Description]],"No entry")</f>
        <v xml:space="preserve">Identify required fields programmatically for screen readers and other assistive technology. Typical visual treatment is to provide an asterisk for required fields. </v>
      </c>
      <c r="F38" s="1" t="str">
        <f>IF((Table15[[#This Row],[Mobile 
Native 
App]]="yes"),"yes","no")</f>
        <v>yes</v>
      </c>
      <c r="G38" s="14" t="str">
        <f>IF((Table15[[#This Row],[Mobile 
Web]]="yes"),"","n/a")</f>
        <v/>
      </c>
      <c r="H38" s="14" t="str">
        <f>IF((Table15[[#This Row],[Mobile 
Web]]="yes"),"","n/a")</f>
        <v/>
      </c>
      <c r="I38" s="14" t="str">
        <f>IF((Table15[[#This Row],[Mobile 
Native 
App]]="yes"),"","n/a")</f>
        <v/>
      </c>
    </row>
    <row r="39" spans="1:9" ht="29" hidden="1" x14ac:dyDescent="0.35">
      <c r="A39" s="2" t="str">
        <f>Table15[[#This Row],[ID]]</f>
        <v>5.3.2</v>
      </c>
      <c r="B39" s="1" t="str">
        <f>Table15[[#This Row],[Section]]</f>
        <v>Form Elements</v>
      </c>
      <c r="C39" s="1" t="str">
        <f>Table15[[#This Row],[Sub-Section]]</f>
        <v>Required Fields</v>
      </c>
      <c r="D39" s="16" t="str">
        <f>Table15[[#This Row],[Title]]</f>
        <v>Check-boxes cannot be required controls.</v>
      </c>
      <c r="E39" s="16" t="str">
        <f>IF(Table15[[#This Row],[Description]]&lt;&gt;0,Table15[[#This Row],[Description]],"No entry")</f>
        <v>A check-box cannot be a required control, lest the user is mislead to believe that "checked" is the only allowed state.</v>
      </c>
      <c r="F39" s="1" t="str">
        <f>IF((Table15[[#This Row],[Mobile 
Native 
App]]="yes"),"yes","no")</f>
        <v>yes</v>
      </c>
      <c r="G39" s="14" t="str">
        <f>IF((Table15[[#This Row],[Mobile 
Web]]="yes"),"","n/a")</f>
        <v/>
      </c>
      <c r="H39" s="14" t="str">
        <f>IF((Table15[[#This Row],[Mobile 
Web]]="yes"),"","n/a")</f>
        <v/>
      </c>
      <c r="I39" s="14" t="str">
        <f>IF((Table15[[#This Row],[Mobile 
Native 
App]]="yes"),"","n/a")</f>
        <v/>
      </c>
    </row>
    <row r="40" spans="1:9" ht="29" hidden="1" x14ac:dyDescent="0.35">
      <c r="A40" s="2" t="str">
        <f>Table15[[#This Row],[ID]]</f>
        <v>5.3.3</v>
      </c>
      <c r="B40" s="1" t="str">
        <f>Table15[[#This Row],[Section]]</f>
        <v>Form Elements</v>
      </c>
      <c r="C40" s="1" t="str">
        <f>Table15[[#This Row],[Sub-Section]]</f>
        <v>Required Fields</v>
      </c>
      <c r="D40" s="16" t="str">
        <f>Table15[[#This Row],[Title]]</f>
        <v>Required drop down menus have deafault null option</v>
      </c>
      <c r="E40" s="16" t="str">
        <f>IF(Table15[[#This Row],[Description]]&lt;&gt;0,Table15[[#This Row],[Description]],"No entry")</f>
        <v>If a dropdown menu is a "required" control, the default option must be a null placeholder.</v>
      </c>
      <c r="F40" s="1" t="str">
        <f>IF((Table15[[#This Row],[Mobile 
Native 
App]]="yes"),"yes","no")</f>
        <v>yes</v>
      </c>
      <c r="G40" s="14" t="str">
        <f>IF((Table15[[#This Row],[Mobile 
Web]]="yes"),"","n/a")</f>
        <v/>
      </c>
      <c r="H40" s="14" t="str">
        <f>IF((Table15[[#This Row],[Mobile 
Web]]="yes"),"","n/a")</f>
        <v/>
      </c>
      <c r="I40" s="14" t="str">
        <f>IF((Table15[[#This Row],[Mobile 
Native 
App]]="yes"),"","n/a")</f>
        <v/>
      </c>
    </row>
    <row r="41" spans="1:9" ht="58" hidden="1" x14ac:dyDescent="0.35">
      <c r="A41" s="2" t="str">
        <f>Table15[[#This Row],[ID]]</f>
        <v>5.4.1</v>
      </c>
      <c r="B41" s="1" t="str">
        <f>Table15[[#This Row],[Section]]</f>
        <v>Form Elements</v>
      </c>
      <c r="C41" s="1" t="str">
        <f>Table15[[#This Row],[Sub-Section]]</f>
        <v>Dynamic Survey Logic</v>
      </c>
      <c r="D41" s="16" t="str">
        <f>Table15[[#This Row],[Title]]</f>
        <v>Dynamically generated form elements are automatically added to the tab order.</v>
      </c>
      <c r="E41" s="16" t="str">
        <f>IF(Table15[[#This Row],[Description]]&lt;&gt;0,Table15[[#This Row],[Description]],"No entry")</f>
        <v>The screen reader user must not be required to operate unique, contrived keystrokes to navigate to dynamically generated fields. Conversely, dynamically generated content behaves seemlessly, like any other content.</v>
      </c>
      <c r="F41" s="1" t="str">
        <f>IF((Table15[[#This Row],[Mobile 
Native 
App]]="yes"),"yes","no")</f>
        <v>yes</v>
      </c>
      <c r="G41" s="14" t="str">
        <f>IF((Table15[[#This Row],[Mobile 
Web]]="yes"),"","n/a")</f>
        <v/>
      </c>
      <c r="H41" s="14" t="str">
        <f>IF((Table15[[#This Row],[Mobile 
Web]]="yes"),"","n/a")</f>
        <v/>
      </c>
      <c r="I41" s="14" t="str">
        <f>IF((Table15[[#This Row],[Mobile 
Native 
App]]="yes"),"","n/a")</f>
        <v/>
      </c>
    </row>
    <row r="42" spans="1:9" ht="29" hidden="1" x14ac:dyDescent="0.35">
      <c r="A42" s="2" t="str">
        <f>Table15[[#This Row],[ID]]</f>
        <v>6.0.0</v>
      </c>
      <c r="B42" s="1" t="str">
        <f>Table15[[#This Row],[Section]]</f>
        <v>Chat Panels</v>
      </c>
      <c r="C42" s="1" t="str">
        <f>Table15[[#This Row],[Sub-Section]]</f>
        <v>Modal Taxonomy</v>
      </c>
      <c r="D42" s="16" t="str">
        <f>Table15[[#This Row],[Title]]</f>
        <v>The in-div chat panel is a relaxed modal</v>
      </c>
      <c r="E42" s="16" t="str">
        <f>IF(Table15[[#This Row],[Description]]&lt;&gt;0,Table15[[#This Row],[Description]],"No entry")</f>
        <v>See Modal Taxonomy tab</v>
      </c>
      <c r="F42" s="1" t="str">
        <f>IF((Table15[[#This Row],[Mobile 
Native 
App]]="yes"),"yes","no")</f>
        <v>no</v>
      </c>
      <c r="G42" s="14" t="str">
        <f>IF((Table15[[#This Row],[Mobile 
Web]]="yes"),"","n/a")</f>
        <v>n/a</v>
      </c>
      <c r="H42" s="14" t="str">
        <f>IF((Table15[[#This Row],[Mobile 
Web]]="yes"),"","n/a")</f>
        <v>n/a</v>
      </c>
      <c r="I42" s="14" t="str">
        <f>IF((Table15[[#This Row],[Mobile 
Native 
App]]="yes"),"","n/a")</f>
        <v>n/a</v>
      </c>
    </row>
    <row r="43" spans="1:9" ht="29" hidden="1" x14ac:dyDescent="0.35">
      <c r="A43" s="2" t="str">
        <f>Table15[[#This Row],[ID]]</f>
        <v>6.1.1</v>
      </c>
      <c r="B43" s="1" t="str">
        <f>Table15[[#This Row],[Section]]</f>
        <v>Chat Panels</v>
      </c>
      <c r="C43" s="1" t="str">
        <f>Table15[[#This Row],[Sub-Section]]</f>
        <v>General Requirements</v>
      </c>
      <c r="D43" s="16" t="str">
        <f>Table15[[#This Row],[Title]]</f>
        <v>Chat is dismissable via escape key.</v>
      </c>
      <c r="E43" s="16" t="str">
        <f>IF(Table15[[#This Row],[Description]]&lt;&gt;0,Table15[[#This Row],[Description]],"No entry")</f>
        <v>For desktop, chat panel and child windows are dismissable via escape key in the in-page modal window.</v>
      </c>
      <c r="F43" s="1" t="str">
        <f>IF((Table15[[#This Row],[Mobile 
Native 
App]]="yes"),"yes","no")</f>
        <v>no</v>
      </c>
      <c r="G43" s="14" t="str">
        <f>IF((Table15[[#This Row],[Mobile 
Web]]="yes"),"","n/a")</f>
        <v>n/a</v>
      </c>
      <c r="H43" s="14" t="str">
        <f>IF((Table15[[#This Row],[Mobile 
Web]]="yes"),"","n/a")</f>
        <v>n/a</v>
      </c>
      <c r="I43" s="14" t="str">
        <f>IF((Table15[[#This Row],[Mobile 
Native 
App]]="yes"),"","n/a")</f>
        <v>n/a</v>
      </c>
    </row>
    <row r="44" spans="1:9" ht="29" hidden="1" x14ac:dyDescent="0.35">
      <c r="A44" s="2" t="str">
        <f>Table15[[#This Row],[ID]]</f>
        <v>6.1.2</v>
      </c>
      <c r="B44" s="1" t="str">
        <f>Table15[[#This Row],[Section]]</f>
        <v>Chat Panels</v>
      </c>
      <c r="C44" s="1" t="str">
        <f>Table15[[#This Row],[Sub-Section]]</f>
        <v>General Requirements</v>
      </c>
      <c r="D44" s="16" t="str">
        <f>Table15[[#This Row],[Title]]</f>
        <v>Minimized chat panel cannot be dismissed with the escape key.</v>
      </c>
      <c r="E44" s="16" t="str">
        <f>IF(Table15[[#This Row],[Description]]&lt;&gt;0,Table15[[#This Row],[Description]],"No entry")</f>
        <v>When chat is in a minimized state, operating the escape key has no effect.</v>
      </c>
      <c r="F44" s="1" t="str">
        <f>IF((Table15[[#This Row],[Mobile 
Native 
App]]="yes"),"yes","no")</f>
        <v>no</v>
      </c>
      <c r="G44" s="14" t="str">
        <f>IF((Table15[[#This Row],[Mobile 
Web]]="yes"),"","n/a")</f>
        <v>n/a</v>
      </c>
      <c r="H44" s="14" t="str">
        <f>IF((Table15[[#This Row],[Mobile 
Web]]="yes"),"","n/a")</f>
        <v>n/a</v>
      </c>
      <c r="I44" s="14" t="str">
        <f>IF((Table15[[#This Row],[Mobile 
Native 
App]]="yes"),"","n/a")</f>
        <v>n/a</v>
      </c>
    </row>
    <row r="45" spans="1:9" ht="29" hidden="1" x14ac:dyDescent="0.35">
      <c r="A45" s="2" t="str">
        <f>Table15[[#This Row],[ID]]</f>
        <v>6.10.0</v>
      </c>
      <c r="B45" s="1" t="str">
        <f>Table15[[#This Row],[Section]]</f>
        <v>Chat Panels</v>
      </c>
      <c r="C45" s="1" t="str">
        <f>Table15[[#This Row],[Sub-Section]]</f>
        <v>Email Transcript</v>
      </c>
      <c r="D45" s="16" t="str">
        <f>Table15[[#This Row],[Title]]</f>
        <v>Modal Taxonomy - Email transcript is a Strict Modal</v>
      </c>
      <c r="E45" s="16" t="str">
        <f>IF(Table15[[#This Row],[Description]]&lt;&gt;0,Table15[[#This Row],[Description]],"No entry")</f>
        <v>See Modal Taxonomy tab</v>
      </c>
      <c r="F45" s="1" t="str">
        <f>IF((Table15[[#This Row],[Mobile 
Native 
App]]="yes"),"yes","no")</f>
        <v>no</v>
      </c>
      <c r="G45" s="14" t="str">
        <f>IF((Table15[[#This Row],[Mobile 
Web]]="yes"),"","n/a")</f>
        <v>n/a</v>
      </c>
      <c r="H45" s="14" t="str">
        <f>IF((Table15[[#This Row],[Mobile 
Web]]="yes"),"","n/a")</f>
        <v>n/a</v>
      </c>
      <c r="I45" s="14" t="str">
        <f>IF((Table15[[#This Row],[Mobile 
Native 
App]]="yes"),"","n/a")</f>
        <v>n/a</v>
      </c>
    </row>
    <row r="46" spans="1:9" ht="72.5" hidden="1" x14ac:dyDescent="0.35">
      <c r="A46" s="2" t="str">
        <f>Table15[[#This Row],[ID]]</f>
        <v>6.10.1</v>
      </c>
      <c r="B46" s="1" t="str">
        <f>Table15[[#This Row],[Section]]</f>
        <v>Chat Panels</v>
      </c>
      <c r="C46" s="1" t="str">
        <f>Table15[[#This Row],[Sub-Section]]</f>
        <v>Email Transcript</v>
      </c>
      <c r="D46" s="16" t="str">
        <f>Table15[[#This Row],[Title]]</f>
        <v>Upon modal activation, Focus moves to email transcript text entry field automatically</v>
      </c>
      <c r="E46" s="16" t="str">
        <f>IF(Table15[[#This Row],[Description]]&lt;&gt;0,Table15[[#This Row],[Description]],"No entry")</f>
        <v>When the “email transcript” button is operated, the request panel is opened as a stacked strict modal on top of the chat panel: focus is moved to the text input field, and the dialogue prompt is read automatically by the screen reader.</v>
      </c>
      <c r="F46" s="1" t="str">
        <f>IF((Table15[[#This Row],[Mobile 
Native 
App]]="yes"),"yes","no")</f>
        <v>yes</v>
      </c>
      <c r="G46" s="14" t="str">
        <f>IF((Table15[[#This Row],[Mobile 
Web]]="yes"),"","n/a")</f>
        <v/>
      </c>
      <c r="H46" s="14" t="str">
        <f>IF((Table15[[#This Row],[Mobile 
Web]]="yes"),"","n/a")</f>
        <v/>
      </c>
      <c r="I46" s="14" t="str">
        <f>IF((Table15[[#This Row],[Mobile 
Native 
App]]="yes"),"","n/a")</f>
        <v/>
      </c>
    </row>
    <row r="47" spans="1:9" ht="72.5" hidden="1" x14ac:dyDescent="0.35">
      <c r="A47" s="2" t="str">
        <f>Table15[[#This Row],[ID]]</f>
        <v>6.10.2</v>
      </c>
      <c r="B47" s="1" t="str">
        <f>Table15[[#This Row],[Section]]</f>
        <v>Chat Panels</v>
      </c>
      <c r="C47" s="1" t="str">
        <f>Table15[[#This Row],[Sub-Section]]</f>
        <v>Email Transcript</v>
      </c>
      <c r="D47" s="16" t="str">
        <f>Table15[[#This Row],[Title]]</f>
        <v xml:space="preserve">Email transcript modal is self-contained </v>
      </c>
      <c r="E47" s="16" t="str">
        <f>IF(Table15[[#This Row],[Description]]&lt;&gt;0,Table15[[#This Row],[Description]],"No entry")</f>
        <v>The email transcript modal is a strict modal: it enforces modal boundaries: up/down arrows do not exceed modal boundaries, and tab and shift-tab navigation results in circular navigation inside modal (desktop only). On mobile circular navigation is not required.</v>
      </c>
      <c r="F47" s="1" t="str">
        <f>IF((Table15[[#This Row],[Mobile 
Native 
App]]="yes"),"yes","no")</f>
        <v>no</v>
      </c>
      <c r="G47" s="14" t="str">
        <f>IF((Table15[[#This Row],[Mobile 
Web]]="yes"),"","n/a")</f>
        <v>n/a</v>
      </c>
      <c r="H47" s="14" t="str">
        <f>IF((Table15[[#This Row],[Mobile 
Web]]="yes"),"","n/a")</f>
        <v>n/a</v>
      </c>
      <c r="I47" s="14" t="str">
        <f>IF((Table15[[#This Row],[Mobile 
Native 
App]]="yes"),"","n/a")</f>
        <v>n/a</v>
      </c>
    </row>
    <row r="48" spans="1:9" ht="43.5" hidden="1" x14ac:dyDescent="0.35">
      <c r="A48" s="2" t="str">
        <f>Table15[[#This Row],[ID]]</f>
        <v>6.10.3</v>
      </c>
      <c r="B48" s="1" t="str">
        <f>Table15[[#This Row],[Section]]</f>
        <v>Chat Panels</v>
      </c>
      <c r="C48" s="1" t="str">
        <f>Table15[[#This Row],[Sub-Section]]</f>
        <v>Email Transcript</v>
      </c>
      <c r="D48" s="16" t="str">
        <f>Table15[[#This Row],[Title]]</f>
        <v>Email transcript can be dismissed with escape key, or with "Close" button.</v>
      </c>
      <c r="E48" s="16" t="str">
        <f>IF(Table15[[#This Row],[Description]]&lt;&gt;0,Table15[[#This Row],[Description]],"No entry")</f>
        <v>Note that "escape" key is applicable to desktop only</v>
      </c>
      <c r="F48" s="1" t="str">
        <f>IF((Table15[[#This Row],[Mobile 
Native 
App]]="yes"),"yes","no")</f>
        <v>no</v>
      </c>
      <c r="G48" s="14" t="str">
        <f>IF((Table15[[#This Row],[Mobile 
Web]]="yes"),"","n/a")</f>
        <v>n/a</v>
      </c>
      <c r="H48" s="14" t="str">
        <f>IF((Table15[[#This Row],[Mobile 
Web]]="yes"),"","n/a")</f>
        <v>n/a</v>
      </c>
      <c r="I48" s="14" t="str">
        <f>IF((Table15[[#This Row],[Mobile 
Native 
App]]="yes"),"","n/a")</f>
        <v>n/a</v>
      </c>
    </row>
    <row r="49" spans="1:9" ht="58" hidden="1" x14ac:dyDescent="0.35">
      <c r="A49" s="2" t="str">
        <f>Table15[[#This Row],[ID]]</f>
        <v>6.10.4</v>
      </c>
      <c r="B49" s="1" t="str">
        <f>Table15[[#This Row],[Section]]</f>
        <v>Chat Panels</v>
      </c>
      <c r="C49" s="1" t="str">
        <f>Table15[[#This Row],[Sub-Section]]</f>
        <v>Email Transcript</v>
      </c>
      <c r="D49" s="16" t="str">
        <f>Table15[[#This Row],[Title]]</f>
        <v>Dismissing email transcript modal does not close chat</v>
      </c>
      <c r="E49" s="16" t="str">
        <f>IF(Table15[[#This Row],[Description]]&lt;&gt;0,Table15[[#This Row],[Description]],"No entry")</f>
        <v>When the email transcript modal is dismissed, only the modal itself is dismissed, but the main chat panel persists. In other words, modal dismissal occurs stack-wise, only one level at a time.</v>
      </c>
      <c r="F49" s="1" t="str">
        <f>IF((Table15[[#This Row],[Mobile 
Native 
App]]="yes"),"yes","no")</f>
        <v>no</v>
      </c>
      <c r="G49" s="14" t="str">
        <f>IF((Table15[[#This Row],[Mobile 
Web]]="yes"),"","n/a")</f>
        <v>n/a</v>
      </c>
      <c r="H49" s="14" t="str">
        <f>IF((Table15[[#This Row],[Mobile 
Web]]="yes"),"","n/a")</f>
        <v>n/a</v>
      </c>
      <c r="I49" s="14" t="str">
        <f>IF((Table15[[#This Row],[Mobile 
Native 
App]]="yes"),"","n/a")</f>
        <v>n/a</v>
      </c>
    </row>
    <row r="50" spans="1:9" ht="43.5" hidden="1" x14ac:dyDescent="0.35">
      <c r="A50" s="2" t="str">
        <f>Table15[[#This Row],[ID]]</f>
        <v>6.10.5</v>
      </c>
      <c r="B50" s="1" t="str">
        <f>Table15[[#This Row],[Section]]</f>
        <v>Chat Panels</v>
      </c>
      <c r="C50" s="1" t="str">
        <f>Table15[[#This Row],[Sub-Section]]</f>
        <v>Email Transcript</v>
      </c>
      <c r="D50" s="16" t="str">
        <f>Table15[[#This Row],[Title]]</f>
        <v>Any error or success messages are visible and spoken automatically.</v>
      </c>
      <c r="E50" s="16" t="str">
        <f>IF(Table15[[#This Row],[Description]]&lt;&gt;0,Table15[[#This Row],[Description]],"No entry")</f>
        <v xml:space="preserve">Upon sending a transcript request, the resulting success or error message is displayed in a div within the transcript modal. </v>
      </c>
      <c r="F50" s="1" t="str">
        <f>IF((Table15[[#This Row],[Mobile 
Native 
App]]="yes"),"yes","no")</f>
        <v>yes</v>
      </c>
      <c r="G50" s="14" t="str">
        <f>IF((Table15[[#This Row],[Mobile 
Web]]="yes"),"","n/a")</f>
        <v/>
      </c>
      <c r="H50" s="14" t="str">
        <f>IF((Table15[[#This Row],[Mobile 
Web]]="yes"),"","n/a")</f>
        <v/>
      </c>
      <c r="I50" s="14" t="str">
        <f>IF((Table15[[#This Row],[Mobile 
Native 
App]]="yes"),"","n/a")</f>
        <v/>
      </c>
    </row>
    <row r="51" spans="1:9" ht="58" hidden="1" x14ac:dyDescent="0.35">
      <c r="A51" s="2" t="str">
        <f>Table15[[#This Row],[ID]]</f>
        <v>6.10.6</v>
      </c>
      <c r="B51" s="1" t="str">
        <f>Table15[[#This Row],[Section]]</f>
        <v>Chat Panels</v>
      </c>
      <c r="C51" s="1" t="str">
        <f>Table15[[#This Row],[Sub-Section]]</f>
        <v>Email Transcript</v>
      </c>
      <c r="D51" s="16" t="str">
        <f>Table15[[#This Row],[Title]]</f>
        <v>Upon successful transcript request, closing email transcript modal returns focus to chat text input field.</v>
      </c>
      <c r="E51" s="16" t="str">
        <f>IF(Table15[[#This Row],[Description]]&lt;&gt;0,Table15[[#This Row],[Description]],"No entry")</f>
        <v>When the email transcript modal is closed, after having received success confirmation, keyboard focus returns to the main text entry field of the chat.</v>
      </c>
      <c r="F51" s="1" t="str">
        <f>IF((Table15[[#This Row],[Mobile 
Native 
App]]="yes"),"yes","no")</f>
        <v>yes</v>
      </c>
      <c r="G51" s="14" t="str">
        <f>IF((Table15[[#This Row],[Mobile 
Web]]="yes"),"","n/a")</f>
        <v/>
      </c>
      <c r="H51" s="14" t="str">
        <f>IF((Table15[[#This Row],[Mobile 
Web]]="yes"),"","n/a")</f>
        <v/>
      </c>
      <c r="I51" s="14" t="str">
        <f>IF((Table15[[#This Row],[Mobile 
Native 
App]]="yes"),"","n/a")</f>
        <v/>
      </c>
    </row>
    <row r="52" spans="1:9" ht="58" hidden="1" x14ac:dyDescent="0.35">
      <c r="A52" s="2" t="str">
        <f>Table15[[#This Row],[ID]]</f>
        <v>6.10.7</v>
      </c>
      <c r="B52" s="1" t="str">
        <f>Table15[[#This Row],[Section]]</f>
        <v>Chat Panels</v>
      </c>
      <c r="C52" s="1" t="str">
        <f>Table15[[#This Row],[Sub-Section]]</f>
        <v>Email Transcript</v>
      </c>
      <c r="D52" s="16" t="str">
        <f>Table15[[#This Row],[Title]]</f>
        <v>Upon failed transcript request, closing email transcript modal returns focus to the "Email Transcript" invocation button.</v>
      </c>
      <c r="E52" s="16" t="str">
        <f>IF(Table15[[#This Row],[Description]]&lt;&gt;0,Table15[[#This Row],[Description]],"No entry")</f>
        <v>When the email transcript modal is closed, after having received a request failure error message, keyboard focus returns to the "Email transcript" invocation button.</v>
      </c>
      <c r="F52" s="1" t="str">
        <f>IF((Table15[[#This Row],[Mobile 
Native 
App]]="yes"),"yes","no")</f>
        <v>yes</v>
      </c>
      <c r="G52" s="14" t="str">
        <f>IF((Table15[[#This Row],[Mobile 
Web]]="yes"),"","n/a")</f>
        <v/>
      </c>
      <c r="H52" s="14" t="str">
        <f>IF((Table15[[#This Row],[Mobile 
Web]]="yes"),"","n/a")</f>
        <v/>
      </c>
      <c r="I52" s="14" t="str">
        <f>IF((Table15[[#This Row],[Mobile 
Native 
App]]="yes"),"","n/a")</f>
        <v/>
      </c>
    </row>
    <row r="53" spans="1:9" ht="58" hidden="1" x14ac:dyDescent="0.35">
      <c r="A53" s="2" t="str">
        <f>Table15[[#This Row],[ID]]</f>
        <v>6.10.8</v>
      </c>
      <c r="B53" s="1" t="str">
        <f>Table15[[#This Row],[Section]]</f>
        <v>Chat Panels</v>
      </c>
      <c r="C53" s="1" t="str">
        <f>Table15[[#This Row],[Sub-Section]]</f>
        <v>Email Transcript</v>
      </c>
      <c r="D53" s="16" t="str">
        <f>Table15[[#This Row],[Title]]</f>
        <v>Closing email transcript modal, without completing the request, returns focus to the "Email Transcript" invocation button.</v>
      </c>
      <c r="E53" s="16" t="str">
        <f>IF(Table15[[#This Row],[Description]]&lt;&gt;0,Table15[[#This Row],[Description]],"No entry")</f>
        <v>When the email transcript modal is closed, before a request is sent, keyboard focus returns to the "Email transcript" invocation button.</v>
      </c>
      <c r="F53" s="1" t="str">
        <f>IF((Table15[[#This Row],[Mobile 
Native 
App]]="yes"),"yes","no")</f>
        <v>yes</v>
      </c>
      <c r="G53" s="14" t="str">
        <f>IF((Table15[[#This Row],[Mobile 
Web]]="yes"),"","n/a")</f>
        <v/>
      </c>
      <c r="H53" s="14" t="str">
        <f>IF((Table15[[#This Row],[Mobile 
Web]]="yes"),"","n/a")</f>
        <v/>
      </c>
      <c r="I53" s="14" t="str">
        <f>IF((Table15[[#This Row],[Mobile 
Native 
App]]="yes"),"","n/a")</f>
        <v/>
      </c>
    </row>
    <row r="54" spans="1:9" ht="58" hidden="1" x14ac:dyDescent="0.35">
      <c r="A54" s="2" t="str">
        <f>Table15[[#This Row],[ID]]</f>
        <v>6.11.1</v>
      </c>
      <c r="B54" s="1" t="str">
        <f>Table15[[#This Row],[Section]]</f>
        <v>Chat Panels</v>
      </c>
      <c r="C54" s="1" t="str">
        <f>Table15[[#This Row],[Sub-Section]]</f>
        <v>Tab Order</v>
      </c>
      <c r="D54" s="16" t="str">
        <f>Table15[[#This Row],[Title]]</f>
        <v>Only operational elements are in the tab order</v>
      </c>
      <c r="E54"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54" s="1" t="str">
        <f>IF((Table15[[#This Row],[Mobile 
Native 
App]]="yes"),"yes","no")</f>
        <v>no</v>
      </c>
      <c r="G54" s="14" t="str">
        <f>IF((Table15[[#This Row],[Mobile 
Web]]="yes"),"","n/a")</f>
        <v>n/a</v>
      </c>
      <c r="H54" s="14" t="str">
        <f>IF((Table15[[#This Row],[Mobile 
Web]]="yes"),"","n/a")</f>
        <v>n/a</v>
      </c>
      <c r="I54" s="14" t="str">
        <f>IF((Table15[[#This Row],[Mobile 
Native 
App]]="yes"),"","n/a")</f>
        <v>n/a</v>
      </c>
    </row>
    <row r="55" spans="1:9" ht="72.5" hidden="1" x14ac:dyDescent="0.35">
      <c r="A55" s="2" t="str">
        <f>Table15[[#This Row],[ID]]</f>
        <v>6.11.2</v>
      </c>
      <c r="B55" s="1" t="str">
        <f>Table15[[#This Row],[Section]]</f>
        <v>Chat Panels</v>
      </c>
      <c r="C55" s="1" t="str">
        <f>Table15[[#This Row],[Sub-Section]]</f>
        <v>Tab Order</v>
      </c>
      <c r="D55" s="16" t="str">
        <f>Table15[[#This Row],[Title]]</f>
        <v>Avoid use of tabindex.</v>
      </c>
      <c r="E55"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55" s="1" t="str">
        <f>IF((Table15[[#This Row],[Mobile 
Native 
App]]="yes"),"yes","no")</f>
        <v>yes</v>
      </c>
      <c r="G55" s="14" t="str">
        <f>IF((Table15[[#This Row],[Mobile 
Web]]="yes"),"","n/a")</f>
        <v/>
      </c>
      <c r="H55" s="14" t="str">
        <f>IF((Table15[[#This Row],[Mobile 
Web]]="yes"),"","n/a")</f>
        <v/>
      </c>
      <c r="I55" s="14" t="str">
        <f>IF((Table15[[#This Row],[Mobile 
Native 
App]]="yes"),"","n/a")</f>
        <v/>
      </c>
    </row>
    <row r="56" spans="1:9" ht="29" hidden="1" x14ac:dyDescent="0.35">
      <c r="A56" s="2" t="str">
        <f>Table15[[#This Row],[ID]]</f>
        <v>6.12.0</v>
      </c>
      <c r="B56" s="1" t="str">
        <f>Table15[[#This Row],[Section]]</f>
        <v>Chat Panels</v>
      </c>
      <c r="C56" s="1" t="str">
        <f>Table15[[#This Row],[Sub-Section]]</f>
        <v>Sales Banners</v>
      </c>
      <c r="D56" s="16" t="str">
        <f>Table15[[#This Row],[Title]]</f>
        <v>Modal Taxonomy - Sales Banners are Strict Modals</v>
      </c>
      <c r="E56" s="16" t="str">
        <f>IF(Table15[[#This Row],[Description]]&lt;&gt;0,Table15[[#This Row],[Description]],"No entry")</f>
        <v>See Modal Taxonomy tab</v>
      </c>
      <c r="F56" s="1" t="str">
        <f>IF((Table15[[#This Row],[Mobile 
Native 
App]]="yes"),"yes","no")</f>
        <v>no</v>
      </c>
      <c r="G56" s="14" t="str">
        <f>IF((Table15[[#This Row],[Mobile 
Web]]="yes"),"","n/a")</f>
        <v>n/a</v>
      </c>
      <c r="H56" s="14" t="str">
        <f>IF((Table15[[#This Row],[Mobile 
Web]]="yes"),"","n/a")</f>
        <v>n/a</v>
      </c>
      <c r="I56" s="14" t="str">
        <f>IF((Table15[[#This Row],[Mobile 
Native 
App]]="yes"),"","n/a")</f>
        <v>n/a</v>
      </c>
    </row>
    <row r="57" spans="1:9" ht="29" hidden="1" x14ac:dyDescent="0.35">
      <c r="A57" s="2" t="str">
        <f>Table15[[#This Row],[ID]]</f>
        <v>6.12.1</v>
      </c>
      <c r="B57" s="1" t="str">
        <f>Table15[[#This Row],[Section]]</f>
        <v>Chat Panels</v>
      </c>
      <c r="C57" s="1" t="str">
        <f>Table15[[#This Row],[Sub-Section]]</f>
        <v>Sales Banners</v>
      </c>
      <c r="D57" s="16" t="str">
        <f>Table15[[#This Row],[Title]]</f>
        <v>Avoid images of text</v>
      </c>
      <c r="E57" s="16" t="str">
        <f>IF(Table15[[#This Row],[Description]]&lt;&gt;0,Table15[[#This Row],[Description]],"No entry")</f>
        <v>Any text displayed in chat must be live text so that it can be appropriately scaled and managed by the user.</v>
      </c>
      <c r="F57" s="1" t="str">
        <f>IF((Table15[[#This Row],[Mobile 
Native 
App]]="yes"),"yes","no")</f>
        <v>no</v>
      </c>
      <c r="G57" s="14" t="str">
        <f>IF((Table15[[#This Row],[Mobile 
Web]]="yes"),"","n/a")</f>
        <v>n/a</v>
      </c>
      <c r="H57" s="14" t="str">
        <f>IF((Table15[[#This Row],[Mobile 
Web]]="yes"),"","n/a")</f>
        <v>n/a</v>
      </c>
      <c r="I57" s="14" t="str">
        <f>IF((Table15[[#This Row],[Mobile 
Native 
App]]="yes"),"","n/a")</f>
        <v>n/a</v>
      </c>
    </row>
    <row r="58" spans="1:9" ht="29" hidden="1" x14ac:dyDescent="0.35">
      <c r="A58" s="2" t="str">
        <f>Table15[[#This Row],[ID]]</f>
        <v>6.12.2</v>
      </c>
      <c r="B58" s="1" t="str">
        <f>Table15[[#This Row],[Section]]</f>
        <v>Chat Panels</v>
      </c>
      <c r="C58" s="1" t="str">
        <f>Table15[[#This Row],[Sub-Section]]</f>
        <v>Sales Banners</v>
      </c>
      <c r="D58" s="16" t="str">
        <f>Table15[[#This Row],[Title]]</f>
        <v>Upon spawning a sales banner, focus moves to default button.</v>
      </c>
      <c r="E58" s="16" t="str">
        <f>IF(Table15[[#This Row],[Description]]&lt;&gt;0,Table15[[#This Row],[Description]],"No entry")</f>
        <v>When the sales banner opens, focus is placed on the default button or equivalent default operational element.</v>
      </c>
      <c r="F58" s="1" t="str">
        <f>IF((Table15[[#This Row],[Mobile 
Native 
App]]="yes"),"yes","no")</f>
        <v>yes</v>
      </c>
      <c r="G58" s="14" t="str">
        <f>IF((Table15[[#This Row],[Mobile 
Web]]="yes"),"","n/a")</f>
        <v/>
      </c>
      <c r="H58" s="14" t="str">
        <f>IF((Table15[[#This Row],[Mobile 
Web]]="yes"),"","n/a")</f>
        <v/>
      </c>
      <c r="I58" s="14" t="str">
        <f>IF((Table15[[#This Row],[Mobile 
Native 
App]]="yes"),"","n/a")</f>
        <v/>
      </c>
    </row>
    <row r="59" spans="1:9" ht="72.5" hidden="1" x14ac:dyDescent="0.35">
      <c r="A59" s="2" t="str">
        <f>Table15[[#This Row],[ID]]</f>
        <v>6.12.3</v>
      </c>
      <c r="B59" s="1" t="str">
        <f>Table15[[#This Row],[Section]]</f>
        <v>Chat Panels</v>
      </c>
      <c r="C59" s="1" t="str">
        <f>Table15[[#This Row],[Sub-Section]]</f>
        <v>Sales Banners</v>
      </c>
      <c r="D59" s="16" t="str">
        <f>Table15[[#This Row],[Title]]</f>
        <v>Upon spawning a sales banner, screen readers announce banner message and default button automatically.</v>
      </c>
      <c r="E59"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9" s="1" t="str">
        <f>IF((Table15[[#This Row],[Mobile 
Native 
App]]="yes"),"yes","no")</f>
        <v>yes</v>
      </c>
      <c r="G59" s="14" t="str">
        <f>IF((Table15[[#This Row],[Mobile 
Web]]="yes"),"","n/a")</f>
        <v/>
      </c>
      <c r="H59" s="14" t="str">
        <f>IF((Table15[[#This Row],[Mobile 
Web]]="yes"),"","n/a")</f>
        <v/>
      </c>
      <c r="I59" s="14" t="str">
        <f>IF((Table15[[#This Row],[Mobile 
Native 
App]]="yes"),"","n/a")</f>
        <v/>
      </c>
    </row>
    <row r="60" spans="1:9" ht="58" hidden="1" x14ac:dyDescent="0.35">
      <c r="A60" s="2" t="str">
        <f>Table15[[#This Row],[ID]]</f>
        <v>6.12.4</v>
      </c>
      <c r="B60" s="1" t="str">
        <f>Table15[[#This Row],[Section]]</f>
        <v>Chat Panels</v>
      </c>
      <c r="C60" s="1" t="str">
        <f>Table15[[#This Row],[Sub-Section]]</f>
        <v>Sales Banners</v>
      </c>
      <c r="D60" s="16" t="str">
        <f>Table15[[#This Row],[Title]]</f>
        <v>When offer details are displayed after operating a call to action button, screen readers announce them automatically.</v>
      </c>
      <c r="E60" s="16" t="str">
        <f>IF(Table15[[#This Row],[Description]]&lt;&gt;0,Table15[[#This Row],[Description]],"No entry")</f>
        <v>If the user requests more details within a banner, the resulting details are announced by assistive technology such as screen readers. See semantic binding requirement for main banner panel.</v>
      </c>
      <c r="F60" s="1" t="str">
        <f>IF((Table15[[#This Row],[Mobile 
Native 
App]]="yes"),"yes","no")</f>
        <v>yes</v>
      </c>
      <c r="G60" s="14" t="str">
        <f>IF((Table15[[#This Row],[Mobile 
Web]]="yes"),"","n/a")</f>
        <v/>
      </c>
      <c r="H60" s="14" t="str">
        <f>IF((Table15[[#This Row],[Mobile 
Web]]="yes"),"","n/a")</f>
        <v/>
      </c>
      <c r="I60" s="14" t="str">
        <f>IF((Table15[[#This Row],[Mobile 
Native 
App]]="yes"),"","n/a")</f>
        <v/>
      </c>
    </row>
    <row r="61" spans="1:9" ht="43.5" hidden="1" x14ac:dyDescent="0.35">
      <c r="A61" s="2" t="str">
        <f>Table15[[#This Row],[ID]]</f>
        <v>6.12.5</v>
      </c>
      <c r="B61" s="1" t="str">
        <f>Table15[[#This Row],[Section]]</f>
        <v>Chat Panels</v>
      </c>
      <c r="C61" s="1" t="str">
        <f>Table15[[#This Row],[Sub-Section]]</f>
        <v>Sales Banners</v>
      </c>
      <c r="D61" s="16" t="str">
        <f>Table15[[#This Row],[Title]]</f>
        <v>When sales banner is closed, move focus to chat text entry field.</v>
      </c>
      <c r="E61" s="16" t="str">
        <f>IF(Table15[[#This Row],[Description]]&lt;&gt;0,Table15[[#This Row],[Description]],"No entry")</f>
        <v>Modal dismissal button dismisses banner and moves focus to chat text entry field.</v>
      </c>
      <c r="F61" s="1" t="str">
        <f>IF((Table15[[#This Row],[Mobile 
Native 
App]]="yes"),"yes","no")</f>
        <v>yes</v>
      </c>
      <c r="G61" s="14" t="str">
        <f>IF((Table15[[#This Row],[Mobile 
Web]]="yes"),"","n/a")</f>
        <v/>
      </c>
      <c r="H61" s="14" t="str">
        <f>IF((Table15[[#This Row],[Mobile 
Web]]="yes"),"","n/a")</f>
        <v/>
      </c>
      <c r="I61" s="14" t="str">
        <f>IF((Table15[[#This Row],[Mobile 
Native 
App]]="yes"),"","n/a")</f>
        <v/>
      </c>
    </row>
    <row r="62" spans="1:9" ht="29" hidden="1" x14ac:dyDescent="0.35">
      <c r="A62" s="2" t="str">
        <f>Table15[[#This Row],[ID]]</f>
        <v>6.13.1</v>
      </c>
      <c r="B62" s="1" t="str">
        <f>Table15[[#This Row],[Section]]</f>
        <v>Chat Panels</v>
      </c>
      <c r="C62" s="1" t="str">
        <f>Table15[[#This Row],[Sub-Section]]</f>
        <v>Title</v>
      </c>
      <c r="D62" s="16" t="str">
        <f>Table15[[#This Row],[Title]]</f>
        <v>Chat panel title is enclosed in header tag.</v>
      </c>
      <c r="E62" s="16" t="str">
        <f>IF(Table15[[#This Row],[Description]]&lt;&gt;0,Table15[[#This Row],[Description]],"No entry")</f>
        <v>No entry</v>
      </c>
      <c r="F62" s="1" t="str">
        <f>IF((Table15[[#This Row],[Mobile 
Native 
App]]="yes"),"yes","no")</f>
        <v>yes</v>
      </c>
      <c r="G62" s="14" t="str">
        <f>IF((Table15[[#This Row],[Mobile 
Web]]="yes"),"","n/a")</f>
        <v/>
      </c>
      <c r="H62" s="14" t="str">
        <f>IF((Table15[[#This Row],[Mobile 
Web]]="yes"),"","n/a")</f>
        <v/>
      </c>
      <c r="I62" s="14" t="str">
        <f>IF((Table15[[#This Row],[Mobile 
Native 
App]]="yes"),"","n/a")</f>
        <v/>
      </c>
    </row>
    <row r="63" spans="1:9" ht="29" hidden="1" x14ac:dyDescent="0.35">
      <c r="A63" s="2" t="str">
        <f>Table15[[#This Row],[ID]]</f>
        <v>6.14.1</v>
      </c>
      <c r="B63" s="1" t="str">
        <f>Table15[[#This Row],[Section]]</f>
        <v>Chat Panels</v>
      </c>
      <c r="C63" s="1" t="str">
        <f>Table15[[#This Row],[Sub-Section]]</f>
        <v>Inline Links</v>
      </c>
      <c r="D63" s="16" t="str">
        <f>Table15[[#This Row],[Title]]</f>
        <v>Dynamically inserted links and buttons are in tab order.</v>
      </c>
      <c r="E63" s="16" t="str">
        <f>IF(Table15[[#This Row],[Description]]&lt;&gt;0,Table15[[#This Row],[Description]],"No entry")</f>
        <v>These links and buttons are typically contained in agent or system messages, and are keyboard operable.</v>
      </c>
      <c r="F63" s="1" t="str">
        <f>IF((Table15[[#This Row],[Mobile 
Native 
App]]="yes"),"yes","no")</f>
        <v>yes</v>
      </c>
      <c r="G63" s="14" t="str">
        <f>IF((Table15[[#This Row],[Mobile 
Web]]="yes"),"","n/a")</f>
        <v/>
      </c>
      <c r="H63" s="14" t="str">
        <f>IF((Table15[[#This Row],[Mobile 
Web]]="yes"),"","n/a")</f>
        <v/>
      </c>
      <c r="I63" s="14" t="str">
        <f>IF((Table15[[#This Row],[Mobile 
Native 
App]]="yes"),"","n/a")</f>
        <v/>
      </c>
    </row>
    <row r="64" spans="1:9" ht="58" hidden="1" x14ac:dyDescent="0.35">
      <c r="A64" s="2" t="str">
        <f>Table15[[#This Row],[ID]]</f>
        <v>6.14.2</v>
      </c>
      <c r="B64" s="1" t="str">
        <f>Table15[[#This Row],[Section]]</f>
        <v>Chat Panels</v>
      </c>
      <c r="C64" s="1" t="str">
        <f>Table15[[#This Row],[Sub-Section]]</f>
        <v>Inline Links</v>
      </c>
      <c r="D64" s="16" t="str">
        <f>Table15[[#This Row],[Title]]</f>
        <v>Dynamically inserted buttons and links have access key</v>
      </c>
      <c r="E64"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64" s="1" t="str">
        <f>IF((Table15[[#This Row],[Mobile 
Native 
App]]="yes"),"yes","no")</f>
        <v>no</v>
      </c>
      <c r="G64" s="14" t="str">
        <f>IF((Table15[[#This Row],[Mobile 
Web]]="yes"),"","n/a")</f>
        <v>n/a</v>
      </c>
      <c r="H64" s="14" t="str">
        <f>IF((Table15[[#This Row],[Mobile 
Web]]="yes"),"","n/a")</f>
        <v>n/a</v>
      </c>
      <c r="I64" s="14" t="str">
        <f>IF((Table15[[#This Row],[Mobile 
Native 
App]]="yes"),"","n/a")</f>
        <v>n/a</v>
      </c>
    </row>
    <row r="65" spans="1:9" ht="43.5" hidden="1" x14ac:dyDescent="0.35">
      <c r="A65" s="2" t="str">
        <f>Table15[[#This Row],[ID]]</f>
        <v>6.2.1</v>
      </c>
      <c r="B65" s="1" t="str">
        <f>Table15[[#This Row],[Section]]</f>
        <v>Chat Panels</v>
      </c>
      <c r="C65" s="1" t="str">
        <f>Table15[[#This Row],[Sub-Section]]</f>
        <v>Chat Opening</v>
      </c>
      <c r="D65" s="16" t="str">
        <f>Table15[[#This Row],[Title]]</f>
        <v>Auto-opener spoken automatically when chat launched.</v>
      </c>
      <c r="E65" s="16" t="str">
        <f>IF(Table15[[#This Row],[Description]]&lt;&gt;0,Table15[[#This Row],[Description]],"No entry")</f>
        <v>All welcome/auto-opener messages are announced automatically by the screen reader on chat launch. The message is only read once.</v>
      </c>
      <c r="F65" s="1" t="str">
        <f>IF((Table15[[#This Row],[Mobile 
Native 
App]]="yes"),"yes","no")</f>
        <v>yes</v>
      </c>
      <c r="G65" s="14" t="str">
        <f>IF((Table15[[#This Row],[Mobile 
Web]]="yes"),"","n/a")</f>
        <v/>
      </c>
      <c r="H65" s="14" t="str">
        <f>IF((Table15[[#This Row],[Mobile 
Web]]="yes"),"","n/a")</f>
        <v/>
      </c>
      <c r="I65" s="14" t="str">
        <f>IF((Table15[[#This Row],[Mobile 
Native 
App]]="yes"),"","n/a")</f>
        <v/>
      </c>
    </row>
    <row r="66" spans="1:9" ht="43.5" hidden="1" x14ac:dyDescent="0.35">
      <c r="A66" s="2" t="str">
        <f>Table15[[#This Row],[ID]]</f>
        <v>6.2.2</v>
      </c>
      <c r="B66" s="1" t="str">
        <f>Table15[[#This Row],[Section]]</f>
        <v>Chat Panels</v>
      </c>
      <c r="C66" s="1" t="str">
        <f>Table15[[#This Row],[Sub-Section]]</f>
        <v>Chat Opening</v>
      </c>
      <c r="D66" s="16" t="str">
        <f>Table15[[#This Row],[Title]]</f>
        <v>Initial focus is on text input control.</v>
      </c>
      <c r="E66" s="16" t="str">
        <f>IF(Table15[[#This Row],[Description]]&lt;&gt;0,Table15[[#This Row],[Description]],"No entry")</f>
        <v>When the chat panel/window opens, initial keyboard and screen reader focus moves automatically to the text input area.</v>
      </c>
      <c r="F66" s="1" t="str">
        <f>IF((Table15[[#This Row],[Mobile 
Native 
App]]="yes"),"yes","no")</f>
        <v>yes</v>
      </c>
      <c r="G66" s="14" t="str">
        <f>IF((Table15[[#This Row],[Mobile 
Web]]="yes"),"","n/a")</f>
        <v/>
      </c>
      <c r="H66" s="14" t="str">
        <f>IF((Table15[[#This Row],[Mobile 
Web]]="yes"),"","n/a")</f>
        <v/>
      </c>
      <c r="I66" s="14" t="str">
        <f>IF((Table15[[#This Row],[Mobile 
Native 
App]]="yes"),"","n/a")</f>
        <v/>
      </c>
    </row>
    <row r="67" spans="1:9" ht="43.5" hidden="1" x14ac:dyDescent="0.35">
      <c r="A67" s="2" t="str">
        <f>Table15[[#This Row],[ID]]</f>
        <v>6.2.3</v>
      </c>
      <c r="B67" s="1" t="str">
        <f>Table15[[#This Row],[Section]]</f>
        <v>Chat Panels</v>
      </c>
      <c r="C67" s="1" t="str">
        <f>Table15[[#This Row],[Sub-Section]]</f>
        <v>Chat Opening</v>
      </c>
      <c r="D67" s="16" t="str">
        <f>Table15[[#This Row],[Title]]</f>
        <v>Text area entry field is labeled</v>
      </c>
      <c r="E67" s="16" t="str">
        <f>IF(Table15[[#This Row],[Description]]&lt;&gt;0,Table15[[#This Row],[Description]],"No entry")</f>
        <v>Text area is labeled, or uses a placeholder, e.g. “type your message”, which is read automatically by the screen reader.</v>
      </c>
      <c r="F67" s="1" t="str">
        <f>IF((Table15[[#This Row],[Mobile 
Native 
App]]="yes"),"yes","no")</f>
        <v>yes</v>
      </c>
      <c r="G67" s="14" t="str">
        <f>IF((Table15[[#This Row],[Mobile 
Web]]="yes"),"","n/a")</f>
        <v/>
      </c>
      <c r="H67" s="14" t="str">
        <f>IF((Table15[[#This Row],[Mobile 
Web]]="yes"),"","n/a")</f>
        <v/>
      </c>
      <c r="I67" s="14" t="str">
        <f>IF((Table15[[#This Row],[Mobile 
Native 
App]]="yes"),"","n/a")</f>
        <v/>
      </c>
    </row>
    <row r="68" spans="1:9" ht="29" hidden="1" x14ac:dyDescent="0.35">
      <c r="A68" s="2" t="str">
        <f>Table15[[#This Row],[ID]]</f>
        <v>6.3.1</v>
      </c>
      <c r="B68" s="1" t="str">
        <f>Table15[[#This Row],[Section]]</f>
        <v>Chat Panels</v>
      </c>
      <c r="C68" s="1" t="str">
        <f>Table15[[#This Row],[Sub-Section]]</f>
        <v>Persistent chat</v>
      </c>
      <c r="D68" s="16" t="str">
        <f>Table15[[#This Row],[Title]]</f>
        <v xml:space="preserve">Provide access key to move chat to persistent window </v>
      </c>
      <c r="E68" s="16" t="str">
        <f>IF(Table15[[#This Row],[Description]]&lt;&gt;0,Table15[[#This Row],[Description]],"No entry")</f>
        <v>In desktop environments, add an access key to the button that moves chat to a persistent window.</v>
      </c>
      <c r="F68" s="1" t="str">
        <f>IF((Table15[[#This Row],[Mobile 
Native 
App]]="yes"),"yes","no")</f>
        <v>no</v>
      </c>
      <c r="G68" s="14" t="str">
        <f>IF((Table15[[#This Row],[Mobile 
Web]]="yes"),"","n/a")</f>
        <v>n/a</v>
      </c>
      <c r="H68" s="14" t="str">
        <f>IF((Table15[[#This Row],[Mobile 
Web]]="yes"),"","n/a")</f>
        <v>n/a</v>
      </c>
      <c r="I68" s="14" t="str">
        <f>IF((Table15[[#This Row],[Mobile 
Native 
App]]="yes"),"","n/a")</f>
        <v>n/a</v>
      </c>
    </row>
    <row r="69" spans="1:9" ht="145" hidden="1" x14ac:dyDescent="0.35">
      <c r="A69" s="2" t="str">
        <f>Table15[[#This Row],[ID]]</f>
        <v>6.4.1</v>
      </c>
      <c r="B69" s="1" t="str">
        <f>Table15[[#This Row],[Section]]</f>
        <v>Chat Panels</v>
      </c>
      <c r="C69" s="1" t="str">
        <f>Table15[[#This Row],[Sub-Section]]</f>
        <v>Block Navigation</v>
      </c>
      <c r="D69" s="16" t="str">
        <f>Table15[[#This Row],[Title]]</f>
        <v>Landmarks implemented for block navigation</v>
      </c>
      <c r="E69"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9" s="1" t="str">
        <f>IF((Table15[[#This Row],[Mobile 
Native 
App]]="yes"),"yes","no")</f>
        <v>yes</v>
      </c>
      <c r="G69" s="14" t="str">
        <f>IF((Table15[[#This Row],[Mobile 
Web]]="yes"),"","n/a")</f>
        <v/>
      </c>
      <c r="H69" s="14" t="str">
        <f>IF((Table15[[#This Row],[Mobile 
Web]]="yes"),"","n/a")</f>
        <v/>
      </c>
      <c r="I69" s="14" t="str">
        <f>IF((Table15[[#This Row],[Mobile 
Native 
App]]="yes"),"","n/a")</f>
        <v/>
      </c>
    </row>
    <row r="70" spans="1:9" ht="58" hidden="1" x14ac:dyDescent="0.35">
      <c r="A70" s="2" t="str">
        <f>Table15[[#This Row],[ID]]</f>
        <v>6.5.1</v>
      </c>
      <c r="B70" s="1" t="str">
        <f>Table15[[#This Row],[Section]]</f>
        <v>Chat Panels</v>
      </c>
      <c r="C70" s="1" t="str">
        <f>Table15[[#This Row],[Sub-Section]]</f>
        <v>Auto reading of messages</v>
      </c>
      <c r="D70" s="16" t="str">
        <f>Table15[[#This Row],[Title]]</f>
        <v>Incoming/outgoing messages read automatically</v>
      </c>
      <c r="E70" s="16" t="str">
        <f>IF(Table15[[#This Row],[Description]]&lt;&gt;0,Table15[[#This Row],[Description]],"No entry")</f>
        <v xml:space="preserve">Each new message posted to the transcript (user, agent, system) will be read automatically by the screen reader. 
</v>
      </c>
      <c r="F70" s="1" t="str">
        <f>IF((Table15[[#This Row],[Mobile 
Native 
App]]="yes"),"yes","no")</f>
        <v>yes</v>
      </c>
      <c r="G70" s="14" t="str">
        <f>IF((Table15[[#This Row],[Mobile 
Web]]="yes"),"","n/a")</f>
        <v/>
      </c>
      <c r="H70" s="14" t="str">
        <f>IF((Table15[[#This Row],[Mobile 
Web]]="yes"),"","n/a")</f>
        <v/>
      </c>
      <c r="I70" s="14" t="str">
        <f>IF((Table15[[#This Row],[Mobile 
Native 
App]]="yes"),"","n/a")</f>
        <v/>
      </c>
    </row>
    <row r="71" spans="1:9" ht="43.5" hidden="1" x14ac:dyDescent="0.35">
      <c r="A71" s="2" t="str">
        <f>Table15[[#This Row],[ID]]</f>
        <v>6.5.2</v>
      </c>
      <c r="B71" s="1" t="str">
        <f>Table15[[#This Row],[Section]]</f>
        <v>Chat Panels</v>
      </c>
      <c r="C71" s="1" t="str">
        <f>Table15[[#This Row],[Sub-Section]]</f>
        <v>Auto reading of messages</v>
      </c>
      <c r="D71" s="16" t="str">
        <f>Table15[[#This Row],[Title]]</f>
        <v>Message sender name spoken automatically</v>
      </c>
      <c r="E71" s="16" t="str">
        <f>IF(Table15[[#This Row],[Description]]&lt;&gt;0,Table15[[#This Row],[Description]],"No entry")</f>
        <v>Automatic announcement of sender name will be included e.g. “Guido: I need help with my iPhone”, or “Melissa: How can I help you today?”</v>
      </c>
      <c r="F71" s="1" t="str">
        <f>IF((Table15[[#This Row],[Mobile 
Native 
App]]="yes"),"yes","no")</f>
        <v>yes</v>
      </c>
      <c r="G71" s="14" t="str">
        <f>IF((Table15[[#This Row],[Mobile 
Web]]="yes"),"","n/a")</f>
        <v/>
      </c>
      <c r="H71" s="14" t="str">
        <f>IF((Table15[[#This Row],[Mobile 
Web]]="yes"),"","n/a")</f>
        <v/>
      </c>
      <c r="I71" s="14" t="str">
        <f>IF((Table15[[#This Row],[Mobile 
Native 
App]]="yes"),"","n/a")</f>
        <v/>
      </c>
    </row>
    <row r="72" spans="1:9" ht="72.5" hidden="1" x14ac:dyDescent="0.35">
      <c r="A72" s="2" t="str">
        <f>Table15[[#This Row],[ID]]</f>
        <v>6.6.1</v>
      </c>
      <c r="B72" s="1" t="str">
        <f>Table15[[#This Row],[Section]]</f>
        <v>Chat Panels</v>
      </c>
      <c r="C72" s="1" t="str">
        <f>Table15[[#This Row],[Sub-Section]]</f>
        <v>Messages with links, URLs or buttons</v>
      </c>
      <c r="D72" s="16" t="str">
        <f>Table15[[#This Row],[Title]]</f>
        <v>Operable elements inside messages are in tab order and keyboardable</v>
      </c>
      <c r="E72" s="16" t="str">
        <f>IF(Table15[[#This Row],[Description]]&lt;&gt;0,Table15[[#This Row],[Description]],"No entry")</f>
        <v>If an incoming message contains a link, a URL, or a button, e.g. to open an agent-pushed secure form or a video, the operational component of the message will be in the tab order and will be operable with the keyboard, and with screen reader compatible gestures in  touch devices.</v>
      </c>
      <c r="F72" s="1" t="str">
        <f>IF((Table15[[#This Row],[Mobile 
Native 
App]]="yes"),"yes","no")</f>
        <v>yes</v>
      </c>
      <c r="G72" s="14" t="str">
        <f>IF((Table15[[#This Row],[Mobile 
Web]]="yes"),"","n/a")</f>
        <v/>
      </c>
      <c r="H72" s="14" t="str">
        <f>IF((Table15[[#This Row],[Mobile 
Web]]="yes"),"","n/a")</f>
        <v/>
      </c>
      <c r="I72" s="14" t="str">
        <f>IF((Table15[[#This Row],[Mobile 
Native 
App]]="yes"),"","n/a")</f>
        <v/>
      </c>
    </row>
    <row r="73" spans="1:9" ht="72.5" hidden="1" x14ac:dyDescent="0.35">
      <c r="A73" s="2" t="str">
        <f>Table15[[#This Row],[ID]]</f>
        <v>6.6.2</v>
      </c>
      <c r="B73" s="1" t="str">
        <f>Table15[[#This Row],[Section]]</f>
        <v>Chat Panels</v>
      </c>
      <c r="C73" s="1" t="str">
        <f>Table15[[#This Row],[Sub-Section]]</f>
        <v>Messages with links, URLs or buttons</v>
      </c>
      <c r="D73" s="16" t="str">
        <f>Table15[[#This Row],[Title]]</f>
        <v xml:space="preserve">Exposed URLs are inside anchor tags </v>
      </c>
      <c r="E73" s="16" t="str">
        <f>IF(Table15[[#This Row],[Description]]&lt;&gt;0,Table15[[#This Row],[Description]],"No entry")</f>
        <v>If an incoming message contains a script-generated exposed URL, the URL will be contained in the body of an anchor tag, and will be navigable and operable via keyboard. On  touch devices, the link will be navigable and operable with gestures compatible with screen readers.</v>
      </c>
      <c r="F73" s="1" t="str">
        <f>IF((Table15[[#This Row],[Mobile 
Native 
App]]="yes"),"yes","no")</f>
        <v>yes</v>
      </c>
      <c r="G73" s="14" t="str">
        <f>IF((Table15[[#This Row],[Mobile 
Web]]="yes"),"","n/a")</f>
        <v/>
      </c>
      <c r="H73" s="14" t="str">
        <f>IF((Table15[[#This Row],[Mobile 
Web]]="yes"),"","n/a")</f>
        <v/>
      </c>
      <c r="I73" s="14" t="str">
        <f>IF((Table15[[#This Row],[Mobile 
Native 
App]]="yes"),"","n/a")</f>
        <v/>
      </c>
    </row>
    <row r="74" spans="1:9" ht="116" hidden="1" x14ac:dyDescent="0.35">
      <c r="A74" s="2" t="str">
        <f>Table15[[#This Row],[ID]]</f>
        <v>6.7.1</v>
      </c>
      <c r="B74" s="1" t="str">
        <f>Table15[[#This Row],[Section]]</f>
        <v>Chat Panels</v>
      </c>
      <c r="C74" s="1" t="str">
        <f>Table15[[#This Row],[Sub-Section]]</f>
        <v>Sending a message</v>
      </c>
      <c r="D74" s="16" t="str">
        <f>Table15[[#This Row],[Title]]</f>
        <v>Multiple keyboard methods for message submission</v>
      </c>
      <c r="E74"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74" s="1" t="str">
        <f>IF((Table15[[#This Row],[Mobile 
Native 
App]]="yes"),"yes","no")</f>
        <v>yes</v>
      </c>
      <c r="G74" s="14" t="str">
        <f>IF((Table15[[#This Row],[Mobile 
Web]]="yes"),"","n/a")</f>
        <v/>
      </c>
      <c r="H74" s="14" t="str">
        <f>IF((Table15[[#This Row],[Mobile 
Web]]="yes"),"","n/a")</f>
        <v/>
      </c>
      <c r="I74" s="14" t="str">
        <f>IF((Table15[[#This Row],[Mobile 
Native 
App]]="yes"),"","n/a")</f>
        <v/>
      </c>
    </row>
    <row r="75" spans="1:9" ht="29" hidden="1" x14ac:dyDescent="0.35">
      <c r="A75" s="2" t="str">
        <f>Table15[[#This Row],[ID]]</f>
        <v>6.7.2</v>
      </c>
      <c r="B75" s="1" t="str">
        <f>Table15[[#This Row],[Section]]</f>
        <v>Chat Panels</v>
      </c>
      <c r="C75" s="1" t="str">
        <f>Table15[[#This Row],[Sub-Section]]</f>
        <v>Sending a message</v>
      </c>
      <c r="D75" s="16" t="str">
        <f>Table15[[#This Row],[Title]]</f>
        <v>Focus returns to text area after message submission</v>
      </c>
      <c r="E75" s="16" t="str">
        <f>IF(Table15[[#This Row],[Description]]&lt;&gt;0,Table15[[#This Row],[Description]],"No entry")</f>
        <v>No entry</v>
      </c>
      <c r="F75" s="1" t="str">
        <f>IF((Table15[[#This Row],[Mobile 
Native 
App]]="yes"),"yes","no")</f>
        <v>yes</v>
      </c>
      <c r="G75" s="14" t="str">
        <f>IF((Table15[[#This Row],[Mobile 
Web]]="yes"),"","n/a")</f>
        <v/>
      </c>
      <c r="H75" s="14" t="str">
        <f>IF((Table15[[#This Row],[Mobile 
Web]]="yes"),"","n/a")</f>
        <v/>
      </c>
      <c r="I75" s="14" t="str">
        <f>IF((Table15[[#This Row],[Mobile 
Native 
App]]="yes"),"","n/a")</f>
        <v/>
      </c>
    </row>
    <row r="76" spans="1:9" ht="43.5" hidden="1" x14ac:dyDescent="0.35">
      <c r="A76" s="2" t="str">
        <f>Table15[[#This Row],[ID]]</f>
        <v>6.8.1</v>
      </c>
      <c r="B76" s="1" t="str">
        <f>Table15[[#This Row],[Section]]</f>
        <v>Chat Panels</v>
      </c>
      <c r="C76" s="1" t="str">
        <f>Table15[[#This Row],[Sub-Section]]</f>
        <v>Alert chime</v>
      </c>
      <c r="D76" s="16" t="str">
        <f>Table15[[#This Row],[Title]]</f>
        <v>User can set alert chimes to active or off.</v>
      </c>
      <c r="E76" s="16" t="str">
        <f>IF(Table15[[#This Row],[Description]]&lt;&gt;0,Table15[[#This Row],[Description]],"No entry")</f>
        <v>A button lets users turn chime for incoming messages on (active) and off. Outgoing messages from user to agent do not have a chime.</v>
      </c>
      <c r="F76" s="1" t="str">
        <f>IF((Table15[[#This Row],[Mobile 
Native 
App]]="yes"),"yes","no")</f>
        <v>yes</v>
      </c>
      <c r="G76" s="14" t="str">
        <f>IF((Table15[[#This Row],[Mobile 
Web]]="yes"),"","n/a")</f>
        <v/>
      </c>
      <c r="H76" s="14" t="str">
        <f>IF((Table15[[#This Row],[Mobile 
Web]]="yes"),"","n/a")</f>
        <v/>
      </c>
      <c r="I76" s="14" t="str">
        <f>IF((Table15[[#This Row],[Mobile 
Native 
App]]="yes"),"","n/a")</f>
        <v/>
      </c>
    </row>
    <row r="77" spans="1:9" ht="43.5" hidden="1" x14ac:dyDescent="0.35">
      <c r="A77" s="2" t="str">
        <f>Table15[[#This Row],[ID]]</f>
        <v>6.8.2</v>
      </c>
      <c r="B77" s="1" t="str">
        <f>Table15[[#This Row],[Section]]</f>
        <v>Chat Panels</v>
      </c>
      <c r="C77" s="1" t="str">
        <f>Table15[[#This Row],[Sub-Section]]</f>
        <v>Alert chime</v>
      </c>
      <c r="D77" s="16" t="str">
        <f>Table15[[#This Row],[Title]]</f>
        <v>Upon operation, chime alert button conveys state change automatically</v>
      </c>
      <c r="E77" s="16" t="str">
        <f>IF(Table15[[#This Row],[Description]]&lt;&gt;0,Table15[[#This Row],[Description]],"No entry")</f>
        <v>A button lets users turn chime for incoming messages on (active) and off. Outgoing messages from user to agent do not have a chime.</v>
      </c>
      <c r="F77" s="1" t="str">
        <f>IF((Table15[[#This Row],[Mobile 
Native 
App]]="yes"),"yes","no")</f>
        <v>yes</v>
      </c>
      <c r="G77" s="14" t="str">
        <f>IF((Table15[[#This Row],[Mobile 
Web]]="yes"),"","n/a")</f>
        <v/>
      </c>
      <c r="H77" s="14" t="str">
        <f>IF((Table15[[#This Row],[Mobile 
Web]]="yes"),"","n/a")</f>
        <v/>
      </c>
      <c r="I77" s="14" t="str">
        <f>IF((Table15[[#This Row],[Mobile 
Native 
App]]="yes"),"","n/a")</f>
        <v/>
      </c>
    </row>
    <row r="78" spans="1:9" ht="43.5" hidden="1" x14ac:dyDescent="0.35">
      <c r="A78" s="2" t="str">
        <f>Table15[[#This Row],[ID]]</f>
        <v>6.8.3</v>
      </c>
      <c r="B78" s="1" t="str">
        <f>Table15[[#This Row],[Section]]</f>
        <v>Chat Panels</v>
      </c>
      <c r="C78" s="1" t="str">
        <f>Table15[[#This Row],[Sub-Section]]</f>
        <v>Alert chime</v>
      </c>
      <c r="D78" s="16" t="str">
        <f>Table15[[#This Row],[Title]]</f>
        <v>If chime is active, agent messages are prefixed by an audible short chime</v>
      </c>
      <c r="E78" s="16" t="str">
        <f>IF(Table15[[#This Row],[Description]]&lt;&gt;0,Table15[[#This Row],[Description]],"No entry")</f>
        <v xml:space="preserve">When chime toggle is on, all incoming agent messages are accompanied by an audible chime.  </v>
      </c>
      <c r="F78" s="1" t="str">
        <f>IF((Table15[[#This Row],[Mobile 
Native 
App]]="yes"),"yes","no")</f>
        <v>yes</v>
      </c>
      <c r="G78" s="14" t="str">
        <f>IF((Table15[[#This Row],[Mobile 
Web]]="yes"),"","n/a")</f>
        <v/>
      </c>
      <c r="H78" s="14" t="str">
        <f>IF((Table15[[#This Row],[Mobile 
Web]]="yes"),"","n/a")</f>
        <v/>
      </c>
      <c r="I78" s="14" t="str">
        <f>IF((Table15[[#This Row],[Mobile 
Native 
App]]="yes"),"","n/a")</f>
        <v/>
      </c>
    </row>
    <row r="79" spans="1:9" ht="43.5" hidden="1" x14ac:dyDescent="0.35">
      <c r="A79" s="2" t="str">
        <f>Table15[[#This Row],[ID]]</f>
        <v>6.8.4</v>
      </c>
      <c r="B79" s="1" t="str">
        <f>Table15[[#This Row],[Section]]</f>
        <v>Chat Panels</v>
      </c>
      <c r="C79" s="1" t="str">
        <f>Table15[[#This Row],[Sub-Section]]</f>
        <v>Alert chime</v>
      </c>
      <c r="D79" s="16" t="str">
        <f>Table15[[#This Row],[Title]]</f>
        <v>Alert chimes are active by default.</v>
      </c>
      <c r="E79" s="16" t="str">
        <f>IF(Table15[[#This Row],[Description]]&lt;&gt;0,Table15[[#This Row],[Description]],"No entry")</f>
        <v>The default state of the chime toggle is active. On devices, if global sound is active, alert chimes are active by default as well.</v>
      </c>
      <c r="F79" s="1" t="str">
        <f>IF((Table15[[#This Row],[Mobile 
Native 
App]]="yes"),"yes","no")</f>
        <v>yes</v>
      </c>
      <c r="G79" s="14" t="str">
        <f>IF((Table15[[#This Row],[Mobile 
Web]]="yes"),"","n/a")</f>
        <v/>
      </c>
      <c r="H79" s="14" t="str">
        <f>IF((Table15[[#This Row],[Mobile 
Web]]="yes"),"","n/a")</f>
        <v/>
      </c>
      <c r="I79" s="14" t="str">
        <f>IF((Table15[[#This Row],[Mobile 
Native 
App]]="yes"),"","n/a")</f>
        <v/>
      </c>
    </row>
    <row r="80" spans="1:9" ht="87" hidden="1" x14ac:dyDescent="0.35">
      <c r="A80" s="2" t="str">
        <f>Table15[[#This Row],[ID]]</f>
        <v>6.8.5</v>
      </c>
      <c r="B80" s="1" t="str">
        <f>Table15[[#This Row],[Section]]</f>
        <v>Chat Panels</v>
      </c>
      <c r="C80" s="1" t="str">
        <f>Table15[[#This Row],[Sub-Section]]</f>
        <v>Alert chime</v>
      </c>
      <c r="D80" s="16" t="str">
        <f>Table15[[#This Row],[Title]]</f>
        <v>On focus, and on operation of the chime button, button text content and chime state are announced.</v>
      </c>
      <c r="E80" s="16"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80" s="1" t="str">
        <f>IF((Table15[[#This Row],[Mobile 
Native 
App]]="yes"),"yes","no")</f>
        <v>yes</v>
      </c>
      <c r="G80" s="14" t="str">
        <f>IF((Table15[[#This Row],[Mobile 
Web]]="yes"),"","n/a")</f>
        <v/>
      </c>
      <c r="H80" s="14" t="str">
        <f>IF((Table15[[#This Row],[Mobile 
Web]]="yes"),"","n/a")</f>
        <v/>
      </c>
      <c r="I80" s="14" t="str">
        <f>IF((Table15[[#This Row],[Mobile 
Native 
App]]="yes"),"","n/a")</f>
        <v/>
      </c>
    </row>
    <row r="81" spans="1:9" ht="58" hidden="1" x14ac:dyDescent="0.35">
      <c r="A81" s="2" t="str">
        <f>Table15[[#This Row],[ID]]</f>
        <v>6.8.6</v>
      </c>
      <c r="B81" s="1" t="str">
        <f>Table15[[#This Row],[Section]]</f>
        <v>Chat Panels</v>
      </c>
      <c r="C81" s="1" t="str">
        <f>Table15[[#This Row],[Sub-Section]]</f>
        <v>Alert chime</v>
      </c>
      <c r="D81" s="16" t="str">
        <f>Table15[[#This Row],[Title]]</f>
        <v>On devices, if global sound is muted, alert chimes are disabled by default</v>
      </c>
      <c r="E81" s="16"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81" s="1" t="str">
        <f>IF((Table15[[#This Row],[Mobile 
Native 
App]]="yes"),"yes","no")</f>
        <v>yes</v>
      </c>
      <c r="G81" s="14" t="str">
        <f>IF((Table15[[#This Row],[Mobile 
Web]]="yes"),"","n/a")</f>
        <v/>
      </c>
      <c r="H81" s="14" t="str">
        <f>IF((Table15[[#This Row],[Mobile 
Web]]="yes"),"","n/a")</f>
        <v/>
      </c>
      <c r="I81" s="14" t="str">
        <f>IF((Table15[[#This Row],[Mobile 
Native 
App]]="yes"),"","n/a")</f>
        <v/>
      </c>
    </row>
    <row r="82" spans="1:9" ht="43.5" hidden="1" x14ac:dyDescent="0.35">
      <c r="A82" s="2" t="str">
        <f>Table15[[#This Row],[ID]]</f>
        <v>6.8.9</v>
      </c>
      <c r="B82" s="1" t="str">
        <f>Table15[[#This Row],[Section]]</f>
        <v>Chat Panels</v>
      </c>
      <c r="C82" s="1" t="str">
        <f>Table15[[#This Row],[Sub-Section]]</f>
        <v>Alert chime</v>
      </c>
      <c r="D82" s="16" t="str">
        <f>Table15[[#This Row],[Title]]</f>
        <v>When the operation of the chime button activates chimes, a sample chime is issued and heard.</v>
      </c>
      <c r="E82" s="16" t="str">
        <f>IF(Table15[[#This Row],[Description]]&lt;&gt;0,Table15[[#This Row],[Description]],"No entry")</f>
        <v>The sample chime informs the user what sound to expect when receiving an agent message.</v>
      </c>
      <c r="F82" s="1" t="str">
        <f>IF((Table15[[#This Row],[Mobile 
Native 
App]]="yes"),"yes","no")</f>
        <v>yes</v>
      </c>
      <c r="G82" s="14" t="str">
        <f>IF((Table15[[#This Row],[Mobile 
Web]]="yes"),"","n/a")</f>
        <v/>
      </c>
      <c r="H82" s="14" t="str">
        <f>IF((Table15[[#This Row],[Mobile 
Web]]="yes"),"","n/a")</f>
        <v/>
      </c>
      <c r="I82" s="14" t="str">
        <f>IF((Table15[[#This Row],[Mobile 
Native 
App]]="yes"),"","n/a")</f>
        <v/>
      </c>
    </row>
    <row r="83" spans="1:9" ht="43.5" hidden="1" x14ac:dyDescent="0.35">
      <c r="A83" s="2" t="str">
        <f>Table15[[#This Row],[ID]]</f>
        <v>6.9.0</v>
      </c>
      <c r="B83" s="1" t="str">
        <f>Table15[[#This Row],[Section]]</f>
        <v>Chat Panels</v>
      </c>
      <c r="C83" s="1" t="str">
        <f>Table15[[#This Row],[Sub-Section]]</f>
        <v>Inline Pushed Forms</v>
      </c>
      <c r="D83" s="16" t="str">
        <f>Table15[[#This Row],[Title]]</f>
        <v>Modal Taxonomy - Inline Pushed Forms are contained in strict modals</v>
      </c>
      <c r="E83" s="16" t="str">
        <f>IF(Table15[[#This Row],[Description]]&lt;&gt;0,Table15[[#This Row],[Description]],"No entry")</f>
        <v>See Modal Taxonomy tab</v>
      </c>
      <c r="F83" s="1" t="str">
        <f>IF((Table15[[#This Row],[Mobile 
Native 
App]]="yes"),"yes","no")</f>
        <v>no</v>
      </c>
      <c r="G83" s="14" t="str">
        <f>IF((Table15[[#This Row],[Mobile 
Web]]="yes"),"","n/a")</f>
        <v>n/a</v>
      </c>
      <c r="H83" s="14" t="str">
        <f>IF((Table15[[#This Row],[Mobile 
Web]]="yes"),"","n/a")</f>
        <v>n/a</v>
      </c>
      <c r="I83" s="14" t="str">
        <f>IF((Table15[[#This Row],[Mobile 
Native 
App]]="yes"),"","n/a")</f>
        <v>n/a</v>
      </c>
    </row>
    <row r="84" spans="1:9" ht="29" hidden="1" x14ac:dyDescent="0.35">
      <c r="A84" s="2" t="str">
        <f>Table15[[#This Row],[ID]]</f>
        <v>7.0.0</v>
      </c>
      <c r="B84" s="1" t="str">
        <f>Table15[[#This Row],[Section]]</f>
        <v>Minimized chat</v>
      </c>
      <c r="C84" s="1" t="str">
        <f>Table15[[#This Row],[Sub-Section]]</f>
        <v>Modal Taxonomy</v>
      </c>
      <c r="D84" s="16" t="str">
        <f>Table15[[#This Row],[Title]]</f>
        <v>Minimized chat contained in Pseudo-modal</v>
      </c>
      <c r="E84" s="16" t="str">
        <f>IF(Table15[[#This Row],[Description]]&lt;&gt;0,Table15[[#This Row],[Description]],"No entry")</f>
        <v>See Modal Taxonomy tab</v>
      </c>
      <c r="F84" s="1" t="str">
        <f>IF((Table15[[#This Row],[Mobile 
Native 
App]]="yes"),"yes","no")</f>
        <v>no</v>
      </c>
      <c r="G84" s="14" t="str">
        <f>IF((Table15[[#This Row],[Mobile 
Web]]="yes"),"","n/a")</f>
        <v>n/a</v>
      </c>
      <c r="H84" s="14" t="str">
        <f>IF((Table15[[#This Row],[Mobile 
Web]]="yes"),"","n/a")</f>
        <v>n/a</v>
      </c>
      <c r="I84" s="14" t="str">
        <f>IF((Table15[[#This Row],[Mobile 
Native 
App]]="yes"),"","n/a")</f>
        <v>n/a</v>
      </c>
    </row>
    <row r="85" spans="1:9" ht="72.5" hidden="1" x14ac:dyDescent="0.35">
      <c r="A85" s="2" t="str">
        <f>Table15[[#This Row],[ID]]</f>
        <v>7.1.1</v>
      </c>
      <c r="B85" s="4" t="str">
        <f>Table15[[#This Row],[Section]]</f>
        <v>Minimized chat</v>
      </c>
      <c r="C85" s="4" t="str">
        <f>Table15[[#This Row],[Sub-Section]]</f>
        <v>General Requirements</v>
      </c>
      <c r="D85" s="16" t="str">
        <f>Table15[[#This Row],[Title]]</f>
        <v>Minimizing chat moves focus to “restore” button</v>
      </c>
      <c r="E85" s="80" t="str">
        <f>IF(Table15[[#This Row],[Description]]&lt;&gt;0,Table15[[#This Row],[Description]],"No entry")</f>
        <v>When the “minimize chat” button is operated, keyboard and screen reader focus move to the “restore chat” inside the minimized chat pseudo-modal, and the "restore/continue chat” button is read automatically by the screen reader.</v>
      </c>
      <c r="F85" s="81" t="str">
        <f>IF((Table15[[#This Row],[Mobile 
Native 
App]]="yes"),"yes","no")</f>
        <v>yes</v>
      </c>
      <c r="G85" s="79" t="str">
        <f>IF((Table15[[#This Row],[Mobile 
Web]]="yes"),"","n/a")</f>
        <v/>
      </c>
      <c r="H85" s="14" t="str">
        <f>IF((Table15[[#This Row],[Mobile 
Web]]="yes"),"","n/a")</f>
        <v/>
      </c>
      <c r="I85" t="str">
        <f>IF((Table15[[#This Row],[Mobile 
Native 
App]]="yes"),"","n/a")</f>
        <v/>
      </c>
    </row>
    <row r="86" spans="1:9" ht="58" hidden="1" x14ac:dyDescent="0.35">
      <c r="A86" s="2" t="str">
        <f>Table15[[#This Row],[ID]]</f>
        <v>7.1.2</v>
      </c>
      <c r="B86" s="4" t="str">
        <f>Table15[[#This Row],[Section]]</f>
        <v>Minimized chat</v>
      </c>
      <c r="C86" s="4" t="str">
        <f>Table15[[#This Row],[Sub-Section]]</f>
        <v>General Requirements</v>
      </c>
      <c r="D86" s="16" t="str">
        <f>Table15[[#This Row],[Title]]</f>
        <v>If shown, agent messages in minimize chat can scroll only once.</v>
      </c>
      <c r="E86" s="80" t="str">
        <f>IF(Table15[[#This Row],[Description]]&lt;&gt;0,Table15[[#This Row],[Description]],"No entry")</f>
        <v>If a scrolling marquee is implemented for minimized chat, it may scroll automatically in the marquee only once. Scrolling then stops, and the leftmost part of the message remains visible.</v>
      </c>
      <c r="F86" s="81" t="str">
        <f>IF((Table15[[#This Row],[Mobile 
Native 
App]]="yes"),"yes","no")</f>
        <v>yes</v>
      </c>
      <c r="G86" s="79" t="str">
        <f>IF((Table15[[#This Row],[Mobile 
Web]]="yes"),"","n/a")</f>
        <v/>
      </c>
      <c r="H86" s="14" t="str">
        <f>IF((Table15[[#This Row],[Mobile 
Web]]="yes"),"","n/a")</f>
        <v/>
      </c>
      <c r="I86" t="str">
        <f>IF((Table15[[#This Row],[Mobile 
Native 
App]]="yes"),"","n/a")</f>
        <v/>
      </c>
    </row>
    <row r="87" spans="1:9" ht="58" hidden="1" x14ac:dyDescent="0.35">
      <c r="A87" s="2" t="str">
        <f>Table15[[#This Row],[ID]]</f>
        <v>7.1.3</v>
      </c>
      <c r="B87" s="4" t="str">
        <f>Table15[[#This Row],[Section]]</f>
        <v>Minimized chat</v>
      </c>
      <c r="C87" s="4" t="str">
        <f>Table15[[#This Row],[Sub-Section]]</f>
        <v>General Requirements</v>
      </c>
      <c r="D87" s="16" t="str">
        <f>Table15[[#This Row],[Title]]</f>
        <v>Agent messages in minimized chat read automatically</v>
      </c>
      <c r="E87" s="80" t="str">
        <f>IF(Table15[[#This Row],[Description]]&lt;&gt;0,Table15[[#This Row],[Description]],"No entry")</f>
        <v>When an agent message is received while chat is minimized, the message is read automatically by the screen reader. If the alert chime is active, the chime is issued.</v>
      </c>
      <c r="F87" s="81" t="str">
        <f>IF((Table15[[#This Row],[Mobile 
Native 
App]]="yes"),"yes","no")</f>
        <v>yes</v>
      </c>
      <c r="G87" s="79" t="str">
        <f>IF((Table15[[#This Row],[Mobile 
Web]]="yes"),"","n/a")</f>
        <v/>
      </c>
      <c r="H87" s="14" t="str">
        <f>IF((Table15[[#This Row],[Mobile 
Web]]="yes"),"","n/a")</f>
        <v/>
      </c>
      <c r="I87" t="str">
        <f>IF((Table15[[#This Row],[Mobile 
Native 
App]]="yes"),"","n/a")</f>
        <v/>
      </c>
    </row>
    <row r="88" spans="1:9" ht="43.5" hidden="1" x14ac:dyDescent="0.35">
      <c r="A88" s="2" t="str">
        <f>Table15[[#This Row],[ID]]</f>
        <v>7.1.4</v>
      </c>
      <c r="B88" s="4" t="str">
        <f>Table15[[#This Row],[Section]]</f>
        <v>Minimized chat</v>
      </c>
      <c r="C88" s="4" t="str">
        <f>Table15[[#This Row],[Sub-Section]]</f>
        <v>General Requirements</v>
      </c>
      <c r="D88" s="16" t="str">
        <f>Table15[[#This Row],[Title]]</f>
        <v>Agent messages in minimized chat are keyboard navigable</v>
      </c>
      <c r="E88" s="80" t="str">
        <f>IF(Table15[[#This Row],[Description]]&lt;&gt;0,Table15[[#This Row],[Description]],"No entry")</f>
        <v>Desktop: If agent messages are visible in minimized chat pseudo-modal, they are navigable by the screen reader using the down/up arrow keys.</v>
      </c>
      <c r="F88" s="81" t="str">
        <f>IF((Table15[[#This Row],[Mobile 
Native 
App]]="yes"),"yes","no")</f>
        <v>no</v>
      </c>
      <c r="G88" s="79" t="str">
        <f>IF((Table15[[#This Row],[Mobile 
Web]]="yes"),"","n/a")</f>
        <v>n/a</v>
      </c>
      <c r="H88" s="14" t="str">
        <f>IF((Table15[[#This Row],[Mobile 
Web]]="yes"),"","n/a")</f>
        <v>n/a</v>
      </c>
      <c r="I88" t="str">
        <f>IF((Table15[[#This Row],[Mobile 
Native 
App]]="yes"),"","n/a")</f>
        <v>n/a</v>
      </c>
    </row>
    <row r="89" spans="1:9" ht="58" hidden="1" x14ac:dyDescent="0.35">
      <c r="A89" s="2" t="str">
        <f>Table15[[#This Row],[ID]]</f>
        <v>7.1.5</v>
      </c>
      <c r="B89" s="4" t="str">
        <f>Table15[[#This Row],[Section]]</f>
        <v>Minimized chat</v>
      </c>
      <c r="C89" s="4" t="str">
        <f>Table15[[#This Row],[Sub-Section]]</f>
        <v>General Requirements</v>
      </c>
      <c r="D89" s="16" t="str">
        <f>Table15[[#This Row],[Title]]</f>
        <v>Minimized chat div is not self-contained</v>
      </c>
      <c r="E89" s="80" t="str">
        <f>IF(Table15[[#This Row],[Description]]&lt;&gt;0,Table15[[#This Row],[Description]],"No entry")</f>
        <v>The minimized chat panel is a pseudo-modal. The user can navigate outside the minimized chat panel using any page navigation keystrokes or screen reader compatible gestures.</v>
      </c>
      <c r="F89" s="81" t="str">
        <f>IF((Table15[[#This Row],[Mobile 
Native 
App]]="yes"),"yes","no")</f>
        <v>yes</v>
      </c>
      <c r="G89" s="79" t="str">
        <f>IF((Table15[[#This Row],[Mobile 
Web]]="yes"),"","n/a")</f>
        <v/>
      </c>
      <c r="H89" s="14" t="str">
        <f>IF((Table15[[#This Row],[Mobile 
Web]]="yes"),"","n/a")</f>
        <v/>
      </c>
      <c r="I89" t="str">
        <f>IF((Table15[[#This Row],[Mobile 
Native 
App]]="yes"),"","n/a")</f>
        <v/>
      </c>
    </row>
    <row r="90" spans="1:9" ht="29" hidden="1" x14ac:dyDescent="0.35">
      <c r="A90" s="2" t="str">
        <f>Table15[[#This Row],[ID]]</f>
        <v>7.1.6</v>
      </c>
      <c r="B90" s="4" t="str">
        <f>Table15[[#This Row],[Section]]</f>
        <v>Minimized chat</v>
      </c>
      <c r="C90" s="4" t="str">
        <f>Table15[[#This Row],[Sub-Section]]</f>
        <v>General Requirements</v>
      </c>
      <c r="D90" s="16" t="str">
        <f>Table15[[#This Row],[Title]]</f>
        <v>Focus returns to input text area upon chat restore</v>
      </c>
      <c r="E90" s="80" t="str">
        <f>IF(Table15[[#This Row],[Description]]&lt;&gt;0,Table15[[#This Row],[Description]],"No entry")</f>
        <v>When the user operates the restore chat button, focus is returned to the chat text area input field.</v>
      </c>
      <c r="F90" s="81" t="str">
        <f>IF((Table15[[#This Row],[Mobile 
Native 
App]]="yes"),"yes","no")</f>
        <v>yes</v>
      </c>
      <c r="G90" s="79" t="str">
        <f>IF((Table15[[#This Row],[Mobile 
Web]]="yes"),"","n/a")</f>
        <v/>
      </c>
      <c r="H90" s="14" t="str">
        <f>IF((Table15[[#This Row],[Mobile 
Web]]="yes"),"","n/a")</f>
        <v/>
      </c>
      <c r="I90" t="str">
        <f>IF((Table15[[#This Row],[Mobile 
Native 
App]]="yes"),"","n/a")</f>
        <v/>
      </c>
    </row>
    <row r="91" spans="1:9" ht="29" hidden="1" x14ac:dyDescent="0.35">
      <c r="A91" s="2" t="str">
        <f>Table15[[#This Row],[ID]]</f>
        <v>8.0.0</v>
      </c>
      <c r="B91" s="4" t="str">
        <f>Table15[[#This Row],[Section]]</f>
        <v>Co-Browsing</v>
      </c>
      <c r="C91" s="4" t="str">
        <f>Table15[[#This Row],[Sub-Section]]</f>
        <v>Modal Taxonomy</v>
      </c>
      <c r="D91" s="16" t="str">
        <f>Table15[[#This Row],[Title]]</f>
        <v>The Co-browse banner is a psudo-modal</v>
      </c>
      <c r="E91" s="80" t="str">
        <f>IF(Table15[[#This Row],[Description]]&lt;&gt;0,Table15[[#This Row],[Description]],"No entry")</f>
        <v>See Modal Taxonomy tab</v>
      </c>
      <c r="F91" s="81" t="str">
        <f>IF((Table15[[#This Row],[Mobile 
Native 
App]]="yes"),"yes","no")</f>
        <v>no</v>
      </c>
      <c r="G91" s="79" t="str">
        <f>IF((Table15[[#This Row],[Mobile 
Web]]="yes"),"","n/a")</f>
        <v>n/a</v>
      </c>
      <c r="H91" s="14" t="str">
        <f>IF((Table15[[#This Row],[Mobile 
Web]]="yes"),"","n/a")</f>
        <v>n/a</v>
      </c>
      <c r="I91" t="str">
        <f>IF((Table15[[#This Row],[Mobile 
Native 
App]]="yes"),"","n/a")</f>
        <v>n/a</v>
      </c>
    </row>
    <row r="92" spans="1:9" ht="29" hidden="1" x14ac:dyDescent="0.35">
      <c r="A92" s="2" t="str">
        <f>Table15[[#This Row],[ID]]</f>
        <v>8.1.1</v>
      </c>
      <c r="B92" s="4" t="str">
        <f>Table15[[#This Row],[Section]]</f>
        <v>Co-Browsing</v>
      </c>
      <c r="C92" s="4" t="str">
        <f>Table15[[#This Row],[Sub-Section]]</f>
        <v>Buttons</v>
      </c>
      <c r="D92" s="16" t="str">
        <f>Table15[[#This Row],[Title]]</f>
        <v>The buttons in the co-browse banner are in the tab order.</v>
      </c>
      <c r="E92" s="80" t="str">
        <f>IF(Table15[[#This Row],[Description]]&lt;&gt;0,Table15[[#This Row],[Description]],"No entry")</f>
        <v>No entry</v>
      </c>
      <c r="F92" s="81" t="str">
        <f>IF((Table15[[#This Row],[Mobile 
Native 
App]]="yes"),"yes","no")</f>
        <v>yes</v>
      </c>
      <c r="G92" s="79" t="str">
        <f>IF((Table15[[#This Row],[Mobile 
Web]]="yes"),"","n/a")</f>
        <v/>
      </c>
      <c r="H92" s="14" t="str">
        <f>IF((Table15[[#This Row],[Mobile 
Web]]="yes"),"","n/a")</f>
        <v/>
      </c>
      <c r="I92" t="str">
        <f>IF((Table15[[#This Row],[Mobile 
Native 
App]]="yes"),"","n/a")</f>
        <v/>
      </c>
    </row>
    <row r="93" spans="1:9" ht="29" hidden="1" x14ac:dyDescent="0.35">
      <c r="A93" s="2" t="str">
        <f>Table15[[#This Row],[ID]]</f>
        <v>8.1.2</v>
      </c>
      <c r="B93" s="4" t="str">
        <f>Table15[[#This Row],[Section]]</f>
        <v>Co-Browsing</v>
      </c>
      <c r="C93" s="4" t="str">
        <f>Table15[[#This Row],[Sub-Section]]</f>
        <v>Buttons</v>
      </c>
      <c r="D93" s="16" t="str">
        <f>Table15[[#This Row],[Title]]</f>
        <v>Add access keys for co-browse accept and decline controls.</v>
      </c>
      <c r="E93" s="80" t="str">
        <f>IF(Table15[[#This Row],[Description]]&lt;&gt;0,Table15[[#This Row],[Description]],"No entry")</f>
        <v xml:space="preserve">Use accesskey="A" for accept, and accesskey="D" for decline co-browse. </v>
      </c>
      <c r="F93" s="81" t="str">
        <f>IF((Table15[[#This Row],[Mobile 
Native 
App]]="yes"),"yes","no")</f>
        <v>no</v>
      </c>
      <c r="G93" s="79" t="str">
        <f>IF((Table15[[#This Row],[Mobile 
Web]]="yes"),"","n/a")</f>
        <v>n/a</v>
      </c>
      <c r="H93" s="14" t="str">
        <f>IF((Table15[[#This Row],[Mobile 
Web]]="yes"),"","n/a")</f>
        <v>n/a</v>
      </c>
      <c r="I93" t="str">
        <f>IF((Table15[[#This Row],[Mobile 
Native 
App]]="yes"),"","n/a")</f>
        <v>n/a</v>
      </c>
    </row>
    <row r="94" spans="1:9" ht="116" hidden="1" x14ac:dyDescent="0.35">
      <c r="A94" s="2" t="str">
        <f>Table15[[#This Row],[ID]]</f>
        <v>8.2.1</v>
      </c>
      <c r="B94" s="4" t="str">
        <f>Table15[[#This Row],[Section]]</f>
        <v>Co-Browsing</v>
      </c>
      <c r="C94" s="4" t="str">
        <f>Table15[[#This Row],[Sub-Section]]</f>
        <v>Banner</v>
      </c>
      <c r="D94" s="16" t="str">
        <f>Table15[[#This Row],[Title]]</f>
        <v>Co-browsing banner title read automatically when displayed.</v>
      </c>
      <c r="E94" s="80"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94" s="81" t="str">
        <f>IF((Table15[[#This Row],[Mobile 
Native 
App]]="yes"),"yes","no")</f>
        <v>no</v>
      </c>
      <c r="G94" s="79" t="str">
        <f>IF((Table15[[#This Row],[Mobile 
Web]]="yes"),"","n/a")</f>
        <v/>
      </c>
      <c r="H94" s="14" t="str">
        <f>IF((Table15[[#This Row],[Mobile 
Web]]="yes"),"","n/a")</f>
        <v/>
      </c>
      <c r="I94" t="str">
        <f>IF((Table15[[#This Row],[Mobile 
Native 
App]]="yes"),"","n/a")</f>
        <v>n/a</v>
      </c>
    </row>
    <row r="95" spans="1:9" ht="29" hidden="1" x14ac:dyDescent="0.35">
      <c r="A95" s="2" t="str">
        <f>Table15[[#This Row],[ID]]</f>
        <v>8.2.2</v>
      </c>
      <c r="B95" s="4" t="str">
        <f>Table15[[#This Row],[Section]]</f>
        <v>Co-Browsing</v>
      </c>
      <c r="C95" s="4" t="str">
        <f>Table15[[#This Row],[Sub-Section]]</f>
        <v>Banner</v>
      </c>
      <c r="D95" s="16" t="str">
        <f>Table15[[#This Row],[Title]]</f>
        <v>Banner title is enclosed in an &lt;h1&gt; tag.</v>
      </c>
      <c r="E95" s="80" t="str">
        <f>IF(Table15[[#This Row],[Description]]&lt;&gt;0,Table15[[#This Row],[Description]],"No entry")</f>
        <v>No entry</v>
      </c>
      <c r="F95" s="81" t="str">
        <f>IF((Table15[[#This Row],[Mobile 
Native 
App]]="yes"),"yes","no")</f>
        <v>no</v>
      </c>
      <c r="G95" s="79" t="str">
        <f>IF((Table15[[#This Row],[Mobile 
Web]]="yes"),"","n/a")</f>
        <v/>
      </c>
      <c r="H95" s="14" t="str">
        <f>IF((Table15[[#This Row],[Mobile 
Web]]="yes"),"","n/a")</f>
        <v/>
      </c>
      <c r="I95" t="str">
        <f>IF((Table15[[#This Row],[Mobile 
Native 
App]]="yes"),"","n/a")</f>
        <v>n/a</v>
      </c>
    </row>
    <row r="96" spans="1:9" ht="43.5" hidden="1" x14ac:dyDescent="0.35">
      <c r="A96" s="2" t="str">
        <f>Table15[[#This Row],[ID]]</f>
        <v>8.2.3</v>
      </c>
      <c r="B96" s="4" t="str">
        <f>Table15[[#This Row],[Section]]</f>
        <v>Co-Browsing</v>
      </c>
      <c r="C96" s="4" t="str">
        <f>Table15[[#This Row],[Sub-Section]]</f>
        <v>Banner</v>
      </c>
      <c r="D96" s="16" t="str">
        <f>Table15[[#This Row],[Title]]</f>
        <v>Chat restore button has initial focus when co-browse marquee appears.</v>
      </c>
      <c r="E96" s="80" t="str">
        <f>IF(Table15[[#This Row],[Description]]&lt;&gt;0,Table15[[#This Row],[Description]],"No entry")</f>
        <v>"Restore cht" or "end cobrowse" must have initial focus. Button must be read automatically without interference with the banner title announcement.</v>
      </c>
      <c r="F96" s="81" t="str">
        <f>IF((Table15[[#This Row],[Mobile 
Native 
App]]="yes"),"yes","no")</f>
        <v>no</v>
      </c>
      <c r="G96" s="79" t="str">
        <f>IF((Table15[[#This Row],[Mobile 
Web]]="yes"),"","n/a")</f>
        <v/>
      </c>
      <c r="H96" s="14" t="str">
        <f>IF((Table15[[#This Row],[Mobile 
Web]]="yes"),"","n/a")</f>
        <v/>
      </c>
      <c r="I96" t="str">
        <f>IF((Table15[[#This Row],[Mobile 
Native 
App]]="yes"),"","n/a")</f>
        <v>n/a</v>
      </c>
    </row>
    <row r="97" spans="1:9" ht="43.5" hidden="1" x14ac:dyDescent="0.35">
      <c r="A97" s="2" t="str">
        <f>Table15[[#This Row],[ID]]</f>
        <v>8.2.4</v>
      </c>
      <c r="B97" s="4" t="str">
        <f>Table15[[#This Row],[Section]]</f>
        <v>Co-Browsing</v>
      </c>
      <c r="C97" s="4" t="str">
        <f>Table15[[#This Row],[Sub-Section]]</f>
        <v>Banner</v>
      </c>
      <c r="D97" s="16" t="str">
        <f>Table15[[#This Row],[Title]]</f>
        <v>Cobrowse banner buttons have access keys</v>
      </c>
      <c r="E97" s="80" t="str">
        <f>IF(Table15[[#This Row],[Description]]&lt;&gt;0,Table15[[#This Row],[Description]],"No entry")</f>
        <v>Use accesskey="R" on the restore chat button. Use accesskey="X" on the combined "close co-browse" and chat session button.</v>
      </c>
      <c r="F97" s="81" t="str">
        <f>IF((Table15[[#This Row],[Mobile 
Native 
App]]="yes"),"yes","no")</f>
        <v>no</v>
      </c>
      <c r="G97" s="79" t="str">
        <f>IF((Table15[[#This Row],[Mobile 
Web]]="yes"),"","n/a")</f>
        <v/>
      </c>
      <c r="H97" s="14" t="str">
        <f>IF((Table15[[#This Row],[Mobile 
Web]]="yes"),"","n/a")</f>
        <v/>
      </c>
      <c r="I97" t="str">
        <f>IF((Table15[[#This Row],[Mobile 
Native 
App]]="yes"),"","n/a")</f>
        <v>n/a</v>
      </c>
    </row>
    <row r="98" spans="1:9" ht="58" hidden="1" x14ac:dyDescent="0.35">
      <c r="A98" s="2" t="str">
        <f>Table15[[#This Row],[ID]]</f>
        <v>8.2.5</v>
      </c>
      <c r="B98" s="4" t="str">
        <f>Table15[[#This Row],[Section]]</f>
        <v>Co-Browsing</v>
      </c>
      <c r="C98" s="4" t="str">
        <f>Table15[[#This Row],[Sub-Section]]</f>
        <v>Banner</v>
      </c>
      <c r="D98" s="16" t="str">
        <f>Table15[[#This Row],[Title]]</f>
        <v>When an agent message is received during a co-browse session, the message is announce automatically.</v>
      </c>
      <c r="E98" s="80" t="str">
        <f>IF(Table15[[#This Row],[Description]]&lt;&gt;0,Table15[[#This Row],[Description]],"No entry")</f>
        <v>Use ARIA-live="polite".</v>
      </c>
      <c r="F98" s="81" t="str">
        <f>IF((Table15[[#This Row],[Mobile 
Native 
App]]="yes"),"yes","no")</f>
        <v>no</v>
      </c>
      <c r="G98" s="79" t="str">
        <f>IF((Table15[[#This Row],[Mobile 
Web]]="yes"),"","n/a")</f>
        <v/>
      </c>
      <c r="H98" s="14" t="str">
        <f>IF((Table15[[#This Row],[Mobile 
Web]]="yes"),"","n/a")</f>
        <v/>
      </c>
      <c r="I98" t="str">
        <f>IF((Table15[[#This Row],[Mobile 
Native 
App]]="yes"),"","n/a")</f>
        <v>n/a</v>
      </c>
    </row>
    <row r="99" spans="1:9" ht="58" hidden="1" x14ac:dyDescent="0.35">
      <c r="A99" s="2" t="str">
        <f>Table15[[#This Row],[ID]]</f>
        <v>8.2.6</v>
      </c>
      <c r="B99" s="4" t="str">
        <f>Table15[[#This Row],[Section]]</f>
        <v>Co-Browsing</v>
      </c>
      <c r="C99" s="4" t="str">
        <f>Table15[[#This Row],[Sub-Section]]</f>
        <v>Banner</v>
      </c>
      <c r="D99" s="16" t="str">
        <f>Table15[[#This Row],[Title]]</f>
        <v>The latest message received in cobrowse is navigable by the screen reader</v>
      </c>
      <c r="E99" s="80" t="str">
        <f>IF(Table15[[#This Row],[Description]]&lt;&gt;0,Table15[[#This Row],[Description]],"No entry")</f>
        <v>It may be posted invisibly  to the banner via CSS. Screen readers will still perceive it. Message is navigable, and spoken automatically when received, and respects state of "chime" button</v>
      </c>
      <c r="F99" s="81" t="str">
        <f>IF((Table15[[#This Row],[Mobile 
Native 
App]]="yes"),"yes","no")</f>
        <v>no</v>
      </c>
      <c r="G99" s="79" t="str">
        <f>IF((Table15[[#This Row],[Mobile 
Web]]="yes"),"","n/a")</f>
        <v/>
      </c>
      <c r="H99" s="14" t="str">
        <f>IF((Table15[[#This Row],[Mobile 
Web]]="yes"),"","n/a")</f>
        <v/>
      </c>
      <c r="I99" t="str">
        <f>IF((Table15[[#This Row],[Mobile 
Native 
App]]="yes"),"","n/a")</f>
        <v>n/a</v>
      </c>
    </row>
    <row r="100" spans="1:9" ht="43.5" hidden="1" x14ac:dyDescent="0.35">
      <c r="A100" s="2" t="str">
        <f>Table15[[#This Row],[ID]]</f>
        <v>8.3.1</v>
      </c>
      <c r="B100" s="4" t="str">
        <f>Table15[[#This Row],[Section]]</f>
        <v>Co-Browsing</v>
      </c>
      <c r="C100" s="4" t="str">
        <f>Table15[[#This Row],[Sub-Section]]</f>
        <v>Highlighting</v>
      </c>
      <c r="D100" s="16" t="str">
        <f>Table15[[#This Row],[Title]]</f>
        <v>Co-browse highlighting is spoken automatically.</v>
      </c>
      <c r="E100" s="80" t="str">
        <f>IF(Table15[[#This Row],[Description]]&lt;&gt;0,Table15[[#This Row],[Description]],"No entry")</f>
        <v>On each span delimiting a highlight area, specify ARIA-Live = polite or role="alert". Do not use ARIA-live="assertive", because it might fail.</v>
      </c>
      <c r="F100" s="81" t="str">
        <f>IF((Table15[[#This Row],[Mobile 
Native 
App]]="yes"),"yes","no")</f>
        <v>no</v>
      </c>
      <c r="G100" s="79" t="str">
        <f>IF((Table15[[#This Row],[Mobile 
Web]]="yes"),"","n/a")</f>
        <v/>
      </c>
      <c r="H100" s="14" t="str">
        <f>IF((Table15[[#This Row],[Mobile 
Web]]="yes"),"","n/a")</f>
        <v/>
      </c>
      <c r="I100" t="str">
        <f>IF((Table15[[#This Row],[Mobile 
Native 
App]]="yes"),"","n/a")</f>
        <v>n/a</v>
      </c>
    </row>
    <row r="101" spans="1:9" ht="87" hidden="1" x14ac:dyDescent="0.35">
      <c r="A101" s="2" t="str">
        <f>Table15[[#This Row],[ID]]</f>
        <v>8.3.2</v>
      </c>
      <c r="B101" s="4" t="str">
        <f>Table15[[#This Row],[Section]]</f>
        <v>Co-Browsing</v>
      </c>
      <c r="C101" s="4" t="str">
        <f>Table15[[#This Row],[Sub-Section]]</f>
        <v>Highlighting</v>
      </c>
      <c r="D101" s="16" t="str">
        <f>Table15[[#This Row],[Title]]</f>
        <v>Color of the co-browse highlight is announced automatically.</v>
      </c>
      <c r="E101" s="80" t="str">
        <f>IF(Table15[[#This Row],[Description]]&lt;&gt;0,Table15[[#This Row],[Description]],"No entry")</f>
        <v>Specify a unique ARIA-label attribute on each span containing highlighted text, in the form: aria-label="{some_color}". Note that }some_color} is replacement text... Use what ever color name you are using for the highlight(s)... E.g. "lemon yellow", "fuxia", or "aqua green".</v>
      </c>
      <c r="F101" s="81" t="str">
        <f>IF((Table15[[#This Row],[Mobile 
Native 
App]]="yes"),"yes","no")</f>
        <v>no</v>
      </c>
      <c r="G101" s="79" t="str">
        <f>IF((Table15[[#This Row],[Mobile 
Web]]="yes"),"","n/a")</f>
        <v/>
      </c>
      <c r="H101" s="14" t="str">
        <f>IF((Table15[[#This Row],[Mobile 
Web]]="yes"),"","n/a")</f>
        <v/>
      </c>
      <c r="I101" t="str">
        <f>IF((Table15[[#This Row],[Mobile 
Native 
App]]="yes"),"","n/a")</f>
        <v>n/a</v>
      </c>
    </row>
    <row r="102" spans="1:9" ht="101.5" hidden="1" x14ac:dyDescent="0.35">
      <c r="A102" s="2" t="str">
        <f>Table15[[#This Row],[ID]]</f>
        <v>8.3.3</v>
      </c>
      <c r="B102" s="4" t="str">
        <f>Table15[[#This Row],[Section]]</f>
        <v>Co-Browsing</v>
      </c>
      <c r="C102" s="4" t="str">
        <f>Table15[[#This Row],[Sub-Section]]</f>
        <v>Highlighting</v>
      </c>
      <c r="D102" s="16" t="str">
        <f>Table15[[#This Row],[Title]]</f>
        <v>Co-browse highlighted areas support landmark navigation</v>
      </c>
      <c r="E102" s="80" t="str">
        <f>IF(Table15[[#This Row],[Description]]&lt;&gt;0,Table15[[#This Row],[Description]],"No entry")</f>
        <v xml:space="preserve">on each  span surrounding highlighted regions, specify role="complementary" to establish landmark navigability by screen readers, and aria-label="{some_color}" which will announce the color of the highlight to be announced. Note that }some_color} is replacement text... Use what ever color name you are using for the highlight(s)... E.g. "lemon yellow", "fuxia", or "aqua green". by screen readers. </v>
      </c>
      <c r="F102" s="81" t="str">
        <f>IF((Table15[[#This Row],[Mobile 
Native 
App]]="yes"),"yes","no")</f>
        <v>no</v>
      </c>
      <c r="G102" s="79" t="str">
        <f>IF((Table15[[#This Row],[Mobile 
Web]]="yes"),"","n/a")</f>
        <v/>
      </c>
      <c r="H102" s="14" t="str">
        <f>IF((Table15[[#This Row],[Mobile 
Web]]="yes"),"","n/a")</f>
        <v/>
      </c>
      <c r="I102" t="str">
        <f>IF((Table15[[#This Row],[Mobile 
Native 
App]]="yes"),"","n/a")</f>
        <v>n/a</v>
      </c>
    </row>
    <row r="103" spans="1:9" ht="58" hidden="1" x14ac:dyDescent="0.35">
      <c r="A103" s="2" t="str">
        <f>Table15[[#This Row],[ID]]</f>
        <v>9.1.1</v>
      </c>
      <c r="B103" s="4" t="str">
        <f>Table15[[#This Row],[Section]]</f>
        <v>National Language Support</v>
      </c>
      <c r="C103" s="4" t="str">
        <f>Table15[[#This Row],[Sub-Section]]</f>
        <v>General Requirements</v>
      </c>
      <c r="D103" s="16" t="str">
        <f>Table15[[#This Row],[Title]]</f>
        <v>Primary chat language is supported globally.</v>
      </c>
      <c r="E103" s="80" t="str">
        <f>IF(Table15[[#This Row],[Description]]&lt;&gt;0,Table15[[#This Row],[Description]],"No entry")</f>
        <v xml:space="preserve">The primary language of the chat environment is declared with an appropriate lang attribute assignment on the outmost container tag of each chat component.
</v>
      </c>
      <c r="F103" s="81" t="str">
        <f>IF((Table15[[#This Row],[Mobile 
Native 
App]]="yes"),"yes","no")</f>
        <v>yes</v>
      </c>
      <c r="G103" s="79" t="str">
        <f>IF((Table15[[#This Row],[Mobile 
Web]]="yes"),"","n/a")</f>
        <v/>
      </c>
      <c r="H103" s="14" t="str">
        <f>IF((Table15[[#This Row],[Mobile 
Web]]="yes"),"","n/a")</f>
        <v/>
      </c>
      <c r="I103" t="str">
        <f>IF((Table15[[#This Row],[Mobile 
Native 
App]]="yes"),"","n/a")</f>
        <v/>
      </c>
    </row>
    <row r="104" spans="1:9" ht="72.5" hidden="1" x14ac:dyDescent="0.35">
      <c r="A104" s="2" t="str">
        <f>Table15[[#This Row],[ID]]</f>
        <v xml:space="preserve"> 9.1.2</v>
      </c>
      <c r="B104" s="4" t="str">
        <f>Table15[[#This Row],[Section]]</f>
        <v>National Language Support</v>
      </c>
      <c r="C104" s="4" t="str">
        <f>Table15[[#This Row],[Sub-Section]]</f>
        <v>General Requirements</v>
      </c>
      <c r="D104" s="16" t="str">
        <f>Table15[[#This Row],[Title]]</f>
        <v>Ensure that all text, and all literal string assignments for attributes are written/translated in the national language of the chat.</v>
      </c>
      <c r="E10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104" s="81" t="str">
        <f>IF((Table15[[#This Row],[Mobile 
Native 
App]]="yes"),"yes","no")</f>
        <v>yes</v>
      </c>
      <c r="G104" s="79" t="str">
        <f>IF((Table15[[#This Row],[Mobile 
Web]]="yes"),"","n/a")</f>
        <v/>
      </c>
      <c r="H104" s="14" t="str">
        <f>IF((Table15[[#This Row],[Mobile 
Web]]="yes"),"","n/a")</f>
        <v/>
      </c>
      <c r="I104" t="str">
        <f>IF((Table15[[#This Row],[Mobile 
Native 
App]]="yes"),"","n/a")</f>
        <v/>
      </c>
    </row>
    <row r="105" spans="1:9" ht="72.5" hidden="1" x14ac:dyDescent="0.35">
      <c r="A105" s="2" t="str">
        <f>Table15[[#This Row],[ID]]</f>
        <v>9.1.3</v>
      </c>
      <c r="B105" s="4" t="str">
        <f>Table15[[#This Row],[Section]]</f>
        <v>National Language Support</v>
      </c>
      <c r="C105" s="4" t="str">
        <f>Table15[[#This Row],[Sub-Section]]</f>
        <v>General Requirements</v>
      </c>
      <c r="D105" s="16" t="str">
        <f>Table15[[#This Row],[Title]]</f>
        <v>In imported widgets, ensure that all text, and all literal string assignments for attributes are written/translated in the national language of the chat.</v>
      </c>
      <c r="E105"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105" s="81" t="str">
        <f>IF((Table15[[#This Row],[Mobile 
Native 
App]]="yes"),"yes","no")</f>
        <v>yes</v>
      </c>
      <c r="G105" s="79" t="str">
        <f>IF((Table15[[#This Row],[Mobile 
Web]]="yes"),"","n/a")</f>
        <v/>
      </c>
      <c r="H105" s="14" t="str">
        <f>IF((Table15[[#This Row],[Mobile 
Web]]="yes"),"","n/a")</f>
        <v/>
      </c>
      <c r="I105" t="str">
        <f>IF((Table15[[#This Row],[Mobile 
Native 
App]]="yes"),"","n/a")</f>
        <v/>
      </c>
    </row>
    <row r="106" spans="1:9" ht="29" hidden="1" x14ac:dyDescent="0.35">
      <c r="A106" s="2" t="str">
        <f>Table15[[#This Row],[ID]]</f>
        <v>11.0.0</v>
      </c>
      <c r="B106" s="4" t="str">
        <f>Table15[[#This Row],[Section]]</f>
        <v>Imported Widgets</v>
      </c>
      <c r="C106" s="4" t="str">
        <f>Table15[[#This Row],[Sub-Section]]</f>
        <v>Modal Taxonomy</v>
      </c>
      <c r="D106" s="16" t="str">
        <f>Table15[[#This Row],[Title]]</f>
        <v>Imported Widgets are Strict Modals</v>
      </c>
      <c r="E106" s="80" t="str">
        <f>IF(Table15[[#This Row],[Description]]&lt;&gt;0,Table15[[#This Row],[Description]],"No entry")</f>
        <v>See Modal Taxonomy tab</v>
      </c>
      <c r="F106" s="81" t="str">
        <f>IF((Table15[[#This Row],[Mobile 
Native 
App]]="yes"),"yes","no")</f>
        <v>no</v>
      </c>
      <c r="G106" s="79" t="str">
        <f>IF((Table15[[#This Row],[Mobile 
Web]]="yes"),"","n/a")</f>
        <v>n/a</v>
      </c>
      <c r="H106" s="14" t="str">
        <f>IF((Table15[[#This Row],[Mobile 
Web]]="yes"),"","n/a")</f>
        <v>n/a</v>
      </c>
      <c r="I106" t="str">
        <f>IF((Table15[[#This Row],[Mobile 
Native 
App]]="yes"),"","n/a")</f>
        <v>n/a</v>
      </c>
    </row>
    <row r="107" spans="1:9" ht="29" hidden="1" x14ac:dyDescent="0.35">
      <c r="A107" s="2" t="str">
        <f>Table15[[#This Row],[ID]]</f>
        <v>11.1.1</v>
      </c>
      <c r="B107" s="4" t="str">
        <f>Table15[[#This Row],[Section]]</f>
        <v>Imported Widgets</v>
      </c>
      <c r="C107" s="4" t="str">
        <f>Table15[[#This Row],[Sub-Section]]</f>
        <v>General Requirements</v>
      </c>
      <c r="D107" s="16" t="str">
        <f>Table15[[#This Row],[Title]]</f>
        <v>Imported widgets are modalized</v>
      </c>
      <c r="E107" s="80" t="str">
        <f>IF(Table15[[#This Row],[Description]]&lt;&gt;0,Table15[[#This Row],[Description]],"No entry")</f>
        <v>Imported widgets are housed in strict modals. See detailed requirements in Modals section of ACASTT: UID 3.1.3.</v>
      </c>
      <c r="F107" s="81" t="str">
        <f>IF((Table15[[#This Row],[Mobile 
Native 
App]]="yes"),"yes","no")</f>
        <v>yes</v>
      </c>
      <c r="G107" s="79" t="str">
        <f>IF((Table15[[#This Row],[Mobile 
Web]]="yes"),"","n/a")</f>
        <v/>
      </c>
      <c r="H107" s="14" t="str">
        <f>IF((Table15[[#This Row],[Mobile 
Web]]="yes"),"","n/a")</f>
        <v/>
      </c>
      <c r="I107" t="str">
        <f>IF((Table15[[#This Row],[Mobile 
Native 
App]]="yes"),"","n/a")</f>
        <v/>
      </c>
    </row>
    <row r="108" spans="1:9" ht="43.5" hidden="1" x14ac:dyDescent="0.35">
      <c r="A108" s="2" t="str">
        <f>Table15[[#This Row],[ID]]</f>
        <v>11.1.2</v>
      </c>
      <c r="B108" s="4" t="str">
        <f>Table15[[#This Row],[Section]]</f>
        <v>Imported Widgets</v>
      </c>
      <c r="C108" s="4" t="str">
        <f>Table15[[#This Row],[Sub-Section]]</f>
        <v>General Requirements</v>
      </c>
      <c r="D108" s="16" t="str">
        <f>Table15[[#This Row],[Title]]</f>
        <v>Forms inside widgets will conform to chat requirements for form elements.</v>
      </c>
      <c r="E108" s="80" t="str">
        <f>IF(Table15[[#This Row],[Description]]&lt;&gt;0,Table15[[#This Row],[Description]],"No entry")</f>
        <v>See detailed requirements in Forms section of ACASTT</v>
      </c>
      <c r="F108" s="81" t="str">
        <f>IF((Table15[[#This Row],[Mobile 
Native 
App]]="yes"),"yes","no")</f>
        <v>yes</v>
      </c>
      <c r="G108" s="79" t="str">
        <f>IF((Table15[[#This Row],[Mobile 
Web]]="yes"),"","n/a")</f>
        <v/>
      </c>
      <c r="H108" s="14" t="str">
        <f>IF((Table15[[#This Row],[Mobile 
Web]]="yes"),"","n/a")</f>
        <v/>
      </c>
      <c r="I108" t="str">
        <f>IF((Table15[[#This Row],[Mobile 
Native 
App]]="yes"),"","n/a")</f>
        <v/>
      </c>
    </row>
    <row r="109" spans="1:9" ht="43.5" hidden="1" x14ac:dyDescent="0.35">
      <c r="A109" s="2" t="str">
        <f>Table15[[#This Row],[ID]]</f>
        <v>12.1.1</v>
      </c>
      <c r="B109" s="4" t="str">
        <f>Table15[[#This Row],[Section]]</f>
        <v>Chat Suppression</v>
      </c>
      <c r="C109" s="4" t="str">
        <f>Table15[[#This Row],[Sub-Section]]</f>
        <v>General Requirements</v>
      </c>
      <c r="D109" s="16" t="str">
        <f>Table15[[#This Row],[Title]]</f>
        <v>On suppressed pages, chat must not be percievable by any users, including screen reader users.</v>
      </c>
      <c r="E109" s="80" t="str">
        <f>IF(Table15[[#This Row],[Description]]&lt;&gt;0,Table15[[#This Row],[Description]],"No entry")</f>
        <v>If the chat POI is properly suppressed, the process will not yield any announcement of the chat POI.</v>
      </c>
      <c r="F109" s="81" t="str">
        <f>IF((Table15[[#This Row],[Mobile 
Native 
App]]="yes"),"yes","no")</f>
        <v>yes</v>
      </c>
      <c r="G109" s="79" t="str">
        <f>IF((Table15[[#This Row],[Mobile 
Web]]="yes"),"","n/a")</f>
        <v/>
      </c>
      <c r="H109" s="14" t="str">
        <f>IF((Table15[[#This Row],[Mobile 
Web]]="yes"),"","n/a")</f>
        <v/>
      </c>
      <c r="I109" t="str">
        <f>IF((Table15[[#This Row],[Mobile 
Native 
App]]="yes"),"","n/a")</f>
        <v/>
      </c>
    </row>
  </sheetData>
  <conditionalFormatting sqref="A2:F109">
    <cfRule type="expression" dxfId="16417" priority="3">
      <formula>$F2="no"</formula>
    </cfRule>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59999389629810485"/>
  </sheetPr>
  <dimension ref="A1:XFD5"/>
  <sheetViews>
    <sheetView workbookViewId="0">
      <selection activeCell="A2" sqref="A2"/>
    </sheetView>
  </sheetViews>
  <sheetFormatPr defaultRowHeight="14.5" x14ac:dyDescent="0.35"/>
  <cols>
    <col min="2" max="2" width="26.26953125" style="48" customWidth="1"/>
    <col min="3" max="3" width="18.26953125" style="48" customWidth="1"/>
    <col min="4" max="4" width="65.453125" style="48" customWidth="1"/>
    <col min="5" max="5" width="28.7265625" style="48" customWidth="1"/>
  </cols>
  <sheetData>
    <row r="1" spans="1:16384" s="15" customFormat="1" ht="29" x14ac:dyDescent="0.35">
      <c r="A1" s="15" t="s">
        <v>4</v>
      </c>
      <c r="B1" s="23" t="s">
        <v>225</v>
      </c>
      <c r="C1" s="23" t="s">
        <v>224</v>
      </c>
      <c r="D1" s="23" t="s">
        <v>87</v>
      </c>
      <c r="E1" s="23" t="s">
        <v>172</v>
      </c>
      <c r="F1" s="15" t="s">
        <v>251</v>
      </c>
      <c r="G1" s="15" t="s">
        <v>252</v>
      </c>
      <c r="H1" s="15" t="s">
        <v>253</v>
      </c>
      <c r="I1" s="15" t="s">
        <v>254</v>
      </c>
      <c r="J1" s="15" t="s">
        <v>255</v>
      </c>
      <c r="K1" s="15" t="s">
        <v>256</v>
      </c>
      <c r="L1" s="15" t="s">
        <v>257</v>
      </c>
      <c r="M1" s="15" t="s">
        <v>258</v>
      </c>
      <c r="N1" s="15" t="s">
        <v>259</v>
      </c>
      <c r="O1" s="15" t="s">
        <v>260</v>
      </c>
      <c r="P1" s="15" t="s">
        <v>261</v>
      </c>
      <c r="Q1" s="15" t="s">
        <v>262</v>
      </c>
      <c r="R1" s="15" t="s">
        <v>263</v>
      </c>
      <c r="S1" s="15" t="s">
        <v>264</v>
      </c>
      <c r="T1" s="15" t="s">
        <v>265</v>
      </c>
      <c r="U1" s="15" t="s">
        <v>266</v>
      </c>
      <c r="V1" s="15" t="s">
        <v>267</v>
      </c>
      <c r="W1" s="15" t="s">
        <v>268</v>
      </c>
      <c r="X1" s="15" t="s">
        <v>269</v>
      </c>
      <c r="Y1" s="15" t="s">
        <v>270</v>
      </c>
      <c r="Z1" s="15" t="s">
        <v>271</v>
      </c>
      <c r="AA1" s="15" t="s">
        <v>272</v>
      </c>
      <c r="AB1" s="15" t="s">
        <v>273</v>
      </c>
      <c r="AC1" s="15" t="s">
        <v>274</v>
      </c>
      <c r="AD1" s="15" t="s">
        <v>275</v>
      </c>
      <c r="AE1" s="15" t="s">
        <v>276</v>
      </c>
      <c r="AF1" s="15" t="s">
        <v>277</v>
      </c>
      <c r="AG1" s="15" t="s">
        <v>278</v>
      </c>
      <c r="AH1" s="15" t="s">
        <v>279</v>
      </c>
      <c r="AI1" s="15" t="s">
        <v>280</v>
      </c>
      <c r="AJ1" s="15" t="s">
        <v>281</v>
      </c>
      <c r="AK1" s="15" t="s">
        <v>282</v>
      </c>
      <c r="AL1" s="15" t="s">
        <v>283</v>
      </c>
      <c r="AM1" s="15" t="s">
        <v>284</v>
      </c>
      <c r="AN1" s="15" t="s">
        <v>285</v>
      </c>
      <c r="AO1" s="15" t="s">
        <v>286</v>
      </c>
      <c r="AP1" s="15" t="s">
        <v>287</v>
      </c>
      <c r="AQ1" s="15" t="s">
        <v>288</v>
      </c>
      <c r="AR1" s="15" t="s">
        <v>289</v>
      </c>
      <c r="AS1" s="15" t="s">
        <v>290</v>
      </c>
      <c r="AT1" s="15" t="s">
        <v>291</v>
      </c>
      <c r="AU1" s="15" t="s">
        <v>292</v>
      </c>
      <c r="AV1" s="15" t="s">
        <v>293</v>
      </c>
      <c r="AW1" s="15" t="s">
        <v>294</v>
      </c>
      <c r="AX1" s="15" t="s">
        <v>295</v>
      </c>
      <c r="AY1" s="15" t="s">
        <v>296</v>
      </c>
      <c r="AZ1" s="15" t="s">
        <v>297</v>
      </c>
      <c r="BA1" s="15" t="s">
        <v>298</v>
      </c>
      <c r="BB1" s="15" t="s">
        <v>299</v>
      </c>
      <c r="BC1" s="15" t="s">
        <v>300</v>
      </c>
      <c r="BD1" s="15" t="s">
        <v>301</v>
      </c>
      <c r="BE1" s="15" t="s">
        <v>302</v>
      </c>
      <c r="BF1" s="15" t="s">
        <v>303</v>
      </c>
      <c r="BG1" s="15" t="s">
        <v>304</v>
      </c>
      <c r="BH1" s="15" t="s">
        <v>305</v>
      </c>
      <c r="BI1" s="15" t="s">
        <v>306</v>
      </c>
      <c r="BJ1" s="15" t="s">
        <v>307</v>
      </c>
      <c r="BK1" s="15" t="s">
        <v>308</v>
      </c>
      <c r="BL1" s="15" t="s">
        <v>309</v>
      </c>
      <c r="BM1" s="15" t="s">
        <v>310</v>
      </c>
      <c r="BN1" s="15" t="s">
        <v>311</v>
      </c>
      <c r="BO1" s="15" t="s">
        <v>312</v>
      </c>
      <c r="BP1" s="15" t="s">
        <v>313</v>
      </c>
      <c r="BQ1" s="15" t="s">
        <v>314</v>
      </c>
      <c r="BR1" s="15" t="s">
        <v>315</v>
      </c>
      <c r="BS1" s="15" t="s">
        <v>316</v>
      </c>
      <c r="BT1" s="15" t="s">
        <v>317</v>
      </c>
      <c r="BU1" s="15" t="s">
        <v>318</v>
      </c>
      <c r="BV1" s="15" t="s">
        <v>319</v>
      </c>
      <c r="BW1" s="15" t="s">
        <v>320</v>
      </c>
      <c r="BX1" s="15" t="s">
        <v>321</v>
      </c>
      <c r="BY1" s="15" t="s">
        <v>322</v>
      </c>
      <c r="BZ1" s="15" t="s">
        <v>323</v>
      </c>
      <c r="CA1" s="15" t="s">
        <v>324</v>
      </c>
      <c r="CB1" s="15" t="s">
        <v>325</v>
      </c>
      <c r="CC1" s="15" t="s">
        <v>326</v>
      </c>
      <c r="CD1" s="15" t="s">
        <v>327</v>
      </c>
      <c r="CE1" s="15" t="s">
        <v>328</v>
      </c>
      <c r="CF1" s="15" t="s">
        <v>329</v>
      </c>
      <c r="CG1" s="15" t="s">
        <v>330</v>
      </c>
      <c r="CH1" s="15" t="s">
        <v>331</v>
      </c>
      <c r="CI1" s="15" t="s">
        <v>332</v>
      </c>
      <c r="CJ1" s="15" t="s">
        <v>333</v>
      </c>
      <c r="CK1" s="15" t="s">
        <v>334</v>
      </c>
      <c r="CL1" s="15" t="s">
        <v>335</v>
      </c>
      <c r="CM1" s="15" t="s">
        <v>336</v>
      </c>
      <c r="CN1" s="15" t="s">
        <v>337</v>
      </c>
      <c r="CO1" s="15" t="s">
        <v>338</v>
      </c>
      <c r="CP1" s="15" t="s">
        <v>339</v>
      </c>
      <c r="CQ1" s="15" t="s">
        <v>340</v>
      </c>
      <c r="CR1" s="15" t="s">
        <v>341</v>
      </c>
      <c r="CS1" s="15" t="s">
        <v>342</v>
      </c>
      <c r="CT1" s="15" t="s">
        <v>343</v>
      </c>
      <c r="CU1" s="15" t="s">
        <v>344</v>
      </c>
      <c r="CV1" s="15" t="s">
        <v>345</v>
      </c>
      <c r="CW1" s="15" t="s">
        <v>346</v>
      </c>
      <c r="CX1" s="15" t="s">
        <v>347</v>
      </c>
      <c r="CY1" s="15" t="s">
        <v>348</v>
      </c>
      <c r="CZ1" s="15" t="s">
        <v>349</v>
      </c>
      <c r="DA1" s="15" t="s">
        <v>350</v>
      </c>
      <c r="DB1" s="15" t="s">
        <v>351</v>
      </c>
      <c r="DC1" s="15" t="s">
        <v>352</v>
      </c>
      <c r="DD1" s="15" t="s">
        <v>353</v>
      </c>
      <c r="DE1" s="15" t="s">
        <v>354</v>
      </c>
      <c r="DF1" s="15" t="s">
        <v>355</v>
      </c>
      <c r="DG1" s="15" t="s">
        <v>356</v>
      </c>
      <c r="DH1" s="15" t="s">
        <v>357</v>
      </c>
      <c r="DI1" s="15" t="s">
        <v>358</v>
      </c>
      <c r="DJ1" s="15" t="s">
        <v>359</v>
      </c>
      <c r="DK1" s="15" t="s">
        <v>360</v>
      </c>
      <c r="DL1" s="15" t="s">
        <v>361</v>
      </c>
      <c r="DM1" s="15" t="s">
        <v>362</v>
      </c>
      <c r="DN1" s="15" t="s">
        <v>363</v>
      </c>
      <c r="DO1" s="15" t="s">
        <v>364</v>
      </c>
      <c r="DP1" s="15" t="s">
        <v>365</v>
      </c>
      <c r="DQ1" s="15" t="s">
        <v>366</v>
      </c>
      <c r="DR1" s="15" t="s">
        <v>367</v>
      </c>
      <c r="DS1" s="15" t="s">
        <v>368</v>
      </c>
      <c r="DT1" s="15" t="s">
        <v>369</v>
      </c>
      <c r="DU1" s="15" t="s">
        <v>370</v>
      </c>
      <c r="DV1" s="15" t="s">
        <v>371</v>
      </c>
      <c r="DW1" s="15" t="s">
        <v>372</v>
      </c>
      <c r="DX1" s="15" t="s">
        <v>373</v>
      </c>
      <c r="DY1" s="15" t="s">
        <v>374</v>
      </c>
      <c r="DZ1" s="15" t="s">
        <v>375</v>
      </c>
      <c r="EA1" s="15" t="s">
        <v>376</v>
      </c>
      <c r="EB1" s="15" t="s">
        <v>377</v>
      </c>
      <c r="EC1" s="15" t="s">
        <v>378</v>
      </c>
      <c r="ED1" s="15" t="s">
        <v>379</v>
      </c>
      <c r="EE1" s="15" t="s">
        <v>380</v>
      </c>
      <c r="EF1" s="15" t="s">
        <v>381</v>
      </c>
      <c r="EG1" s="15" t="s">
        <v>382</v>
      </c>
      <c r="EH1" s="15" t="s">
        <v>383</v>
      </c>
      <c r="EI1" s="15" t="s">
        <v>384</v>
      </c>
      <c r="EJ1" s="15" t="s">
        <v>385</v>
      </c>
      <c r="EK1" s="15" t="s">
        <v>386</v>
      </c>
      <c r="EL1" s="15" t="s">
        <v>387</v>
      </c>
      <c r="EM1" s="15" t="s">
        <v>388</v>
      </c>
      <c r="EN1" s="15" t="s">
        <v>389</v>
      </c>
      <c r="EO1" s="15" t="s">
        <v>390</v>
      </c>
      <c r="EP1" s="15" t="s">
        <v>391</v>
      </c>
      <c r="EQ1" s="15" t="s">
        <v>392</v>
      </c>
      <c r="ER1" s="15" t="s">
        <v>393</v>
      </c>
      <c r="ES1" s="15" t="s">
        <v>394</v>
      </c>
      <c r="ET1" s="15" t="s">
        <v>395</v>
      </c>
      <c r="EU1" s="15" t="s">
        <v>396</v>
      </c>
      <c r="EV1" s="15" t="s">
        <v>397</v>
      </c>
      <c r="EW1" s="15" t="s">
        <v>398</v>
      </c>
      <c r="EX1" s="15" t="s">
        <v>399</v>
      </c>
      <c r="EY1" s="15" t="s">
        <v>400</v>
      </c>
      <c r="EZ1" s="15" t="s">
        <v>401</v>
      </c>
      <c r="FA1" s="15" t="s">
        <v>402</v>
      </c>
      <c r="FB1" s="15" t="s">
        <v>403</v>
      </c>
      <c r="FC1" s="15" t="s">
        <v>404</v>
      </c>
      <c r="FD1" s="15" t="s">
        <v>405</v>
      </c>
      <c r="FE1" s="15" t="s">
        <v>406</v>
      </c>
      <c r="FF1" s="15" t="s">
        <v>407</v>
      </c>
      <c r="FG1" s="15" t="s">
        <v>408</v>
      </c>
      <c r="FH1" s="15" t="s">
        <v>409</v>
      </c>
      <c r="FI1" s="15" t="s">
        <v>410</v>
      </c>
      <c r="FJ1" s="15" t="s">
        <v>411</v>
      </c>
      <c r="FK1" s="15" t="s">
        <v>412</v>
      </c>
      <c r="FL1" s="15" t="s">
        <v>413</v>
      </c>
      <c r="FM1" s="15" t="s">
        <v>414</v>
      </c>
      <c r="FN1" s="15" t="s">
        <v>415</v>
      </c>
      <c r="FO1" s="15" t="s">
        <v>416</v>
      </c>
      <c r="FP1" s="15" t="s">
        <v>417</v>
      </c>
      <c r="FQ1" s="15" t="s">
        <v>418</v>
      </c>
      <c r="FR1" s="15" t="s">
        <v>419</v>
      </c>
      <c r="FS1" s="15" t="s">
        <v>420</v>
      </c>
      <c r="FT1" s="15" t="s">
        <v>421</v>
      </c>
      <c r="FU1" s="15" t="s">
        <v>422</v>
      </c>
      <c r="FV1" s="15" t="s">
        <v>423</v>
      </c>
      <c r="FW1" s="15" t="s">
        <v>424</v>
      </c>
      <c r="FX1" s="15" t="s">
        <v>425</v>
      </c>
      <c r="FY1" s="15" t="s">
        <v>426</v>
      </c>
      <c r="FZ1" s="15" t="s">
        <v>427</v>
      </c>
      <c r="GA1" s="15" t="s">
        <v>428</v>
      </c>
      <c r="GB1" s="15" t="s">
        <v>429</v>
      </c>
      <c r="GC1" s="15" t="s">
        <v>430</v>
      </c>
      <c r="GD1" s="15" t="s">
        <v>431</v>
      </c>
      <c r="GE1" s="15" t="s">
        <v>432</v>
      </c>
      <c r="GF1" s="15" t="s">
        <v>433</v>
      </c>
      <c r="GG1" s="15" t="s">
        <v>434</v>
      </c>
      <c r="GH1" s="15" t="s">
        <v>435</v>
      </c>
      <c r="GI1" s="15" t="s">
        <v>436</v>
      </c>
      <c r="GJ1" s="15" t="s">
        <v>437</v>
      </c>
      <c r="GK1" s="15" t="s">
        <v>438</v>
      </c>
      <c r="GL1" s="15" t="s">
        <v>439</v>
      </c>
      <c r="GM1" s="15" t="s">
        <v>440</v>
      </c>
      <c r="GN1" s="15" t="s">
        <v>441</v>
      </c>
      <c r="GO1" s="15" t="s">
        <v>442</v>
      </c>
      <c r="GP1" s="15" t="s">
        <v>443</v>
      </c>
      <c r="GQ1" s="15" t="s">
        <v>444</v>
      </c>
      <c r="GR1" s="15" t="s">
        <v>445</v>
      </c>
      <c r="GS1" s="15" t="s">
        <v>446</v>
      </c>
      <c r="GT1" s="15" t="s">
        <v>447</v>
      </c>
      <c r="GU1" s="15" t="s">
        <v>448</v>
      </c>
      <c r="GV1" s="15" t="s">
        <v>449</v>
      </c>
      <c r="GW1" s="15" t="s">
        <v>450</v>
      </c>
      <c r="GX1" s="15" t="s">
        <v>451</v>
      </c>
      <c r="GY1" s="15" t="s">
        <v>452</v>
      </c>
      <c r="GZ1" s="15" t="s">
        <v>453</v>
      </c>
      <c r="HA1" s="15" t="s">
        <v>454</v>
      </c>
      <c r="HB1" s="15" t="s">
        <v>455</v>
      </c>
      <c r="HC1" s="15" t="s">
        <v>456</v>
      </c>
      <c r="HD1" s="15" t="s">
        <v>457</v>
      </c>
      <c r="HE1" s="15" t="s">
        <v>458</v>
      </c>
      <c r="HF1" s="15" t="s">
        <v>459</v>
      </c>
      <c r="HG1" s="15" t="s">
        <v>460</v>
      </c>
      <c r="HH1" s="15" t="s">
        <v>461</v>
      </c>
      <c r="HI1" s="15" t="s">
        <v>462</v>
      </c>
      <c r="HJ1" s="15" t="s">
        <v>463</v>
      </c>
      <c r="HK1" s="15" t="s">
        <v>464</v>
      </c>
      <c r="HL1" s="15" t="s">
        <v>465</v>
      </c>
      <c r="HM1" s="15" t="s">
        <v>466</v>
      </c>
      <c r="HN1" s="15" t="s">
        <v>467</v>
      </c>
      <c r="HO1" s="15" t="s">
        <v>468</v>
      </c>
      <c r="HP1" s="15" t="s">
        <v>469</v>
      </c>
      <c r="HQ1" s="15" t="s">
        <v>470</v>
      </c>
      <c r="HR1" s="15" t="s">
        <v>471</v>
      </c>
      <c r="HS1" s="15" t="s">
        <v>472</v>
      </c>
      <c r="HT1" s="15" t="s">
        <v>473</v>
      </c>
      <c r="HU1" s="15" t="s">
        <v>474</v>
      </c>
      <c r="HV1" s="15" t="s">
        <v>475</v>
      </c>
      <c r="HW1" s="15" t="s">
        <v>476</v>
      </c>
      <c r="HX1" s="15" t="s">
        <v>477</v>
      </c>
      <c r="HY1" s="15" t="s">
        <v>478</v>
      </c>
      <c r="HZ1" s="15" t="s">
        <v>479</v>
      </c>
      <c r="IA1" s="15" t="s">
        <v>480</v>
      </c>
      <c r="IB1" s="15" t="s">
        <v>481</v>
      </c>
      <c r="IC1" s="15" t="s">
        <v>482</v>
      </c>
      <c r="ID1" s="15" t="s">
        <v>483</v>
      </c>
      <c r="IE1" s="15" t="s">
        <v>484</v>
      </c>
      <c r="IF1" s="15" t="s">
        <v>485</v>
      </c>
      <c r="IG1" s="15" t="s">
        <v>486</v>
      </c>
      <c r="IH1" s="15" t="s">
        <v>487</v>
      </c>
      <c r="II1" s="15" t="s">
        <v>488</v>
      </c>
      <c r="IJ1" s="15" t="s">
        <v>489</v>
      </c>
      <c r="IK1" s="15" t="s">
        <v>490</v>
      </c>
      <c r="IL1" s="15" t="s">
        <v>491</v>
      </c>
      <c r="IM1" s="15" t="s">
        <v>492</v>
      </c>
      <c r="IN1" s="15" t="s">
        <v>493</v>
      </c>
      <c r="IO1" s="15" t="s">
        <v>494</v>
      </c>
      <c r="IP1" s="15" t="s">
        <v>495</v>
      </c>
      <c r="IQ1" s="15" t="s">
        <v>496</v>
      </c>
      <c r="IR1" s="15" t="s">
        <v>497</v>
      </c>
      <c r="IS1" s="15" t="s">
        <v>498</v>
      </c>
      <c r="IT1" s="15" t="s">
        <v>499</v>
      </c>
      <c r="IU1" s="15" t="s">
        <v>500</v>
      </c>
      <c r="IV1" s="15" t="s">
        <v>501</v>
      </c>
      <c r="IW1" s="15" t="s">
        <v>502</v>
      </c>
      <c r="IX1" s="15" t="s">
        <v>503</v>
      </c>
      <c r="IY1" s="15" t="s">
        <v>504</v>
      </c>
      <c r="IZ1" s="15" t="s">
        <v>505</v>
      </c>
      <c r="JA1" s="15" t="s">
        <v>506</v>
      </c>
      <c r="JB1" s="15" t="s">
        <v>507</v>
      </c>
      <c r="JC1" s="15" t="s">
        <v>508</v>
      </c>
      <c r="JD1" s="15" t="s">
        <v>509</v>
      </c>
      <c r="JE1" s="15" t="s">
        <v>510</v>
      </c>
      <c r="JF1" s="15" t="s">
        <v>511</v>
      </c>
      <c r="JG1" s="15" t="s">
        <v>512</v>
      </c>
      <c r="JH1" s="15" t="s">
        <v>513</v>
      </c>
      <c r="JI1" s="15" t="s">
        <v>514</v>
      </c>
      <c r="JJ1" s="15" t="s">
        <v>515</v>
      </c>
      <c r="JK1" s="15" t="s">
        <v>516</v>
      </c>
      <c r="JL1" s="15" t="s">
        <v>517</v>
      </c>
      <c r="JM1" s="15" t="s">
        <v>518</v>
      </c>
      <c r="JN1" s="15" t="s">
        <v>519</v>
      </c>
      <c r="JO1" s="15" t="s">
        <v>520</v>
      </c>
      <c r="JP1" s="15" t="s">
        <v>521</v>
      </c>
      <c r="JQ1" s="15" t="s">
        <v>522</v>
      </c>
      <c r="JR1" s="15" t="s">
        <v>523</v>
      </c>
      <c r="JS1" s="15" t="s">
        <v>524</v>
      </c>
      <c r="JT1" s="15" t="s">
        <v>525</v>
      </c>
      <c r="JU1" s="15" t="s">
        <v>526</v>
      </c>
      <c r="JV1" s="15" t="s">
        <v>527</v>
      </c>
      <c r="JW1" s="15" t="s">
        <v>528</v>
      </c>
      <c r="JX1" s="15" t="s">
        <v>529</v>
      </c>
      <c r="JY1" s="15" t="s">
        <v>530</v>
      </c>
      <c r="JZ1" s="15" t="s">
        <v>531</v>
      </c>
      <c r="KA1" s="15" t="s">
        <v>532</v>
      </c>
      <c r="KB1" s="15" t="s">
        <v>533</v>
      </c>
      <c r="KC1" s="15" t="s">
        <v>534</v>
      </c>
      <c r="KD1" s="15" t="s">
        <v>535</v>
      </c>
      <c r="KE1" s="15" t="s">
        <v>536</v>
      </c>
      <c r="KF1" s="15" t="s">
        <v>537</v>
      </c>
      <c r="KG1" s="15" t="s">
        <v>538</v>
      </c>
      <c r="KH1" s="15" t="s">
        <v>539</v>
      </c>
      <c r="KI1" s="15" t="s">
        <v>540</v>
      </c>
      <c r="KJ1" s="15" t="s">
        <v>541</v>
      </c>
      <c r="KK1" s="15" t="s">
        <v>542</v>
      </c>
      <c r="KL1" s="15" t="s">
        <v>543</v>
      </c>
      <c r="KM1" s="15" t="s">
        <v>544</v>
      </c>
      <c r="KN1" s="15" t="s">
        <v>545</v>
      </c>
      <c r="KO1" s="15" t="s">
        <v>546</v>
      </c>
      <c r="KP1" s="15" t="s">
        <v>547</v>
      </c>
      <c r="KQ1" s="15" t="s">
        <v>548</v>
      </c>
      <c r="KR1" s="15" t="s">
        <v>549</v>
      </c>
      <c r="KS1" s="15" t="s">
        <v>550</v>
      </c>
      <c r="KT1" s="15" t="s">
        <v>551</v>
      </c>
      <c r="KU1" s="15" t="s">
        <v>552</v>
      </c>
      <c r="KV1" s="15" t="s">
        <v>553</v>
      </c>
      <c r="KW1" s="15" t="s">
        <v>554</v>
      </c>
      <c r="KX1" s="15" t="s">
        <v>555</v>
      </c>
      <c r="KY1" s="15" t="s">
        <v>556</v>
      </c>
      <c r="KZ1" s="15" t="s">
        <v>557</v>
      </c>
      <c r="LA1" s="15" t="s">
        <v>558</v>
      </c>
      <c r="LB1" s="15" t="s">
        <v>559</v>
      </c>
      <c r="LC1" s="15" t="s">
        <v>560</v>
      </c>
      <c r="LD1" s="15" t="s">
        <v>561</v>
      </c>
      <c r="LE1" s="15" t="s">
        <v>562</v>
      </c>
      <c r="LF1" s="15" t="s">
        <v>563</v>
      </c>
      <c r="LG1" s="15" t="s">
        <v>564</v>
      </c>
      <c r="LH1" s="15" t="s">
        <v>565</v>
      </c>
      <c r="LI1" s="15" t="s">
        <v>566</v>
      </c>
      <c r="LJ1" s="15" t="s">
        <v>567</v>
      </c>
      <c r="LK1" s="15" t="s">
        <v>568</v>
      </c>
      <c r="LL1" s="15" t="s">
        <v>569</v>
      </c>
      <c r="LM1" s="15" t="s">
        <v>570</v>
      </c>
      <c r="LN1" s="15" t="s">
        <v>571</v>
      </c>
      <c r="LO1" s="15" t="s">
        <v>572</v>
      </c>
      <c r="LP1" s="15" t="s">
        <v>573</v>
      </c>
      <c r="LQ1" s="15" t="s">
        <v>574</v>
      </c>
      <c r="LR1" s="15" t="s">
        <v>575</v>
      </c>
      <c r="LS1" s="15" t="s">
        <v>576</v>
      </c>
      <c r="LT1" s="15" t="s">
        <v>577</v>
      </c>
      <c r="LU1" s="15" t="s">
        <v>578</v>
      </c>
      <c r="LV1" s="15" t="s">
        <v>579</v>
      </c>
      <c r="LW1" s="15" t="s">
        <v>580</v>
      </c>
      <c r="LX1" s="15" t="s">
        <v>581</v>
      </c>
      <c r="LY1" s="15" t="s">
        <v>582</v>
      </c>
      <c r="LZ1" s="15" t="s">
        <v>583</v>
      </c>
      <c r="MA1" s="15" t="s">
        <v>584</v>
      </c>
      <c r="MB1" s="15" t="s">
        <v>585</v>
      </c>
      <c r="MC1" s="15" t="s">
        <v>586</v>
      </c>
      <c r="MD1" s="15" t="s">
        <v>587</v>
      </c>
      <c r="ME1" s="15" t="s">
        <v>588</v>
      </c>
      <c r="MF1" s="15" t="s">
        <v>589</v>
      </c>
      <c r="MG1" s="15" t="s">
        <v>590</v>
      </c>
      <c r="MH1" s="15" t="s">
        <v>591</v>
      </c>
      <c r="MI1" s="15" t="s">
        <v>592</v>
      </c>
      <c r="MJ1" s="15" t="s">
        <v>593</v>
      </c>
      <c r="MK1" s="15" t="s">
        <v>594</v>
      </c>
      <c r="ML1" s="15" t="s">
        <v>595</v>
      </c>
      <c r="MM1" s="15" t="s">
        <v>596</v>
      </c>
      <c r="MN1" s="15" t="s">
        <v>597</v>
      </c>
      <c r="MO1" s="15" t="s">
        <v>598</v>
      </c>
      <c r="MP1" s="15" t="s">
        <v>599</v>
      </c>
      <c r="MQ1" s="15" t="s">
        <v>600</v>
      </c>
      <c r="MR1" s="15" t="s">
        <v>601</v>
      </c>
      <c r="MS1" s="15" t="s">
        <v>602</v>
      </c>
      <c r="MT1" s="15" t="s">
        <v>603</v>
      </c>
      <c r="MU1" s="15" t="s">
        <v>604</v>
      </c>
      <c r="MV1" s="15" t="s">
        <v>605</v>
      </c>
      <c r="MW1" s="15" t="s">
        <v>606</v>
      </c>
      <c r="MX1" s="15" t="s">
        <v>607</v>
      </c>
      <c r="MY1" s="15" t="s">
        <v>608</v>
      </c>
      <c r="MZ1" s="15" t="s">
        <v>609</v>
      </c>
      <c r="NA1" s="15" t="s">
        <v>610</v>
      </c>
      <c r="NB1" s="15" t="s">
        <v>611</v>
      </c>
      <c r="NC1" s="15" t="s">
        <v>612</v>
      </c>
      <c r="ND1" s="15" t="s">
        <v>613</v>
      </c>
      <c r="NE1" s="15" t="s">
        <v>614</v>
      </c>
      <c r="NF1" s="15" t="s">
        <v>615</v>
      </c>
      <c r="NG1" s="15" t="s">
        <v>616</v>
      </c>
      <c r="NH1" s="15" t="s">
        <v>617</v>
      </c>
      <c r="NI1" s="15" t="s">
        <v>618</v>
      </c>
      <c r="NJ1" s="15" t="s">
        <v>619</v>
      </c>
      <c r="NK1" s="15" t="s">
        <v>620</v>
      </c>
      <c r="NL1" s="15" t="s">
        <v>621</v>
      </c>
      <c r="NM1" s="15" t="s">
        <v>622</v>
      </c>
      <c r="NN1" s="15" t="s">
        <v>623</v>
      </c>
      <c r="NO1" s="15" t="s">
        <v>624</v>
      </c>
      <c r="NP1" s="15" t="s">
        <v>625</v>
      </c>
      <c r="NQ1" s="15" t="s">
        <v>626</v>
      </c>
      <c r="NR1" s="15" t="s">
        <v>627</v>
      </c>
      <c r="NS1" s="15" t="s">
        <v>628</v>
      </c>
      <c r="NT1" s="15" t="s">
        <v>629</v>
      </c>
      <c r="NU1" s="15" t="s">
        <v>630</v>
      </c>
      <c r="NV1" s="15" t="s">
        <v>631</v>
      </c>
      <c r="NW1" s="15" t="s">
        <v>632</v>
      </c>
      <c r="NX1" s="15" t="s">
        <v>633</v>
      </c>
      <c r="NY1" s="15" t="s">
        <v>634</v>
      </c>
      <c r="NZ1" s="15" t="s">
        <v>635</v>
      </c>
      <c r="OA1" s="15" t="s">
        <v>636</v>
      </c>
      <c r="OB1" s="15" t="s">
        <v>637</v>
      </c>
      <c r="OC1" s="15" t="s">
        <v>638</v>
      </c>
      <c r="OD1" s="15" t="s">
        <v>639</v>
      </c>
      <c r="OE1" s="15" t="s">
        <v>640</v>
      </c>
      <c r="OF1" s="15" t="s">
        <v>641</v>
      </c>
      <c r="OG1" s="15" t="s">
        <v>642</v>
      </c>
      <c r="OH1" s="15" t="s">
        <v>643</v>
      </c>
      <c r="OI1" s="15" t="s">
        <v>644</v>
      </c>
      <c r="OJ1" s="15" t="s">
        <v>645</v>
      </c>
      <c r="OK1" s="15" t="s">
        <v>646</v>
      </c>
      <c r="OL1" s="15" t="s">
        <v>647</v>
      </c>
      <c r="OM1" s="15" t="s">
        <v>648</v>
      </c>
      <c r="ON1" s="15" t="s">
        <v>649</v>
      </c>
      <c r="OO1" s="15" t="s">
        <v>650</v>
      </c>
      <c r="OP1" s="15" t="s">
        <v>651</v>
      </c>
      <c r="OQ1" s="15" t="s">
        <v>652</v>
      </c>
      <c r="OR1" s="15" t="s">
        <v>653</v>
      </c>
      <c r="OS1" s="15" t="s">
        <v>654</v>
      </c>
      <c r="OT1" s="15" t="s">
        <v>655</v>
      </c>
      <c r="OU1" s="15" t="s">
        <v>656</v>
      </c>
      <c r="OV1" s="15" t="s">
        <v>657</v>
      </c>
      <c r="OW1" s="15" t="s">
        <v>658</v>
      </c>
      <c r="OX1" s="15" t="s">
        <v>659</v>
      </c>
      <c r="OY1" s="15" t="s">
        <v>660</v>
      </c>
      <c r="OZ1" s="15" t="s">
        <v>661</v>
      </c>
      <c r="PA1" s="15" t="s">
        <v>662</v>
      </c>
      <c r="PB1" s="15" t="s">
        <v>663</v>
      </c>
      <c r="PC1" s="15" t="s">
        <v>664</v>
      </c>
      <c r="PD1" s="15" t="s">
        <v>665</v>
      </c>
      <c r="PE1" s="15" t="s">
        <v>666</v>
      </c>
      <c r="PF1" s="15" t="s">
        <v>667</v>
      </c>
      <c r="PG1" s="15" t="s">
        <v>668</v>
      </c>
      <c r="PH1" s="15" t="s">
        <v>669</v>
      </c>
      <c r="PI1" s="15" t="s">
        <v>670</v>
      </c>
      <c r="PJ1" s="15" t="s">
        <v>671</v>
      </c>
      <c r="PK1" s="15" t="s">
        <v>672</v>
      </c>
      <c r="PL1" s="15" t="s">
        <v>673</v>
      </c>
      <c r="PM1" s="15" t="s">
        <v>674</v>
      </c>
      <c r="PN1" s="15" t="s">
        <v>675</v>
      </c>
      <c r="PO1" s="15" t="s">
        <v>676</v>
      </c>
      <c r="PP1" s="15" t="s">
        <v>677</v>
      </c>
      <c r="PQ1" s="15" t="s">
        <v>678</v>
      </c>
      <c r="PR1" s="15" t="s">
        <v>679</v>
      </c>
      <c r="PS1" s="15" t="s">
        <v>680</v>
      </c>
      <c r="PT1" s="15" t="s">
        <v>681</v>
      </c>
      <c r="PU1" s="15" t="s">
        <v>682</v>
      </c>
      <c r="PV1" s="15" t="s">
        <v>683</v>
      </c>
      <c r="PW1" s="15" t="s">
        <v>684</v>
      </c>
      <c r="PX1" s="15" t="s">
        <v>685</v>
      </c>
      <c r="PY1" s="15" t="s">
        <v>686</v>
      </c>
      <c r="PZ1" s="15" t="s">
        <v>687</v>
      </c>
      <c r="QA1" s="15" t="s">
        <v>688</v>
      </c>
      <c r="QB1" s="15" t="s">
        <v>689</v>
      </c>
      <c r="QC1" s="15" t="s">
        <v>690</v>
      </c>
      <c r="QD1" s="15" t="s">
        <v>691</v>
      </c>
      <c r="QE1" s="15" t="s">
        <v>692</v>
      </c>
      <c r="QF1" s="15" t="s">
        <v>693</v>
      </c>
      <c r="QG1" s="15" t="s">
        <v>694</v>
      </c>
      <c r="QH1" s="15" t="s">
        <v>695</v>
      </c>
      <c r="QI1" s="15" t="s">
        <v>696</v>
      </c>
      <c r="QJ1" s="15" t="s">
        <v>697</v>
      </c>
      <c r="QK1" s="15" t="s">
        <v>698</v>
      </c>
      <c r="QL1" s="15" t="s">
        <v>699</v>
      </c>
      <c r="QM1" s="15" t="s">
        <v>700</v>
      </c>
      <c r="QN1" s="15" t="s">
        <v>701</v>
      </c>
      <c r="QO1" s="15" t="s">
        <v>702</v>
      </c>
      <c r="QP1" s="15" t="s">
        <v>703</v>
      </c>
      <c r="QQ1" s="15" t="s">
        <v>704</v>
      </c>
      <c r="QR1" s="15" t="s">
        <v>705</v>
      </c>
      <c r="QS1" s="15" t="s">
        <v>706</v>
      </c>
      <c r="QT1" s="15" t="s">
        <v>707</v>
      </c>
      <c r="QU1" s="15" t="s">
        <v>708</v>
      </c>
      <c r="QV1" s="15" t="s">
        <v>709</v>
      </c>
      <c r="QW1" s="15" t="s">
        <v>710</v>
      </c>
      <c r="QX1" s="15" t="s">
        <v>711</v>
      </c>
      <c r="QY1" s="15" t="s">
        <v>712</v>
      </c>
      <c r="QZ1" s="15" t="s">
        <v>713</v>
      </c>
      <c r="RA1" s="15" t="s">
        <v>714</v>
      </c>
      <c r="RB1" s="15" t="s">
        <v>715</v>
      </c>
      <c r="RC1" s="15" t="s">
        <v>716</v>
      </c>
      <c r="RD1" s="15" t="s">
        <v>717</v>
      </c>
      <c r="RE1" s="15" t="s">
        <v>718</v>
      </c>
      <c r="RF1" s="15" t="s">
        <v>719</v>
      </c>
      <c r="RG1" s="15" t="s">
        <v>720</v>
      </c>
      <c r="RH1" s="15" t="s">
        <v>721</v>
      </c>
      <c r="RI1" s="15" t="s">
        <v>722</v>
      </c>
      <c r="RJ1" s="15" t="s">
        <v>723</v>
      </c>
      <c r="RK1" s="15" t="s">
        <v>724</v>
      </c>
      <c r="RL1" s="15" t="s">
        <v>725</v>
      </c>
      <c r="RM1" s="15" t="s">
        <v>726</v>
      </c>
      <c r="RN1" s="15" t="s">
        <v>727</v>
      </c>
      <c r="RO1" s="15" t="s">
        <v>728</v>
      </c>
      <c r="RP1" s="15" t="s">
        <v>729</v>
      </c>
      <c r="RQ1" s="15" t="s">
        <v>730</v>
      </c>
      <c r="RR1" s="15" t="s">
        <v>731</v>
      </c>
      <c r="RS1" s="15" t="s">
        <v>732</v>
      </c>
      <c r="RT1" s="15" t="s">
        <v>733</v>
      </c>
      <c r="RU1" s="15" t="s">
        <v>734</v>
      </c>
      <c r="RV1" s="15" t="s">
        <v>735</v>
      </c>
      <c r="RW1" s="15" t="s">
        <v>736</v>
      </c>
      <c r="RX1" s="15" t="s">
        <v>737</v>
      </c>
      <c r="RY1" s="15" t="s">
        <v>738</v>
      </c>
      <c r="RZ1" s="15" t="s">
        <v>739</v>
      </c>
      <c r="SA1" s="15" t="s">
        <v>740</v>
      </c>
      <c r="SB1" s="15" t="s">
        <v>741</v>
      </c>
      <c r="SC1" s="15" t="s">
        <v>742</v>
      </c>
      <c r="SD1" s="15" t="s">
        <v>743</v>
      </c>
      <c r="SE1" s="15" t="s">
        <v>744</v>
      </c>
      <c r="SF1" s="15" t="s">
        <v>745</v>
      </c>
      <c r="SG1" s="15" t="s">
        <v>746</v>
      </c>
      <c r="SH1" s="15" t="s">
        <v>747</v>
      </c>
      <c r="SI1" s="15" t="s">
        <v>748</v>
      </c>
      <c r="SJ1" s="15" t="s">
        <v>749</v>
      </c>
      <c r="SK1" s="15" t="s">
        <v>750</v>
      </c>
      <c r="SL1" s="15" t="s">
        <v>751</v>
      </c>
      <c r="SM1" s="15" t="s">
        <v>752</v>
      </c>
      <c r="SN1" s="15" t="s">
        <v>753</v>
      </c>
      <c r="SO1" s="15" t="s">
        <v>754</v>
      </c>
      <c r="SP1" s="15" t="s">
        <v>755</v>
      </c>
      <c r="SQ1" s="15" t="s">
        <v>756</v>
      </c>
      <c r="SR1" s="15" t="s">
        <v>757</v>
      </c>
      <c r="SS1" s="15" t="s">
        <v>758</v>
      </c>
      <c r="ST1" s="15" t="s">
        <v>759</v>
      </c>
      <c r="SU1" s="15" t="s">
        <v>760</v>
      </c>
      <c r="SV1" s="15" t="s">
        <v>761</v>
      </c>
      <c r="SW1" s="15" t="s">
        <v>762</v>
      </c>
      <c r="SX1" s="15" t="s">
        <v>763</v>
      </c>
      <c r="SY1" s="15" t="s">
        <v>764</v>
      </c>
      <c r="SZ1" s="15" t="s">
        <v>765</v>
      </c>
      <c r="TA1" s="15" t="s">
        <v>766</v>
      </c>
      <c r="TB1" s="15" t="s">
        <v>767</v>
      </c>
      <c r="TC1" s="15" t="s">
        <v>768</v>
      </c>
      <c r="TD1" s="15" t="s">
        <v>769</v>
      </c>
      <c r="TE1" s="15" t="s">
        <v>770</v>
      </c>
      <c r="TF1" s="15" t="s">
        <v>771</v>
      </c>
      <c r="TG1" s="15" t="s">
        <v>772</v>
      </c>
      <c r="TH1" s="15" t="s">
        <v>773</v>
      </c>
      <c r="TI1" s="15" t="s">
        <v>774</v>
      </c>
      <c r="TJ1" s="15" t="s">
        <v>775</v>
      </c>
      <c r="TK1" s="15" t="s">
        <v>776</v>
      </c>
      <c r="TL1" s="15" t="s">
        <v>777</v>
      </c>
      <c r="TM1" s="15" t="s">
        <v>778</v>
      </c>
      <c r="TN1" s="15" t="s">
        <v>779</v>
      </c>
      <c r="TO1" s="15" t="s">
        <v>780</v>
      </c>
      <c r="TP1" s="15" t="s">
        <v>781</v>
      </c>
      <c r="TQ1" s="15" t="s">
        <v>782</v>
      </c>
      <c r="TR1" s="15" t="s">
        <v>783</v>
      </c>
      <c r="TS1" s="15" t="s">
        <v>784</v>
      </c>
      <c r="TT1" s="15" t="s">
        <v>785</v>
      </c>
      <c r="TU1" s="15" t="s">
        <v>786</v>
      </c>
      <c r="TV1" s="15" t="s">
        <v>787</v>
      </c>
      <c r="TW1" s="15" t="s">
        <v>788</v>
      </c>
      <c r="TX1" s="15" t="s">
        <v>789</v>
      </c>
      <c r="TY1" s="15" t="s">
        <v>790</v>
      </c>
      <c r="TZ1" s="15" t="s">
        <v>791</v>
      </c>
      <c r="UA1" s="15" t="s">
        <v>792</v>
      </c>
      <c r="UB1" s="15" t="s">
        <v>793</v>
      </c>
      <c r="UC1" s="15" t="s">
        <v>794</v>
      </c>
      <c r="UD1" s="15" t="s">
        <v>795</v>
      </c>
      <c r="UE1" s="15" t="s">
        <v>796</v>
      </c>
      <c r="UF1" s="15" t="s">
        <v>797</v>
      </c>
      <c r="UG1" s="15" t="s">
        <v>798</v>
      </c>
      <c r="UH1" s="15" t="s">
        <v>799</v>
      </c>
      <c r="UI1" s="15" t="s">
        <v>800</v>
      </c>
      <c r="UJ1" s="15" t="s">
        <v>801</v>
      </c>
      <c r="UK1" s="15" t="s">
        <v>802</v>
      </c>
      <c r="UL1" s="15" t="s">
        <v>803</v>
      </c>
      <c r="UM1" s="15" t="s">
        <v>804</v>
      </c>
      <c r="UN1" s="15" t="s">
        <v>805</v>
      </c>
      <c r="UO1" s="15" t="s">
        <v>806</v>
      </c>
      <c r="UP1" s="15" t="s">
        <v>807</v>
      </c>
      <c r="UQ1" s="15" t="s">
        <v>808</v>
      </c>
      <c r="UR1" s="15" t="s">
        <v>809</v>
      </c>
      <c r="US1" s="15" t="s">
        <v>810</v>
      </c>
      <c r="UT1" s="15" t="s">
        <v>811</v>
      </c>
      <c r="UU1" s="15" t="s">
        <v>812</v>
      </c>
      <c r="UV1" s="15" t="s">
        <v>813</v>
      </c>
      <c r="UW1" s="15" t="s">
        <v>814</v>
      </c>
      <c r="UX1" s="15" t="s">
        <v>815</v>
      </c>
      <c r="UY1" s="15" t="s">
        <v>816</v>
      </c>
      <c r="UZ1" s="15" t="s">
        <v>817</v>
      </c>
      <c r="VA1" s="15" t="s">
        <v>818</v>
      </c>
      <c r="VB1" s="15" t="s">
        <v>819</v>
      </c>
      <c r="VC1" s="15" t="s">
        <v>820</v>
      </c>
      <c r="VD1" s="15" t="s">
        <v>821</v>
      </c>
      <c r="VE1" s="15" t="s">
        <v>822</v>
      </c>
      <c r="VF1" s="15" t="s">
        <v>823</v>
      </c>
      <c r="VG1" s="15" t="s">
        <v>824</v>
      </c>
      <c r="VH1" s="15" t="s">
        <v>825</v>
      </c>
      <c r="VI1" s="15" t="s">
        <v>826</v>
      </c>
      <c r="VJ1" s="15" t="s">
        <v>827</v>
      </c>
      <c r="VK1" s="15" t="s">
        <v>828</v>
      </c>
      <c r="VL1" s="15" t="s">
        <v>829</v>
      </c>
      <c r="VM1" s="15" t="s">
        <v>830</v>
      </c>
      <c r="VN1" s="15" t="s">
        <v>831</v>
      </c>
      <c r="VO1" s="15" t="s">
        <v>832</v>
      </c>
      <c r="VP1" s="15" t="s">
        <v>833</v>
      </c>
      <c r="VQ1" s="15" t="s">
        <v>834</v>
      </c>
      <c r="VR1" s="15" t="s">
        <v>835</v>
      </c>
      <c r="VS1" s="15" t="s">
        <v>836</v>
      </c>
      <c r="VT1" s="15" t="s">
        <v>837</v>
      </c>
      <c r="VU1" s="15" t="s">
        <v>838</v>
      </c>
      <c r="VV1" s="15" t="s">
        <v>839</v>
      </c>
      <c r="VW1" s="15" t="s">
        <v>840</v>
      </c>
      <c r="VX1" s="15" t="s">
        <v>841</v>
      </c>
      <c r="VY1" s="15" t="s">
        <v>842</v>
      </c>
      <c r="VZ1" s="15" t="s">
        <v>843</v>
      </c>
      <c r="WA1" s="15" t="s">
        <v>844</v>
      </c>
      <c r="WB1" s="15" t="s">
        <v>845</v>
      </c>
      <c r="WC1" s="15" t="s">
        <v>846</v>
      </c>
      <c r="WD1" s="15" t="s">
        <v>847</v>
      </c>
      <c r="WE1" s="15" t="s">
        <v>848</v>
      </c>
      <c r="WF1" s="15" t="s">
        <v>849</v>
      </c>
      <c r="WG1" s="15" t="s">
        <v>850</v>
      </c>
      <c r="WH1" s="15" t="s">
        <v>851</v>
      </c>
      <c r="WI1" s="15" t="s">
        <v>852</v>
      </c>
      <c r="WJ1" s="15" t="s">
        <v>853</v>
      </c>
      <c r="WK1" s="15" t="s">
        <v>854</v>
      </c>
      <c r="WL1" s="15" t="s">
        <v>855</v>
      </c>
      <c r="WM1" s="15" t="s">
        <v>856</v>
      </c>
      <c r="WN1" s="15" t="s">
        <v>857</v>
      </c>
      <c r="WO1" s="15" t="s">
        <v>858</v>
      </c>
      <c r="WP1" s="15" t="s">
        <v>859</v>
      </c>
      <c r="WQ1" s="15" t="s">
        <v>860</v>
      </c>
      <c r="WR1" s="15" t="s">
        <v>861</v>
      </c>
      <c r="WS1" s="15" t="s">
        <v>862</v>
      </c>
      <c r="WT1" s="15" t="s">
        <v>863</v>
      </c>
      <c r="WU1" s="15" t="s">
        <v>864</v>
      </c>
      <c r="WV1" s="15" t="s">
        <v>865</v>
      </c>
      <c r="WW1" s="15" t="s">
        <v>866</v>
      </c>
      <c r="WX1" s="15" t="s">
        <v>867</v>
      </c>
      <c r="WY1" s="15" t="s">
        <v>868</v>
      </c>
      <c r="WZ1" s="15" t="s">
        <v>869</v>
      </c>
      <c r="XA1" s="15" t="s">
        <v>870</v>
      </c>
      <c r="XB1" s="15" t="s">
        <v>871</v>
      </c>
      <c r="XC1" s="15" t="s">
        <v>872</v>
      </c>
      <c r="XD1" s="15" t="s">
        <v>873</v>
      </c>
      <c r="XE1" s="15" t="s">
        <v>874</v>
      </c>
      <c r="XF1" s="15" t="s">
        <v>875</v>
      </c>
      <c r="XG1" s="15" t="s">
        <v>876</v>
      </c>
      <c r="XH1" s="15" t="s">
        <v>877</v>
      </c>
      <c r="XI1" s="15" t="s">
        <v>878</v>
      </c>
      <c r="XJ1" s="15" t="s">
        <v>879</v>
      </c>
      <c r="XK1" s="15" t="s">
        <v>880</v>
      </c>
      <c r="XL1" s="15" t="s">
        <v>881</v>
      </c>
      <c r="XM1" s="15" t="s">
        <v>882</v>
      </c>
      <c r="XN1" s="15" t="s">
        <v>883</v>
      </c>
      <c r="XO1" s="15" t="s">
        <v>884</v>
      </c>
      <c r="XP1" s="15" t="s">
        <v>885</v>
      </c>
      <c r="XQ1" s="15" t="s">
        <v>886</v>
      </c>
      <c r="XR1" s="15" t="s">
        <v>887</v>
      </c>
      <c r="XS1" s="15" t="s">
        <v>888</v>
      </c>
      <c r="XT1" s="15" t="s">
        <v>889</v>
      </c>
      <c r="XU1" s="15" t="s">
        <v>890</v>
      </c>
      <c r="XV1" s="15" t="s">
        <v>891</v>
      </c>
      <c r="XW1" s="15" t="s">
        <v>892</v>
      </c>
      <c r="XX1" s="15" t="s">
        <v>893</v>
      </c>
      <c r="XY1" s="15" t="s">
        <v>894</v>
      </c>
      <c r="XZ1" s="15" t="s">
        <v>895</v>
      </c>
      <c r="YA1" s="15" t="s">
        <v>896</v>
      </c>
      <c r="YB1" s="15" t="s">
        <v>897</v>
      </c>
      <c r="YC1" s="15" t="s">
        <v>898</v>
      </c>
      <c r="YD1" s="15" t="s">
        <v>899</v>
      </c>
      <c r="YE1" s="15" t="s">
        <v>900</v>
      </c>
      <c r="YF1" s="15" t="s">
        <v>901</v>
      </c>
      <c r="YG1" s="15" t="s">
        <v>902</v>
      </c>
      <c r="YH1" s="15" t="s">
        <v>903</v>
      </c>
      <c r="YI1" s="15" t="s">
        <v>904</v>
      </c>
      <c r="YJ1" s="15" t="s">
        <v>905</v>
      </c>
      <c r="YK1" s="15" t="s">
        <v>906</v>
      </c>
      <c r="YL1" s="15" t="s">
        <v>907</v>
      </c>
      <c r="YM1" s="15" t="s">
        <v>908</v>
      </c>
      <c r="YN1" s="15" t="s">
        <v>909</v>
      </c>
      <c r="YO1" s="15" t="s">
        <v>910</v>
      </c>
      <c r="YP1" s="15" t="s">
        <v>911</v>
      </c>
      <c r="YQ1" s="15" t="s">
        <v>912</v>
      </c>
      <c r="YR1" s="15" t="s">
        <v>913</v>
      </c>
      <c r="YS1" s="15" t="s">
        <v>914</v>
      </c>
      <c r="YT1" s="15" t="s">
        <v>915</v>
      </c>
      <c r="YU1" s="15" t="s">
        <v>916</v>
      </c>
      <c r="YV1" s="15" t="s">
        <v>917</v>
      </c>
      <c r="YW1" s="15" t="s">
        <v>918</v>
      </c>
      <c r="YX1" s="15" t="s">
        <v>919</v>
      </c>
      <c r="YY1" s="15" t="s">
        <v>920</v>
      </c>
      <c r="YZ1" s="15" t="s">
        <v>921</v>
      </c>
      <c r="ZA1" s="15" t="s">
        <v>922</v>
      </c>
      <c r="ZB1" s="15" t="s">
        <v>923</v>
      </c>
      <c r="ZC1" s="15" t="s">
        <v>924</v>
      </c>
      <c r="ZD1" s="15" t="s">
        <v>925</v>
      </c>
      <c r="ZE1" s="15" t="s">
        <v>926</v>
      </c>
      <c r="ZF1" s="15" t="s">
        <v>927</v>
      </c>
      <c r="ZG1" s="15" t="s">
        <v>928</v>
      </c>
      <c r="ZH1" s="15" t="s">
        <v>929</v>
      </c>
      <c r="ZI1" s="15" t="s">
        <v>930</v>
      </c>
      <c r="ZJ1" s="15" t="s">
        <v>931</v>
      </c>
      <c r="ZK1" s="15" t="s">
        <v>932</v>
      </c>
      <c r="ZL1" s="15" t="s">
        <v>933</v>
      </c>
      <c r="ZM1" s="15" t="s">
        <v>934</v>
      </c>
      <c r="ZN1" s="15" t="s">
        <v>935</v>
      </c>
      <c r="ZO1" s="15" t="s">
        <v>936</v>
      </c>
      <c r="ZP1" s="15" t="s">
        <v>937</v>
      </c>
      <c r="ZQ1" s="15" t="s">
        <v>938</v>
      </c>
      <c r="ZR1" s="15" t="s">
        <v>939</v>
      </c>
      <c r="ZS1" s="15" t="s">
        <v>940</v>
      </c>
      <c r="ZT1" s="15" t="s">
        <v>941</v>
      </c>
      <c r="ZU1" s="15" t="s">
        <v>942</v>
      </c>
      <c r="ZV1" s="15" t="s">
        <v>943</v>
      </c>
      <c r="ZW1" s="15" t="s">
        <v>944</v>
      </c>
      <c r="ZX1" s="15" t="s">
        <v>945</v>
      </c>
      <c r="ZY1" s="15" t="s">
        <v>946</v>
      </c>
      <c r="ZZ1" s="15" t="s">
        <v>947</v>
      </c>
      <c r="AAA1" s="15" t="s">
        <v>948</v>
      </c>
      <c r="AAB1" s="15" t="s">
        <v>949</v>
      </c>
      <c r="AAC1" s="15" t="s">
        <v>950</v>
      </c>
      <c r="AAD1" s="15" t="s">
        <v>951</v>
      </c>
      <c r="AAE1" s="15" t="s">
        <v>952</v>
      </c>
      <c r="AAF1" s="15" t="s">
        <v>953</v>
      </c>
      <c r="AAG1" s="15" t="s">
        <v>954</v>
      </c>
      <c r="AAH1" s="15" t="s">
        <v>955</v>
      </c>
      <c r="AAI1" s="15" t="s">
        <v>956</v>
      </c>
      <c r="AAJ1" s="15" t="s">
        <v>957</v>
      </c>
      <c r="AAK1" s="15" t="s">
        <v>958</v>
      </c>
      <c r="AAL1" s="15" t="s">
        <v>959</v>
      </c>
      <c r="AAM1" s="15" t="s">
        <v>960</v>
      </c>
      <c r="AAN1" s="15" t="s">
        <v>961</v>
      </c>
      <c r="AAO1" s="15" t="s">
        <v>962</v>
      </c>
      <c r="AAP1" s="15" t="s">
        <v>963</v>
      </c>
      <c r="AAQ1" s="15" t="s">
        <v>964</v>
      </c>
      <c r="AAR1" s="15" t="s">
        <v>965</v>
      </c>
      <c r="AAS1" s="15" t="s">
        <v>966</v>
      </c>
      <c r="AAT1" s="15" t="s">
        <v>967</v>
      </c>
      <c r="AAU1" s="15" t="s">
        <v>968</v>
      </c>
      <c r="AAV1" s="15" t="s">
        <v>969</v>
      </c>
      <c r="AAW1" s="15" t="s">
        <v>970</v>
      </c>
      <c r="AAX1" s="15" t="s">
        <v>971</v>
      </c>
      <c r="AAY1" s="15" t="s">
        <v>972</v>
      </c>
      <c r="AAZ1" s="15" t="s">
        <v>973</v>
      </c>
      <c r="ABA1" s="15" t="s">
        <v>974</v>
      </c>
      <c r="ABB1" s="15" t="s">
        <v>975</v>
      </c>
      <c r="ABC1" s="15" t="s">
        <v>976</v>
      </c>
      <c r="ABD1" s="15" t="s">
        <v>977</v>
      </c>
      <c r="ABE1" s="15" t="s">
        <v>978</v>
      </c>
      <c r="ABF1" s="15" t="s">
        <v>979</v>
      </c>
      <c r="ABG1" s="15" t="s">
        <v>980</v>
      </c>
      <c r="ABH1" s="15" t="s">
        <v>981</v>
      </c>
      <c r="ABI1" s="15" t="s">
        <v>982</v>
      </c>
      <c r="ABJ1" s="15" t="s">
        <v>983</v>
      </c>
      <c r="ABK1" s="15" t="s">
        <v>984</v>
      </c>
      <c r="ABL1" s="15" t="s">
        <v>985</v>
      </c>
      <c r="ABM1" s="15" t="s">
        <v>986</v>
      </c>
      <c r="ABN1" s="15" t="s">
        <v>987</v>
      </c>
      <c r="ABO1" s="15" t="s">
        <v>988</v>
      </c>
      <c r="ABP1" s="15" t="s">
        <v>989</v>
      </c>
      <c r="ABQ1" s="15" t="s">
        <v>990</v>
      </c>
      <c r="ABR1" s="15" t="s">
        <v>991</v>
      </c>
      <c r="ABS1" s="15" t="s">
        <v>992</v>
      </c>
      <c r="ABT1" s="15" t="s">
        <v>993</v>
      </c>
      <c r="ABU1" s="15" t="s">
        <v>994</v>
      </c>
      <c r="ABV1" s="15" t="s">
        <v>995</v>
      </c>
      <c r="ABW1" s="15" t="s">
        <v>996</v>
      </c>
      <c r="ABX1" s="15" t="s">
        <v>997</v>
      </c>
      <c r="ABY1" s="15" t="s">
        <v>998</v>
      </c>
      <c r="ABZ1" s="15" t="s">
        <v>999</v>
      </c>
      <c r="ACA1" s="15" t="s">
        <v>1000</v>
      </c>
      <c r="ACB1" s="15" t="s">
        <v>1001</v>
      </c>
      <c r="ACC1" s="15" t="s">
        <v>1002</v>
      </c>
      <c r="ACD1" s="15" t="s">
        <v>1003</v>
      </c>
      <c r="ACE1" s="15" t="s">
        <v>1004</v>
      </c>
      <c r="ACF1" s="15" t="s">
        <v>1005</v>
      </c>
      <c r="ACG1" s="15" t="s">
        <v>1006</v>
      </c>
      <c r="ACH1" s="15" t="s">
        <v>1007</v>
      </c>
      <c r="ACI1" s="15" t="s">
        <v>1008</v>
      </c>
      <c r="ACJ1" s="15" t="s">
        <v>1009</v>
      </c>
      <c r="ACK1" s="15" t="s">
        <v>1010</v>
      </c>
      <c r="ACL1" s="15" t="s">
        <v>1011</v>
      </c>
      <c r="ACM1" s="15" t="s">
        <v>1012</v>
      </c>
      <c r="ACN1" s="15" t="s">
        <v>1013</v>
      </c>
      <c r="ACO1" s="15" t="s">
        <v>1014</v>
      </c>
      <c r="ACP1" s="15" t="s">
        <v>1015</v>
      </c>
      <c r="ACQ1" s="15" t="s">
        <v>1016</v>
      </c>
      <c r="ACR1" s="15" t="s">
        <v>1017</v>
      </c>
      <c r="ACS1" s="15" t="s">
        <v>1018</v>
      </c>
      <c r="ACT1" s="15" t="s">
        <v>1019</v>
      </c>
      <c r="ACU1" s="15" t="s">
        <v>1020</v>
      </c>
      <c r="ACV1" s="15" t="s">
        <v>1021</v>
      </c>
      <c r="ACW1" s="15" t="s">
        <v>1022</v>
      </c>
      <c r="ACX1" s="15" t="s">
        <v>1023</v>
      </c>
      <c r="ACY1" s="15" t="s">
        <v>1024</v>
      </c>
      <c r="ACZ1" s="15" t="s">
        <v>1025</v>
      </c>
      <c r="ADA1" s="15" t="s">
        <v>1026</v>
      </c>
      <c r="ADB1" s="15" t="s">
        <v>1027</v>
      </c>
      <c r="ADC1" s="15" t="s">
        <v>1028</v>
      </c>
      <c r="ADD1" s="15" t="s">
        <v>1029</v>
      </c>
      <c r="ADE1" s="15" t="s">
        <v>1030</v>
      </c>
      <c r="ADF1" s="15" t="s">
        <v>1031</v>
      </c>
      <c r="ADG1" s="15" t="s">
        <v>1032</v>
      </c>
      <c r="ADH1" s="15" t="s">
        <v>1033</v>
      </c>
      <c r="ADI1" s="15" t="s">
        <v>1034</v>
      </c>
      <c r="ADJ1" s="15" t="s">
        <v>1035</v>
      </c>
      <c r="ADK1" s="15" t="s">
        <v>1036</v>
      </c>
      <c r="ADL1" s="15" t="s">
        <v>1037</v>
      </c>
      <c r="ADM1" s="15" t="s">
        <v>1038</v>
      </c>
      <c r="ADN1" s="15" t="s">
        <v>1039</v>
      </c>
      <c r="ADO1" s="15" t="s">
        <v>1040</v>
      </c>
      <c r="ADP1" s="15" t="s">
        <v>1041</v>
      </c>
      <c r="ADQ1" s="15" t="s">
        <v>1042</v>
      </c>
      <c r="ADR1" s="15" t="s">
        <v>1043</v>
      </c>
      <c r="ADS1" s="15" t="s">
        <v>1044</v>
      </c>
      <c r="ADT1" s="15" t="s">
        <v>1045</v>
      </c>
      <c r="ADU1" s="15" t="s">
        <v>1046</v>
      </c>
      <c r="ADV1" s="15" t="s">
        <v>1047</v>
      </c>
      <c r="ADW1" s="15" t="s">
        <v>1048</v>
      </c>
      <c r="ADX1" s="15" t="s">
        <v>1049</v>
      </c>
      <c r="ADY1" s="15" t="s">
        <v>1050</v>
      </c>
      <c r="ADZ1" s="15" t="s">
        <v>1051</v>
      </c>
      <c r="AEA1" s="15" t="s">
        <v>1052</v>
      </c>
      <c r="AEB1" s="15" t="s">
        <v>1053</v>
      </c>
      <c r="AEC1" s="15" t="s">
        <v>1054</v>
      </c>
      <c r="AED1" s="15" t="s">
        <v>1055</v>
      </c>
      <c r="AEE1" s="15" t="s">
        <v>1056</v>
      </c>
      <c r="AEF1" s="15" t="s">
        <v>1057</v>
      </c>
      <c r="AEG1" s="15" t="s">
        <v>1058</v>
      </c>
      <c r="AEH1" s="15" t="s">
        <v>1059</v>
      </c>
      <c r="AEI1" s="15" t="s">
        <v>1060</v>
      </c>
      <c r="AEJ1" s="15" t="s">
        <v>1061</v>
      </c>
      <c r="AEK1" s="15" t="s">
        <v>1062</v>
      </c>
      <c r="AEL1" s="15" t="s">
        <v>1063</v>
      </c>
      <c r="AEM1" s="15" t="s">
        <v>1064</v>
      </c>
      <c r="AEN1" s="15" t="s">
        <v>1065</v>
      </c>
      <c r="AEO1" s="15" t="s">
        <v>1066</v>
      </c>
      <c r="AEP1" s="15" t="s">
        <v>1067</v>
      </c>
      <c r="AEQ1" s="15" t="s">
        <v>1068</v>
      </c>
      <c r="AER1" s="15" t="s">
        <v>1069</v>
      </c>
      <c r="AES1" s="15" t="s">
        <v>1070</v>
      </c>
      <c r="AET1" s="15" t="s">
        <v>1071</v>
      </c>
      <c r="AEU1" s="15" t="s">
        <v>1072</v>
      </c>
      <c r="AEV1" s="15" t="s">
        <v>1073</v>
      </c>
      <c r="AEW1" s="15" t="s">
        <v>1074</v>
      </c>
      <c r="AEX1" s="15" t="s">
        <v>1075</v>
      </c>
      <c r="AEY1" s="15" t="s">
        <v>1076</v>
      </c>
      <c r="AEZ1" s="15" t="s">
        <v>1077</v>
      </c>
      <c r="AFA1" s="15" t="s">
        <v>1078</v>
      </c>
      <c r="AFB1" s="15" t="s">
        <v>1079</v>
      </c>
      <c r="AFC1" s="15" t="s">
        <v>1080</v>
      </c>
      <c r="AFD1" s="15" t="s">
        <v>1081</v>
      </c>
      <c r="AFE1" s="15" t="s">
        <v>1082</v>
      </c>
      <c r="AFF1" s="15" t="s">
        <v>1083</v>
      </c>
      <c r="AFG1" s="15" t="s">
        <v>1084</v>
      </c>
      <c r="AFH1" s="15" t="s">
        <v>1085</v>
      </c>
      <c r="AFI1" s="15" t="s">
        <v>1086</v>
      </c>
      <c r="AFJ1" s="15" t="s">
        <v>1087</v>
      </c>
      <c r="AFK1" s="15" t="s">
        <v>1088</v>
      </c>
      <c r="AFL1" s="15" t="s">
        <v>1089</v>
      </c>
      <c r="AFM1" s="15" t="s">
        <v>1090</v>
      </c>
      <c r="AFN1" s="15" t="s">
        <v>1091</v>
      </c>
      <c r="AFO1" s="15" t="s">
        <v>1092</v>
      </c>
      <c r="AFP1" s="15" t="s">
        <v>1093</v>
      </c>
      <c r="AFQ1" s="15" t="s">
        <v>1094</v>
      </c>
      <c r="AFR1" s="15" t="s">
        <v>1095</v>
      </c>
      <c r="AFS1" s="15" t="s">
        <v>1096</v>
      </c>
      <c r="AFT1" s="15" t="s">
        <v>1097</v>
      </c>
      <c r="AFU1" s="15" t="s">
        <v>1098</v>
      </c>
      <c r="AFV1" s="15" t="s">
        <v>1099</v>
      </c>
      <c r="AFW1" s="15" t="s">
        <v>1100</v>
      </c>
      <c r="AFX1" s="15" t="s">
        <v>1101</v>
      </c>
      <c r="AFY1" s="15" t="s">
        <v>1102</v>
      </c>
      <c r="AFZ1" s="15" t="s">
        <v>1103</v>
      </c>
      <c r="AGA1" s="15" t="s">
        <v>1104</v>
      </c>
      <c r="AGB1" s="15" t="s">
        <v>1105</v>
      </c>
      <c r="AGC1" s="15" t="s">
        <v>1106</v>
      </c>
      <c r="AGD1" s="15" t="s">
        <v>1107</v>
      </c>
      <c r="AGE1" s="15" t="s">
        <v>1108</v>
      </c>
      <c r="AGF1" s="15" t="s">
        <v>1109</v>
      </c>
      <c r="AGG1" s="15" t="s">
        <v>1110</v>
      </c>
      <c r="AGH1" s="15" t="s">
        <v>1111</v>
      </c>
      <c r="AGI1" s="15" t="s">
        <v>1112</v>
      </c>
      <c r="AGJ1" s="15" t="s">
        <v>1113</v>
      </c>
      <c r="AGK1" s="15" t="s">
        <v>1114</v>
      </c>
      <c r="AGL1" s="15" t="s">
        <v>1115</v>
      </c>
      <c r="AGM1" s="15" t="s">
        <v>1116</v>
      </c>
      <c r="AGN1" s="15" t="s">
        <v>1117</v>
      </c>
      <c r="AGO1" s="15" t="s">
        <v>1118</v>
      </c>
      <c r="AGP1" s="15" t="s">
        <v>1119</v>
      </c>
      <c r="AGQ1" s="15" t="s">
        <v>1120</v>
      </c>
      <c r="AGR1" s="15" t="s">
        <v>1121</v>
      </c>
      <c r="AGS1" s="15" t="s">
        <v>1122</v>
      </c>
      <c r="AGT1" s="15" t="s">
        <v>1123</v>
      </c>
      <c r="AGU1" s="15" t="s">
        <v>1124</v>
      </c>
      <c r="AGV1" s="15" t="s">
        <v>1125</v>
      </c>
      <c r="AGW1" s="15" t="s">
        <v>1126</v>
      </c>
      <c r="AGX1" s="15" t="s">
        <v>1127</v>
      </c>
      <c r="AGY1" s="15" t="s">
        <v>1128</v>
      </c>
      <c r="AGZ1" s="15" t="s">
        <v>1129</v>
      </c>
      <c r="AHA1" s="15" t="s">
        <v>1130</v>
      </c>
      <c r="AHB1" s="15" t="s">
        <v>1131</v>
      </c>
      <c r="AHC1" s="15" t="s">
        <v>1132</v>
      </c>
      <c r="AHD1" s="15" t="s">
        <v>1133</v>
      </c>
      <c r="AHE1" s="15" t="s">
        <v>1134</v>
      </c>
      <c r="AHF1" s="15" t="s">
        <v>1135</v>
      </c>
      <c r="AHG1" s="15" t="s">
        <v>1136</v>
      </c>
      <c r="AHH1" s="15" t="s">
        <v>1137</v>
      </c>
      <c r="AHI1" s="15" t="s">
        <v>1138</v>
      </c>
      <c r="AHJ1" s="15" t="s">
        <v>1139</v>
      </c>
      <c r="AHK1" s="15" t="s">
        <v>1140</v>
      </c>
      <c r="AHL1" s="15" t="s">
        <v>1141</v>
      </c>
      <c r="AHM1" s="15" t="s">
        <v>1142</v>
      </c>
      <c r="AHN1" s="15" t="s">
        <v>1143</v>
      </c>
      <c r="AHO1" s="15" t="s">
        <v>1144</v>
      </c>
      <c r="AHP1" s="15" t="s">
        <v>1145</v>
      </c>
      <c r="AHQ1" s="15" t="s">
        <v>1146</v>
      </c>
      <c r="AHR1" s="15" t="s">
        <v>1147</v>
      </c>
      <c r="AHS1" s="15" t="s">
        <v>1148</v>
      </c>
      <c r="AHT1" s="15" t="s">
        <v>1149</v>
      </c>
      <c r="AHU1" s="15" t="s">
        <v>1150</v>
      </c>
      <c r="AHV1" s="15" t="s">
        <v>1151</v>
      </c>
      <c r="AHW1" s="15" t="s">
        <v>1152</v>
      </c>
      <c r="AHX1" s="15" t="s">
        <v>1153</v>
      </c>
      <c r="AHY1" s="15" t="s">
        <v>1154</v>
      </c>
      <c r="AHZ1" s="15" t="s">
        <v>1155</v>
      </c>
      <c r="AIA1" s="15" t="s">
        <v>1156</v>
      </c>
      <c r="AIB1" s="15" t="s">
        <v>1157</v>
      </c>
      <c r="AIC1" s="15" t="s">
        <v>1158</v>
      </c>
      <c r="AID1" s="15" t="s">
        <v>1159</v>
      </c>
      <c r="AIE1" s="15" t="s">
        <v>1160</v>
      </c>
      <c r="AIF1" s="15" t="s">
        <v>1161</v>
      </c>
      <c r="AIG1" s="15" t="s">
        <v>1162</v>
      </c>
      <c r="AIH1" s="15" t="s">
        <v>1163</v>
      </c>
      <c r="AII1" s="15" t="s">
        <v>1164</v>
      </c>
      <c r="AIJ1" s="15" t="s">
        <v>1165</v>
      </c>
      <c r="AIK1" s="15" t="s">
        <v>1166</v>
      </c>
      <c r="AIL1" s="15" t="s">
        <v>1167</v>
      </c>
      <c r="AIM1" s="15" t="s">
        <v>1168</v>
      </c>
      <c r="AIN1" s="15" t="s">
        <v>1169</v>
      </c>
      <c r="AIO1" s="15" t="s">
        <v>1170</v>
      </c>
      <c r="AIP1" s="15" t="s">
        <v>1171</v>
      </c>
      <c r="AIQ1" s="15" t="s">
        <v>1172</v>
      </c>
      <c r="AIR1" s="15" t="s">
        <v>1173</v>
      </c>
      <c r="AIS1" s="15" t="s">
        <v>1174</v>
      </c>
      <c r="AIT1" s="15" t="s">
        <v>1175</v>
      </c>
      <c r="AIU1" s="15" t="s">
        <v>1176</v>
      </c>
      <c r="AIV1" s="15" t="s">
        <v>1177</v>
      </c>
      <c r="AIW1" s="15" t="s">
        <v>1178</v>
      </c>
      <c r="AIX1" s="15" t="s">
        <v>1179</v>
      </c>
      <c r="AIY1" s="15" t="s">
        <v>1180</v>
      </c>
      <c r="AIZ1" s="15" t="s">
        <v>1181</v>
      </c>
      <c r="AJA1" s="15" t="s">
        <v>1182</v>
      </c>
      <c r="AJB1" s="15" t="s">
        <v>1183</v>
      </c>
      <c r="AJC1" s="15" t="s">
        <v>1184</v>
      </c>
      <c r="AJD1" s="15" t="s">
        <v>1185</v>
      </c>
      <c r="AJE1" s="15" t="s">
        <v>1186</v>
      </c>
      <c r="AJF1" s="15" t="s">
        <v>1187</v>
      </c>
      <c r="AJG1" s="15" t="s">
        <v>1188</v>
      </c>
      <c r="AJH1" s="15" t="s">
        <v>1189</v>
      </c>
      <c r="AJI1" s="15" t="s">
        <v>1190</v>
      </c>
      <c r="AJJ1" s="15" t="s">
        <v>1191</v>
      </c>
      <c r="AJK1" s="15" t="s">
        <v>1192</v>
      </c>
      <c r="AJL1" s="15" t="s">
        <v>1193</v>
      </c>
      <c r="AJM1" s="15" t="s">
        <v>1194</v>
      </c>
      <c r="AJN1" s="15" t="s">
        <v>1195</v>
      </c>
      <c r="AJO1" s="15" t="s">
        <v>1196</v>
      </c>
      <c r="AJP1" s="15" t="s">
        <v>1197</v>
      </c>
      <c r="AJQ1" s="15" t="s">
        <v>1198</v>
      </c>
      <c r="AJR1" s="15" t="s">
        <v>1199</v>
      </c>
      <c r="AJS1" s="15" t="s">
        <v>1200</v>
      </c>
      <c r="AJT1" s="15" t="s">
        <v>1201</v>
      </c>
      <c r="AJU1" s="15" t="s">
        <v>1202</v>
      </c>
      <c r="AJV1" s="15" t="s">
        <v>1203</v>
      </c>
      <c r="AJW1" s="15" t="s">
        <v>1204</v>
      </c>
      <c r="AJX1" s="15" t="s">
        <v>1205</v>
      </c>
      <c r="AJY1" s="15" t="s">
        <v>1206</v>
      </c>
      <c r="AJZ1" s="15" t="s">
        <v>1207</v>
      </c>
      <c r="AKA1" s="15" t="s">
        <v>1208</v>
      </c>
      <c r="AKB1" s="15" t="s">
        <v>1209</v>
      </c>
      <c r="AKC1" s="15" t="s">
        <v>1210</v>
      </c>
      <c r="AKD1" s="15" t="s">
        <v>1211</v>
      </c>
      <c r="AKE1" s="15" t="s">
        <v>1212</v>
      </c>
      <c r="AKF1" s="15" t="s">
        <v>1213</v>
      </c>
      <c r="AKG1" s="15" t="s">
        <v>1214</v>
      </c>
      <c r="AKH1" s="15" t="s">
        <v>1215</v>
      </c>
      <c r="AKI1" s="15" t="s">
        <v>1216</v>
      </c>
      <c r="AKJ1" s="15" t="s">
        <v>1217</v>
      </c>
      <c r="AKK1" s="15" t="s">
        <v>1218</v>
      </c>
      <c r="AKL1" s="15" t="s">
        <v>1219</v>
      </c>
      <c r="AKM1" s="15" t="s">
        <v>1220</v>
      </c>
      <c r="AKN1" s="15" t="s">
        <v>1221</v>
      </c>
      <c r="AKO1" s="15" t="s">
        <v>1222</v>
      </c>
      <c r="AKP1" s="15" t="s">
        <v>1223</v>
      </c>
      <c r="AKQ1" s="15" t="s">
        <v>1224</v>
      </c>
      <c r="AKR1" s="15" t="s">
        <v>1225</v>
      </c>
      <c r="AKS1" s="15" t="s">
        <v>1226</v>
      </c>
      <c r="AKT1" s="15" t="s">
        <v>1227</v>
      </c>
      <c r="AKU1" s="15" t="s">
        <v>1228</v>
      </c>
      <c r="AKV1" s="15" t="s">
        <v>1229</v>
      </c>
      <c r="AKW1" s="15" t="s">
        <v>1230</v>
      </c>
      <c r="AKX1" s="15" t="s">
        <v>1231</v>
      </c>
      <c r="AKY1" s="15" t="s">
        <v>1232</v>
      </c>
      <c r="AKZ1" s="15" t="s">
        <v>1233</v>
      </c>
      <c r="ALA1" s="15" t="s">
        <v>1234</v>
      </c>
      <c r="ALB1" s="15" t="s">
        <v>1235</v>
      </c>
      <c r="ALC1" s="15" t="s">
        <v>1236</v>
      </c>
      <c r="ALD1" s="15" t="s">
        <v>1237</v>
      </c>
      <c r="ALE1" s="15" t="s">
        <v>1238</v>
      </c>
      <c r="ALF1" s="15" t="s">
        <v>1239</v>
      </c>
      <c r="ALG1" s="15" t="s">
        <v>1240</v>
      </c>
      <c r="ALH1" s="15" t="s">
        <v>1241</v>
      </c>
      <c r="ALI1" s="15" t="s">
        <v>1242</v>
      </c>
      <c r="ALJ1" s="15" t="s">
        <v>1243</v>
      </c>
      <c r="ALK1" s="15" t="s">
        <v>1244</v>
      </c>
      <c r="ALL1" s="15" t="s">
        <v>1245</v>
      </c>
      <c r="ALM1" s="15" t="s">
        <v>1246</v>
      </c>
      <c r="ALN1" s="15" t="s">
        <v>1247</v>
      </c>
      <c r="ALO1" s="15" t="s">
        <v>1248</v>
      </c>
      <c r="ALP1" s="15" t="s">
        <v>1249</v>
      </c>
      <c r="ALQ1" s="15" t="s">
        <v>1250</v>
      </c>
      <c r="ALR1" s="15" t="s">
        <v>1251</v>
      </c>
      <c r="ALS1" s="15" t="s">
        <v>1252</v>
      </c>
      <c r="ALT1" s="15" t="s">
        <v>1253</v>
      </c>
      <c r="ALU1" s="15" t="s">
        <v>1254</v>
      </c>
      <c r="ALV1" s="15" t="s">
        <v>1255</v>
      </c>
      <c r="ALW1" s="15" t="s">
        <v>1256</v>
      </c>
      <c r="ALX1" s="15" t="s">
        <v>1257</v>
      </c>
      <c r="ALY1" s="15" t="s">
        <v>1258</v>
      </c>
      <c r="ALZ1" s="15" t="s">
        <v>1259</v>
      </c>
      <c r="AMA1" s="15" t="s">
        <v>1260</v>
      </c>
      <c r="AMB1" s="15" t="s">
        <v>1261</v>
      </c>
      <c r="AMC1" s="15" t="s">
        <v>1262</v>
      </c>
      <c r="AMD1" s="15" t="s">
        <v>1263</v>
      </c>
      <c r="AME1" s="15" t="s">
        <v>1264</v>
      </c>
      <c r="AMF1" s="15" t="s">
        <v>1265</v>
      </c>
      <c r="AMG1" s="15" t="s">
        <v>1266</v>
      </c>
      <c r="AMH1" s="15" t="s">
        <v>1267</v>
      </c>
      <c r="AMI1" s="15" t="s">
        <v>1268</v>
      </c>
      <c r="AMJ1" s="15" t="s">
        <v>1269</v>
      </c>
      <c r="AMK1" s="15" t="s">
        <v>1270</v>
      </c>
      <c r="AML1" s="15" t="s">
        <v>1271</v>
      </c>
      <c r="AMM1" s="15" t="s">
        <v>1272</v>
      </c>
      <c r="AMN1" s="15" t="s">
        <v>1273</v>
      </c>
      <c r="AMO1" s="15" t="s">
        <v>1274</v>
      </c>
      <c r="AMP1" s="15" t="s">
        <v>1275</v>
      </c>
      <c r="AMQ1" s="15" t="s">
        <v>1276</v>
      </c>
      <c r="AMR1" s="15" t="s">
        <v>1277</v>
      </c>
      <c r="AMS1" s="15" t="s">
        <v>1278</v>
      </c>
      <c r="AMT1" s="15" t="s">
        <v>1279</v>
      </c>
      <c r="AMU1" s="15" t="s">
        <v>1280</v>
      </c>
      <c r="AMV1" s="15" t="s">
        <v>1281</v>
      </c>
      <c r="AMW1" s="15" t="s">
        <v>1282</v>
      </c>
      <c r="AMX1" s="15" t="s">
        <v>1283</v>
      </c>
      <c r="AMY1" s="15" t="s">
        <v>1284</v>
      </c>
      <c r="AMZ1" s="15" t="s">
        <v>1285</v>
      </c>
      <c r="ANA1" s="15" t="s">
        <v>1286</v>
      </c>
      <c r="ANB1" s="15" t="s">
        <v>1287</v>
      </c>
      <c r="ANC1" s="15" t="s">
        <v>1288</v>
      </c>
      <c r="AND1" s="15" t="s">
        <v>1289</v>
      </c>
      <c r="ANE1" s="15" t="s">
        <v>1290</v>
      </c>
      <c r="ANF1" s="15" t="s">
        <v>1291</v>
      </c>
      <c r="ANG1" s="15" t="s">
        <v>1292</v>
      </c>
      <c r="ANH1" s="15" t="s">
        <v>1293</v>
      </c>
      <c r="ANI1" s="15" t="s">
        <v>1294</v>
      </c>
      <c r="ANJ1" s="15" t="s">
        <v>1295</v>
      </c>
      <c r="ANK1" s="15" t="s">
        <v>1296</v>
      </c>
      <c r="ANL1" s="15" t="s">
        <v>1297</v>
      </c>
      <c r="ANM1" s="15" t="s">
        <v>1298</v>
      </c>
      <c r="ANN1" s="15" t="s">
        <v>1299</v>
      </c>
      <c r="ANO1" s="15" t="s">
        <v>1300</v>
      </c>
      <c r="ANP1" s="15" t="s">
        <v>1301</v>
      </c>
      <c r="ANQ1" s="15" t="s">
        <v>1302</v>
      </c>
      <c r="ANR1" s="15" t="s">
        <v>1303</v>
      </c>
      <c r="ANS1" s="15" t="s">
        <v>1304</v>
      </c>
      <c r="ANT1" s="15" t="s">
        <v>1305</v>
      </c>
      <c r="ANU1" s="15" t="s">
        <v>1306</v>
      </c>
      <c r="ANV1" s="15" t="s">
        <v>1307</v>
      </c>
      <c r="ANW1" s="15" t="s">
        <v>1308</v>
      </c>
      <c r="ANX1" s="15" t="s">
        <v>1309</v>
      </c>
      <c r="ANY1" s="15" t="s">
        <v>1310</v>
      </c>
      <c r="ANZ1" s="15" t="s">
        <v>1311</v>
      </c>
      <c r="AOA1" s="15" t="s">
        <v>1312</v>
      </c>
      <c r="AOB1" s="15" t="s">
        <v>1313</v>
      </c>
      <c r="AOC1" s="15" t="s">
        <v>1314</v>
      </c>
      <c r="AOD1" s="15" t="s">
        <v>1315</v>
      </c>
      <c r="AOE1" s="15" t="s">
        <v>1316</v>
      </c>
      <c r="AOF1" s="15" t="s">
        <v>1317</v>
      </c>
      <c r="AOG1" s="15" t="s">
        <v>1318</v>
      </c>
      <c r="AOH1" s="15" t="s">
        <v>1319</v>
      </c>
      <c r="AOI1" s="15" t="s">
        <v>1320</v>
      </c>
      <c r="AOJ1" s="15" t="s">
        <v>1321</v>
      </c>
      <c r="AOK1" s="15" t="s">
        <v>1322</v>
      </c>
      <c r="AOL1" s="15" t="s">
        <v>1323</v>
      </c>
      <c r="AOM1" s="15" t="s">
        <v>1324</v>
      </c>
      <c r="AON1" s="15" t="s">
        <v>1325</v>
      </c>
      <c r="AOO1" s="15" t="s">
        <v>1326</v>
      </c>
      <c r="AOP1" s="15" t="s">
        <v>1327</v>
      </c>
      <c r="AOQ1" s="15" t="s">
        <v>1328</v>
      </c>
      <c r="AOR1" s="15" t="s">
        <v>1329</v>
      </c>
      <c r="AOS1" s="15" t="s">
        <v>1330</v>
      </c>
      <c r="AOT1" s="15" t="s">
        <v>1331</v>
      </c>
      <c r="AOU1" s="15" t="s">
        <v>1332</v>
      </c>
      <c r="AOV1" s="15" t="s">
        <v>1333</v>
      </c>
      <c r="AOW1" s="15" t="s">
        <v>1334</v>
      </c>
      <c r="AOX1" s="15" t="s">
        <v>1335</v>
      </c>
      <c r="AOY1" s="15" t="s">
        <v>1336</v>
      </c>
      <c r="AOZ1" s="15" t="s">
        <v>1337</v>
      </c>
      <c r="APA1" s="15" t="s">
        <v>1338</v>
      </c>
      <c r="APB1" s="15" t="s">
        <v>1339</v>
      </c>
      <c r="APC1" s="15" t="s">
        <v>1340</v>
      </c>
      <c r="APD1" s="15" t="s">
        <v>1341</v>
      </c>
      <c r="APE1" s="15" t="s">
        <v>1342</v>
      </c>
      <c r="APF1" s="15" t="s">
        <v>1343</v>
      </c>
      <c r="APG1" s="15" t="s">
        <v>1344</v>
      </c>
      <c r="APH1" s="15" t="s">
        <v>1345</v>
      </c>
      <c r="API1" s="15" t="s">
        <v>1346</v>
      </c>
      <c r="APJ1" s="15" t="s">
        <v>1347</v>
      </c>
      <c r="APK1" s="15" t="s">
        <v>1348</v>
      </c>
      <c r="APL1" s="15" t="s">
        <v>1349</v>
      </c>
      <c r="APM1" s="15" t="s">
        <v>1350</v>
      </c>
      <c r="APN1" s="15" t="s">
        <v>1351</v>
      </c>
      <c r="APO1" s="15" t="s">
        <v>1352</v>
      </c>
      <c r="APP1" s="15" t="s">
        <v>1353</v>
      </c>
      <c r="APQ1" s="15" t="s">
        <v>1354</v>
      </c>
      <c r="APR1" s="15" t="s">
        <v>1355</v>
      </c>
      <c r="APS1" s="15" t="s">
        <v>1356</v>
      </c>
      <c r="APT1" s="15" t="s">
        <v>1357</v>
      </c>
      <c r="APU1" s="15" t="s">
        <v>1358</v>
      </c>
      <c r="APV1" s="15" t="s">
        <v>1359</v>
      </c>
      <c r="APW1" s="15" t="s">
        <v>1360</v>
      </c>
      <c r="APX1" s="15" t="s">
        <v>1361</v>
      </c>
      <c r="APY1" s="15" t="s">
        <v>1362</v>
      </c>
      <c r="APZ1" s="15" t="s">
        <v>1363</v>
      </c>
      <c r="AQA1" s="15" t="s">
        <v>1364</v>
      </c>
      <c r="AQB1" s="15" t="s">
        <v>1365</v>
      </c>
      <c r="AQC1" s="15" t="s">
        <v>1366</v>
      </c>
      <c r="AQD1" s="15" t="s">
        <v>1367</v>
      </c>
      <c r="AQE1" s="15" t="s">
        <v>1368</v>
      </c>
      <c r="AQF1" s="15" t="s">
        <v>1369</v>
      </c>
      <c r="AQG1" s="15" t="s">
        <v>1370</v>
      </c>
      <c r="AQH1" s="15" t="s">
        <v>1371</v>
      </c>
      <c r="AQI1" s="15" t="s">
        <v>1372</v>
      </c>
      <c r="AQJ1" s="15" t="s">
        <v>1373</v>
      </c>
      <c r="AQK1" s="15" t="s">
        <v>1374</v>
      </c>
      <c r="AQL1" s="15" t="s">
        <v>1375</v>
      </c>
      <c r="AQM1" s="15" t="s">
        <v>1376</v>
      </c>
      <c r="AQN1" s="15" t="s">
        <v>1377</v>
      </c>
      <c r="AQO1" s="15" t="s">
        <v>1378</v>
      </c>
      <c r="AQP1" s="15" t="s">
        <v>1379</v>
      </c>
      <c r="AQQ1" s="15" t="s">
        <v>1380</v>
      </c>
      <c r="AQR1" s="15" t="s">
        <v>1381</v>
      </c>
      <c r="AQS1" s="15" t="s">
        <v>1382</v>
      </c>
      <c r="AQT1" s="15" t="s">
        <v>1383</v>
      </c>
      <c r="AQU1" s="15" t="s">
        <v>1384</v>
      </c>
      <c r="AQV1" s="15" t="s">
        <v>1385</v>
      </c>
      <c r="AQW1" s="15" t="s">
        <v>1386</v>
      </c>
      <c r="AQX1" s="15" t="s">
        <v>1387</v>
      </c>
      <c r="AQY1" s="15" t="s">
        <v>1388</v>
      </c>
      <c r="AQZ1" s="15" t="s">
        <v>1389</v>
      </c>
      <c r="ARA1" s="15" t="s">
        <v>1390</v>
      </c>
      <c r="ARB1" s="15" t="s">
        <v>1391</v>
      </c>
      <c r="ARC1" s="15" t="s">
        <v>1392</v>
      </c>
      <c r="ARD1" s="15" t="s">
        <v>1393</v>
      </c>
      <c r="ARE1" s="15" t="s">
        <v>1394</v>
      </c>
      <c r="ARF1" s="15" t="s">
        <v>1395</v>
      </c>
      <c r="ARG1" s="15" t="s">
        <v>1396</v>
      </c>
      <c r="ARH1" s="15" t="s">
        <v>1397</v>
      </c>
      <c r="ARI1" s="15" t="s">
        <v>1398</v>
      </c>
      <c r="ARJ1" s="15" t="s">
        <v>1399</v>
      </c>
      <c r="ARK1" s="15" t="s">
        <v>1400</v>
      </c>
      <c r="ARL1" s="15" t="s">
        <v>1401</v>
      </c>
      <c r="ARM1" s="15" t="s">
        <v>1402</v>
      </c>
      <c r="ARN1" s="15" t="s">
        <v>1403</v>
      </c>
      <c r="ARO1" s="15" t="s">
        <v>1404</v>
      </c>
      <c r="ARP1" s="15" t="s">
        <v>1405</v>
      </c>
      <c r="ARQ1" s="15" t="s">
        <v>1406</v>
      </c>
      <c r="ARR1" s="15" t="s">
        <v>1407</v>
      </c>
      <c r="ARS1" s="15" t="s">
        <v>1408</v>
      </c>
      <c r="ART1" s="15" t="s">
        <v>1409</v>
      </c>
      <c r="ARU1" s="15" t="s">
        <v>1410</v>
      </c>
      <c r="ARV1" s="15" t="s">
        <v>1411</v>
      </c>
      <c r="ARW1" s="15" t="s">
        <v>1412</v>
      </c>
      <c r="ARX1" s="15" t="s">
        <v>1413</v>
      </c>
      <c r="ARY1" s="15" t="s">
        <v>1414</v>
      </c>
      <c r="ARZ1" s="15" t="s">
        <v>1415</v>
      </c>
      <c r="ASA1" s="15" t="s">
        <v>1416</v>
      </c>
      <c r="ASB1" s="15" t="s">
        <v>1417</v>
      </c>
      <c r="ASC1" s="15" t="s">
        <v>1418</v>
      </c>
      <c r="ASD1" s="15" t="s">
        <v>1419</v>
      </c>
      <c r="ASE1" s="15" t="s">
        <v>1420</v>
      </c>
      <c r="ASF1" s="15" t="s">
        <v>1421</v>
      </c>
      <c r="ASG1" s="15" t="s">
        <v>1422</v>
      </c>
      <c r="ASH1" s="15" t="s">
        <v>1423</v>
      </c>
      <c r="ASI1" s="15" t="s">
        <v>1424</v>
      </c>
      <c r="ASJ1" s="15" t="s">
        <v>1425</v>
      </c>
      <c r="ASK1" s="15" t="s">
        <v>1426</v>
      </c>
      <c r="ASL1" s="15" t="s">
        <v>1427</v>
      </c>
      <c r="ASM1" s="15" t="s">
        <v>1428</v>
      </c>
      <c r="ASN1" s="15" t="s">
        <v>1429</v>
      </c>
      <c r="ASO1" s="15" t="s">
        <v>1430</v>
      </c>
      <c r="ASP1" s="15" t="s">
        <v>1431</v>
      </c>
      <c r="ASQ1" s="15" t="s">
        <v>1432</v>
      </c>
      <c r="ASR1" s="15" t="s">
        <v>1433</v>
      </c>
      <c r="ASS1" s="15" t="s">
        <v>1434</v>
      </c>
      <c r="AST1" s="15" t="s">
        <v>1435</v>
      </c>
      <c r="ASU1" s="15" t="s">
        <v>1436</v>
      </c>
      <c r="ASV1" s="15" t="s">
        <v>1437</v>
      </c>
      <c r="ASW1" s="15" t="s">
        <v>1438</v>
      </c>
      <c r="ASX1" s="15" t="s">
        <v>1439</v>
      </c>
      <c r="ASY1" s="15" t="s">
        <v>1440</v>
      </c>
      <c r="ASZ1" s="15" t="s">
        <v>1441</v>
      </c>
      <c r="ATA1" s="15" t="s">
        <v>1442</v>
      </c>
      <c r="ATB1" s="15" t="s">
        <v>1443</v>
      </c>
      <c r="ATC1" s="15" t="s">
        <v>1444</v>
      </c>
      <c r="ATD1" s="15" t="s">
        <v>1445</v>
      </c>
      <c r="ATE1" s="15" t="s">
        <v>1446</v>
      </c>
      <c r="ATF1" s="15" t="s">
        <v>1447</v>
      </c>
      <c r="ATG1" s="15" t="s">
        <v>1448</v>
      </c>
      <c r="ATH1" s="15" t="s">
        <v>1449</v>
      </c>
      <c r="ATI1" s="15" t="s">
        <v>1450</v>
      </c>
      <c r="ATJ1" s="15" t="s">
        <v>1451</v>
      </c>
      <c r="ATK1" s="15" t="s">
        <v>1452</v>
      </c>
      <c r="ATL1" s="15" t="s">
        <v>1453</v>
      </c>
      <c r="ATM1" s="15" t="s">
        <v>1454</v>
      </c>
      <c r="ATN1" s="15" t="s">
        <v>1455</v>
      </c>
      <c r="ATO1" s="15" t="s">
        <v>1456</v>
      </c>
      <c r="ATP1" s="15" t="s">
        <v>1457</v>
      </c>
      <c r="ATQ1" s="15" t="s">
        <v>1458</v>
      </c>
      <c r="ATR1" s="15" t="s">
        <v>1459</v>
      </c>
      <c r="ATS1" s="15" t="s">
        <v>1460</v>
      </c>
      <c r="ATT1" s="15" t="s">
        <v>1461</v>
      </c>
      <c r="ATU1" s="15" t="s">
        <v>1462</v>
      </c>
      <c r="ATV1" s="15" t="s">
        <v>1463</v>
      </c>
      <c r="ATW1" s="15" t="s">
        <v>1464</v>
      </c>
      <c r="ATX1" s="15" t="s">
        <v>1465</v>
      </c>
      <c r="ATY1" s="15" t="s">
        <v>1466</v>
      </c>
      <c r="ATZ1" s="15" t="s">
        <v>1467</v>
      </c>
      <c r="AUA1" s="15" t="s">
        <v>1468</v>
      </c>
      <c r="AUB1" s="15" t="s">
        <v>1469</v>
      </c>
      <c r="AUC1" s="15" t="s">
        <v>1470</v>
      </c>
      <c r="AUD1" s="15" t="s">
        <v>1471</v>
      </c>
      <c r="AUE1" s="15" t="s">
        <v>1472</v>
      </c>
      <c r="AUF1" s="15" t="s">
        <v>1473</v>
      </c>
      <c r="AUG1" s="15" t="s">
        <v>1474</v>
      </c>
      <c r="AUH1" s="15" t="s">
        <v>1475</v>
      </c>
      <c r="AUI1" s="15" t="s">
        <v>1476</v>
      </c>
      <c r="AUJ1" s="15" t="s">
        <v>1477</v>
      </c>
      <c r="AUK1" s="15" t="s">
        <v>1478</v>
      </c>
      <c r="AUL1" s="15" t="s">
        <v>1479</v>
      </c>
      <c r="AUM1" s="15" t="s">
        <v>1480</v>
      </c>
      <c r="AUN1" s="15" t="s">
        <v>1481</v>
      </c>
      <c r="AUO1" s="15" t="s">
        <v>1482</v>
      </c>
      <c r="AUP1" s="15" t="s">
        <v>1483</v>
      </c>
      <c r="AUQ1" s="15" t="s">
        <v>1484</v>
      </c>
      <c r="AUR1" s="15" t="s">
        <v>1485</v>
      </c>
      <c r="AUS1" s="15" t="s">
        <v>1486</v>
      </c>
      <c r="AUT1" s="15" t="s">
        <v>1487</v>
      </c>
      <c r="AUU1" s="15" t="s">
        <v>1488</v>
      </c>
      <c r="AUV1" s="15" t="s">
        <v>1489</v>
      </c>
      <c r="AUW1" s="15" t="s">
        <v>1490</v>
      </c>
      <c r="AUX1" s="15" t="s">
        <v>1491</v>
      </c>
      <c r="AUY1" s="15" t="s">
        <v>1492</v>
      </c>
      <c r="AUZ1" s="15" t="s">
        <v>1493</v>
      </c>
      <c r="AVA1" s="15" t="s">
        <v>1494</v>
      </c>
      <c r="AVB1" s="15" t="s">
        <v>1495</v>
      </c>
      <c r="AVC1" s="15" t="s">
        <v>1496</v>
      </c>
      <c r="AVD1" s="15" t="s">
        <v>1497</v>
      </c>
      <c r="AVE1" s="15" t="s">
        <v>1498</v>
      </c>
      <c r="AVF1" s="15" t="s">
        <v>1499</v>
      </c>
      <c r="AVG1" s="15" t="s">
        <v>1500</v>
      </c>
      <c r="AVH1" s="15" t="s">
        <v>1501</v>
      </c>
      <c r="AVI1" s="15" t="s">
        <v>1502</v>
      </c>
      <c r="AVJ1" s="15" t="s">
        <v>1503</v>
      </c>
      <c r="AVK1" s="15" t="s">
        <v>1504</v>
      </c>
      <c r="AVL1" s="15" t="s">
        <v>1505</v>
      </c>
      <c r="AVM1" s="15" t="s">
        <v>1506</v>
      </c>
      <c r="AVN1" s="15" t="s">
        <v>1507</v>
      </c>
      <c r="AVO1" s="15" t="s">
        <v>1508</v>
      </c>
      <c r="AVP1" s="15" t="s">
        <v>1509</v>
      </c>
      <c r="AVQ1" s="15" t="s">
        <v>1510</v>
      </c>
      <c r="AVR1" s="15" t="s">
        <v>1511</v>
      </c>
      <c r="AVS1" s="15" t="s">
        <v>1512</v>
      </c>
      <c r="AVT1" s="15" t="s">
        <v>1513</v>
      </c>
      <c r="AVU1" s="15" t="s">
        <v>1514</v>
      </c>
      <c r="AVV1" s="15" t="s">
        <v>1515</v>
      </c>
      <c r="AVW1" s="15" t="s">
        <v>1516</v>
      </c>
      <c r="AVX1" s="15" t="s">
        <v>1517</v>
      </c>
      <c r="AVY1" s="15" t="s">
        <v>1518</v>
      </c>
      <c r="AVZ1" s="15" t="s">
        <v>1519</v>
      </c>
      <c r="AWA1" s="15" t="s">
        <v>1520</v>
      </c>
      <c r="AWB1" s="15" t="s">
        <v>1521</v>
      </c>
      <c r="AWC1" s="15" t="s">
        <v>1522</v>
      </c>
      <c r="AWD1" s="15" t="s">
        <v>1523</v>
      </c>
      <c r="AWE1" s="15" t="s">
        <v>1524</v>
      </c>
      <c r="AWF1" s="15" t="s">
        <v>1525</v>
      </c>
      <c r="AWG1" s="15" t="s">
        <v>1526</v>
      </c>
      <c r="AWH1" s="15" t="s">
        <v>1527</v>
      </c>
      <c r="AWI1" s="15" t="s">
        <v>1528</v>
      </c>
      <c r="AWJ1" s="15" t="s">
        <v>1529</v>
      </c>
      <c r="AWK1" s="15" t="s">
        <v>1530</v>
      </c>
      <c r="AWL1" s="15" t="s">
        <v>1531</v>
      </c>
      <c r="AWM1" s="15" t="s">
        <v>1532</v>
      </c>
      <c r="AWN1" s="15" t="s">
        <v>1533</v>
      </c>
      <c r="AWO1" s="15" t="s">
        <v>1534</v>
      </c>
      <c r="AWP1" s="15" t="s">
        <v>1535</v>
      </c>
      <c r="AWQ1" s="15" t="s">
        <v>1536</v>
      </c>
      <c r="AWR1" s="15" t="s">
        <v>1537</v>
      </c>
      <c r="AWS1" s="15" t="s">
        <v>1538</v>
      </c>
      <c r="AWT1" s="15" t="s">
        <v>1539</v>
      </c>
      <c r="AWU1" s="15" t="s">
        <v>1540</v>
      </c>
      <c r="AWV1" s="15" t="s">
        <v>1541</v>
      </c>
      <c r="AWW1" s="15" t="s">
        <v>1542</v>
      </c>
      <c r="AWX1" s="15" t="s">
        <v>1543</v>
      </c>
      <c r="AWY1" s="15" t="s">
        <v>1544</v>
      </c>
      <c r="AWZ1" s="15" t="s">
        <v>1545</v>
      </c>
      <c r="AXA1" s="15" t="s">
        <v>1546</v>
      </c>
      <c r="AXB1" s="15" t="s">
        <v>1547</v>
      </c>
      <c r="AXC1" s="15" t="s">
        <v>1548</v>
      </c>
      <c r="AXD1" s="15" t="s">
        <v>1549</v>
      </c>
      <c r="AXE1" s="15" t="s">
        <v>1550</v>
      </c>
      <c r="AXF1" s="15" t="s">
        <v>1551</v>
      </c>
      <c r="AXG1" s="15" t="s">
        <v>1552</v>
      </c>
      <c r="AXH1" s="15" t="s">
        <v>1553</v>
      </c>
      <c r="AXI1" s="15" t="s">
        <v>1554</v>
      </c>
      <c r="AXJ1" s="15" t="s">
        <v>1555</v>
      </c>
      <c r="AXK1" s="15" t="s">
        <v>1556</v>
      </c>
      <c r="AXL1" s="15" t="s">
        <v>1557</v>
      </c>
      <c r="AXM1" s="15" t="s">
        <v>1558</v>
      </c>
      <c r="AXN1" s="15" t="s">
        <v>1559</v>
      </c>
      <c r="AXO1" s="15" t="s">
        <v>1560</v>
      </c>
      <c r="AXP1" s="15" t="s">
        <v>1561</v>
      </c>
      <c r="AXQ1" s="15" t="s">
        <v>1562</v>
      </c>
      <c r="AXR1" s="15" t="s">
        <v>1563</v>
      </c>
      <c r="AXS1" s="15" t="s">
        <v>1564</v>
      </c>
      <c r="AXT1" s="15" t="s">
        <v>1565</v>
      </c>
      <c r="AXU1" s="15" t="s">
        <v>1566</v>
      </c>
      <c r="AXV1" s="15" t="s">
        <v>1567</v>
      </c>
      <c r="AXW1" s="15" t="s">
        <v>1568</v>
      </c>
      <c r="AXX1" s="15" t="s">
        <v>1569</v>
      </c>
      <c r="AXY1" s="15" t="s">
        <v>1570</v>
      </c>
      <c r="AXZ1" s="15" t="s">
        <v>1571</v>
      </c>
      <c r="AYA1" s="15" t="s">
        <v>1572</v>
      </c>
      <c r="AYB1" s="15" t="s">
        <v>1573</v>
      </c>
      <c r="AYC1" s="15" t="s">
        <v>1574</v>
      </c>
      <c r="AYD1" s="15" t="s">
        <v>1575</v>
      </c>
      <c r="AYE1" s="15" t="s">
        <v>1576</v>
      </c>
      <c r="AYF1" s="15" t="s">
        <v>1577</v>
      </c>
      <c r="AYG1" s="15" t="s">
        <v>1578</v>
      </c>
      <c r="AYH1" s="15" t="s">
        <v>1579</v>
      </c>
      <c r="AYI1" s="15" t="s">
        <v>1580</v>
      </c>
      <c r="AYJ1" s="15" t="s">
        <v>1581</v>
      </c>
      <c r="AYK1" s="15" t="s">
        <v>1582</v>
      </c>
      <c r="AYL1" s="15" t="s">
        <v>1583</v>
      </c>
      <c r="AYM1" s="15" t="s">
        <v>1584</v>
      </c>
      <c r="AYN1" s="15" t="s">
        <v>1585</v>
      </c>
      <c r="AYO1" s="15" t="s">
        <v>1586</v>
      </c>
      <c r="AYP1" s="15" t="s">
        <v>1587</v>
      </c>
      <c r="AYQ1" s="15" t="s">
        <v>1588</v>
      </c>
      <c r="AYR1" s="15" t="s">
        <v>1589</v>
      </c>
      <c r="AYS1" s="15" t="s">
        <v>1590</v>
      </c>
      <c r="AYT1" s="15" t="s">
        <v>1591</v>
      </c>
      <c r="AYU1" s="15" t="s">
        <v>1592</v>
      </c>
      <c r="AYV1" s="15" t="s">
        <v>1593</v>
      </c>
      <c r="AYW1" s="15" t="s">
        <v>1594</v>
      </c>
      <c r="AYX1" s="15" t="s">
        <v>1595</v>
      </c>
      <c r="AYY1" s="15" t="s">
        <v>1596</v>
      </c>
      <c r="AYZ1" s="15" t="s">
        <v>1597</v>
      </c>
      <c r="AZA1" s="15" t="s">
        <v>1598</v>
      </c>
      <c r="AZB1" s="15" t="s">
        <v>1599</v>
      </c>
      <c r="AZC1" s="15" t="s">
        <v>1600</v>
      </c>
      <c r="AZD1" s="15" t="s">
        <v>1601</v>
      </c>
      <c r="AZE1" s="15" t="s">
        <v>1602</v>
      </c>
      <c r="AZF1" s="15" t="s">
        <v>1603</v>
      </c>
      <c r="AZG1" s="15" t="s">
        <v>1604</v>
      </c>
      <c r="AZH1" s="15" t="s">
        <v>1605</v>
      </c>
      <c r="AZI1" s="15" t="s">
        <v>1606</v>
      </c>
      <c r="AZJ1" s="15" t="s">
        <v>1607</v>
      </c>
      <c r="AZK1" s="15" t="s">
        <v>1608</v>
      </c>
      <c r="AZL1" s="15" t="s">
        <v>1609</v>
      </c>
      <c r="AZM1" s="15" t="s">
        <v>1610</v>
      </c>
      <c r="AZN1" s="15" t="s">
        <v>1611</v>
      </c>
      <c r="AZO1" s="15" t="s">
        <v>1612</v>
      </c>
      <c r="AZP1" s="15" t="s">
        <v>1613</v>
      </c>
      <c r="AZQ1" s="15" t="s">
        <v>1614</v>
      </c>
      <c r="AZR1" s="15" t="s">
        <v>1615</v>
      </c>
      <c r="AZS1" s="15" t="s">
        <v>1616</v>
      </c>
      <c r="AZT1" s="15" t="s">
        <v>1617</v>
      </c>
      <c r="AZU1" s="15" t="s">
        <v>1618</v>
      </c>
      <c r="AZV1" s="15" t="s">
        <v>1619</v>
      </c>
      <c r="AZW1" s="15" t="s">
        <v>1620</v>
      </c>
      <c r="AZX1" s="15" t="s">
        <v>1621</v>
      </c>
      <c r="AZY1" s="15" t="s">
        <v>1622</v>
      </c>
      <c r="AZZ1" s="15" t="s">
        <v>1623</v>
      </c>
      <c r="BAA1" s="15" t="s">
        <v>1624</v>
      </c>
      <c r="BAB1" s="15" t="s">
        <v>1625</v>
      </c>
      <c r="BAC1" s="15" t="s">
        <v>1626</v>
      </c>
      <c r="BAD1" s="15" t="s">
        <v>1627</v>
      </c>
      <c r="BAE1" s="15" t="s">
        <v>1628</v>
      </c>
      <c r="BAF1" s="15" t="s">
        <v>1629</v>
      </c>
      <c r="BAG1" s="15" t="s">
        <v>1630</v>
      </c>
      <c r="BAH1" s="15" t="s">
        <v>1631</v>
      </c>
      <c r="BAI1" s="15" t="s">
        <v>1632</v>
      </c>
      <c r="BAJ1" s="15" t="s">
        <v>1633</v>
      </c>
      <c r="BAK1" s="15" t="s">
        <v>1634</v>
      </c>
      <c r="BAL1" s="15" t="s">
        <v>1635</v>
      </c>
      <c r="BAM1" s="15" t="s">
        <v>1636</v>
      </c>
      <c r="BAN1" s="15" t="s">
        <v>1637</v>
      </c>
      <c r="BAO1" s="15" t="s">
        <v>1638</v>
      </c>
      <c r="BAP1" s="15" t="s">
        <v>1639</v>
      </c>
      <c r="BAQ1" s="15" t="s">
        <v>1640</v>
      </c>
      <c r="BAR1" s="15" t="s">
        <v>1641</v>
      </c>
      <c r="BAS1" s="15" t="s">
        <v>1642</v>
      </c>
      <c r="BAT1" s="15" t="s">
        <v>1643</v>
      </c>
      <c r="BAU1" s="15" t="s">
        <v>1644</v>
      </c>
      <c r="BAV1" s="15" t="s">
        <v>1645</v>
      </c>
      <c r="BAW1" s="15" t="s">
        <v>1646</v>
      </c>
      <c r="BAX1" s="15" t="s">
        <v>1647</v>
      </c>
      <c r="BAY1" s="15" t="s">
        <v>1648</v>
      </c>
      <c r="BAZ1" s="15" t="s">
        <v>1649</v>
      </c>
      <c r="BBA1" s="15" t="s">
        <v>1650</v>
      </c>
      <c r="BBB1" s="15" t="s">
        <v>1651</v>
      </c>
      <c r="BBC1" s="15" t="s">
        <v>1652</v>
      </c>
      <c r="BBD1" s="15" t="s">
        <v>1653</v>
      </c>
      <c r="BBE1" s="15" t="s">
        <v>1654</v>
      </c>
      <c r="BBF1" s="15" t="s">
        <v>1655</v>
      </c>
      <c r="BBG1" s="15" t="s">
        <v>1656</v>
      </c>
      <c r="BBH1" s="15" t="s">
        <v>1657</v>
      </c>
      <c r="BBI1" s="15" t="s">
        <v>1658</v>
      </c>
      <c r="BBJ1" s="15" t="s">
        <v>1659</v>
      </c>
      <c r="BBK1" s="15" t="s">
        <v>1660</v>
      </c>
      <c r="BBL1" s="15" t="s">
        <v>1661</v>
      </c>
      <c r="BBM1" s="15" t="s">
        <v>1662</v>
      </c>
      <c r="BBN1" s="15" t="s">
        <v>1663</v>
      </c>
      <c r="BBO1" s="15" t="s">
        <v>1664</v>
      </c>
      <c r="BBP1" s="15" t="s">
        <v>1665</v>
      </c>
      <c r="BBQ1" s="15" t="s">
        <v>1666</v>
      </c>
      <c r="BBR1" s="15" t="s">
        <v>1667</v>
      </c>
      <c r="BBS1" s="15" t="s">
        <v>1668</v>
      </c>
      <c r="BBT1" s="15" t="s">
        <v>1669</v>
      </c>
      <c r="BBU1" s="15" t="s">
        <v>1670</v>
      </c>
      <c r="BBV1" s="15" t="s">
        <v>1671</v>
      </c>
      <c r="BBW1" s="15" t="s">
        <v>1672</v>
      </c>
      <c r="BBX1" s="15" t="s">
        <v>1673</v>
      </c>
      <c r="BBY1" s="15" t="s">
        <v>1674</v>
      </c>
      <c r="BBZ1" s="15" t="s">
        <v>1675</v>
      </c>
      <c r="BCA1" s="15" t="s">
        <v>1676</v>
      </c>
      <c r="BCB1" s="15" t="s">
        <v>1677</v>
      </c>
      <c r="BCC1" s="15" t="s">
        <v>1678</v>
      </c>
      <c r="BCD1" s="15" t="s">
        <v>1679</v>
      </c>
      <c r="BCE1" s="15" t="s">
        <v>1680</v>
      </c>
      <c r="BCF1" s="15" t="s">
        <v>1681</v>
      </c>
      <c r="BCG1" s="15" t="s">
        <v>1682</v>
      </c>
      <c r="BCH1" s="15" t="s">
        <v>1683</v>
      </c>
      <c r="BCI1" s="15" t="s">
        <v>1684</v>
      </c>
      <c r="BCJ1" s="15" t="s">
        <v>1685</v>
      </c>
      <c r="BCK1" s="15" t="s">
        <v>1686</v>
      </c>
      <c r="BCL1" s="15" t="s">
        <v>1687</v>
      </c>
      <c r="BCM1" s="15" t="s">
        <v>1688</v>
      </c>
      <c r="BCN1" s="15" t="s">
        <v>1689</v>
      </c>
      <c r="BCO1" s="15" t="s">
        <v>1690</v>
      </c>
      <c r="BCP1" s="15" t="s">
        <v>1691</v>
      </c>
      <c r="BCQ1" s="15" t="s">
        <v>1692</v>
      </c>
      <c r="BCR1" s="15" t="s">
        <v>1693</v>
      </c>
      <c r="BCS1" s="15" t="s">
        <v>1694</v>
      </c>
      <c r="BCT1" s="15" t="s">
        <v>1695</v>
      </c>
      <c r="BCU1" s="15" t="s">
        <v>1696</v>
      </c>
      <c r="BCV1" s="15" t="s">
        <v>1697</v>
      </c>
      <c r="BCW1" s="15" t="s">
        <v>1698</v>
      </c>
      <c r="BCX1" s="15" t="s">
        <v>1699</v>
      </c>
      <c r="BCY1" s="15" t="s">
        <v>1700</v>
      </c>
      <c r="BCZ1" s="15" t="s">
        <v>1701</v>
      </c>
      <c r="BDA1" s="15" t="s">
        <v>1702</v>
      </c>
      <c r="BDB1" s="15" t="s">
        <v>1703</v>
      </c>
      <c r="BDC1" s="15" t="s">
        <v>1704</v>
      </c>
      <c r="BDD1" s="15" t="s">
        <v>1705</v>
      </c>
      <c r="BDE1" s="15" t="s">
        <v>1706</v>
      </c>
      <c r="BDF1" s="15" t="s">
        <v>1707</v>
      </c>
      <c r="BDG1" s="15" t="s">
        <v>1708</v>
      </c>
      <c r="BDH1" s="15" t="s">
        <v>1709</v>
      </c>
      <c r="BDI1" s="15" t="s">
        <v>1710</v>
      </c>
      <c r="BDJ1" s="15" t="s">
        <v>1711</v>
      </c>
      <c r="BDK1" s="15" t="s">
        <v>1712</v>
      </c>
      <c r="BDL1" s="15" t="s">
        <v>1713</v>
      </c>
      <c r="BDM1" s="15" t="s">
        <v>1714</v>
      </c>
      <c r="BDN1" s="15" t="s">
        <v>1715</v>
      </c>
      <c r="BDO1" s="15" t="s">
        <v>1716</v>
      </c>
      <c r="BDP1" s="15" t="s">
        <v>1717</v>
      </c>
      <c r="BDQ1" s="15" t="s">
        <v>1718</v>
      </c>
      <c r="BDR1" s="15" t="s">
        <v>1719</v>
      </c>
      <c r="BDS1" s="15" t="s">
        <v>1720</v>
      </c>
      <c r="BDT1" s="15" t="s">
        <v>1721</v>
      </c>
      <c r="BDU1" s="15" t="s">
        <v>1722</v>
      </c>
      <c r="BDV1" s="15" t="s">
        <v>1723</v>
      </c>
      <c r="BDW1" s="15" t="s">
        <v>1724</v>
      </c>
      <c r="BDX1" s="15" t="s">
        <v>1725</v>
      </c>
      <c r="BDY1" s="15" t="s">
        <v>1726</v>
      </c>
      <c r="BDZ1" s="15" t="s">
        <v>1727</v>
      </c>
      <c r="BEA1" s="15" t="s">
        <v>1728</v>
      </c>
      <c r="BEB1" s="15" t="s">
        <v>1729</v>
      </c>
      <c r="BEC1" s="15" t="s">
        <v>1730</v>
      </c>
      <c r="BED1" s="15" t="s">
        <v>1731</v>
      </c>
      <c r="BEE1" s="15" t="s">
        <v>1732</v>
      </c>
      <c r="BEF1" s="15" t="s">
        <v>1733</v>
      </c>
      <c r="BEG1" s="15" t="s">
        <v>1734</v>
      </c>
      <c r="BEH1" s="15" t="s">
        <v>1735</v>
      </c>
      <c r="BEI1" s="15" t="s">
        <v>1736</v>
      </c>
      <c r="BEJ1" s="15" t="s">
        <v>1737</v>
      </c>
      <c r="BEK1" s="15" t="s">
        <v>1738</v>
      </c>
      <c r="BEL1" s="15" t="s">
        <v>1739</v>
      </c>
      <c r="BEM1" s="15" t="s">
        <v>1740</v>
      </c>
      <c r="BEN1" s="15" t="s">
        <v>1741</v>
      </c>
      <c r="BEO1" s="15" t="s">
        <v>1742</v>
      </c>
      <c r="BEP1" s="15" t="s">
        <v>1743</v>
      </c>
      <c r="BEQ1" s="15" t="s">
        <v>1744</v>
      </c>
      <c r="BER1" s="15" t="s">
        <v>1745</v>
      </c>
      <c r="BES1" s="15" t="s">
        <v>1746</v>
      </c>
      <c r="BET1" s="15" t="s">
        <v>1747</v>
      </c>
      <c r="BEU1" s="15" t="s">
        <v>1748</v>
      </c>
      <c r="BEV1" s="15" t="s">
        <v>1749</v>
      </c>
      <c r="BEW1" s="15" t="s">
        <v>1750</v>
      </c>
      <c r="BEX1" s="15" t="s">
        <v>1751</v>
      </c>
      <c r="BEY1" s="15" t="s">
        <v>1752</v>
      </c>
      <c r="BEZ1" s="15" t="s">
        <v>1753</v>
      </c>
      <c r="BFA1" s="15" t="s">
        <v>1754</v>
      </c>
      <c r="BFB1" s="15" t="s">
        <v>1755</v>
      </c>
      <c r="BFC1" s="15" t="s">
        <v>1756</v>
      </c>
      <c r="BFD1" s="15" t="s">
        <v>1757</v>
      </c>
      <c r="BFE1" s="15" t="s">
        <v>1758</v>
      </c>
      <c r="BFF1" s="15" t="s">
        <v>1759</v>
      </c>
      <c r="BFG1" s="15" t="s">
        <v>1760</v>
      </c>
      <c r="BFH1" s="15" t="s">
        <v>1761</v>
      </c>
      <c r="BFI1" s="15" t="s">
        <v>1762</v>
      </c>
      <c r="BFJ1" s="15" t="s">
        <v>1763</v>
      </c>
      <c r="BFK1" s="15" t="s">
        <v>1764</v>
      </c>
      <c r="BFL1" s="15" t="s">
        <v>1765</v>
      </c>
      <c r="BFM1" s="15" t="s">
        <v>1766</v>
      </c>
      <c r="BFN1" s="15" t="s">
        <v>1767</v>
      </c>
      <c r="BFO1" s="15" t="s">
        <v>1768</v>
      </c>
      <c r="BFP1" s="15" t="s">
        <v>1769</v>
      </c>
      <c r="BFQ1" s="15" t="s">
        <v>1770</v>
      </c>
      <c r="BFR1" s="15" t="s">
        <v>1771</v>
      </c>
      <c r="BFS1" s="15" t="s">
        <v>1772</v>
      </c>
      <c r="BFT1" s="15" t="s">
        <v>1773</v>
      </c>
      <c r="BFU1" s="15" t="s">
        <v>1774</v>
      </c>
      <c r="BFV1" s="15" t="s">
        <v>1775</v>
      </c>
      <c r="BFW1" s="15" t="s">
        <v>1776</v>
      </c>
      <c r="BFX1" s="15" t="s">
        <v>1777</v>
      </c>
      <c r="BFY1" s="15" t="s">
        <v>1778</v>
      </c>
      <c r="BFZ1" s="15" t="s">
        <v>1779</v>
      </c>
      <c r="BGA1" s="15" t="s">
        <v>1780</v>
      </c>
      <c r="BGB1" s="15" t="s">
        <v>1781</v>
      </c>
      <c r="BGC1" s="15" t="s">
        <v>1782</v>
      </c>
      <c r="BGD1" s="15" t="s">
        <v>1783</v>
      </c>
      <c r="BGE1" s="15" t="s">
        <v>1784</v>
      </c>
      <c r="BGF1" s="15" t="s">
        <v>1785</v>
      </c>
      <c r="BGG1" s="15" t="s">
        <v>1786</v>
      </c>
      <c r="BGH1" s="15" t="s">
        <v>1787</v>
      </c>
      <c r="BGI1" s="15" t="s">
        <v>1788</v>
      </c>
      <c r="BGJ1" s="15" t="s">
        <v>1789</v>
      </c>
      <c r="BGK1" s="15" t="s">
        <v>1790</v>
      </c>
      <c r="BGL1" s="15" t="s">
        <v>1791</v>
      </c>
      <c r="BGM1" s="15" t="s">
        <v>1792</v>
      </c>
      <c r="BGN1" s="15" t="s">
        <v>1793</v>
      </c>
      <c r="BGO1" s="15" t="s">
        <v>1794</v>
      </c>
      <c r="BGP1" s="15" t="s">
        <v>1795</v>
      </c>
      <c r="BGQ1" s="15" t="s">
        <v>1796</v>
      </c>
      <c r="BGR1" s="15" t="s">
        <v>1797</v>
      </c>
      <c r="BGS1" s="15" t="s">
        <v>1798</v>
      </c>
      <c r="BGT1" s="15" t="s">
        <v>1799</v>
      </c>
      <c r="BGU1" s="15" t="s">
        <v>1800</v>
      </c>
      <c r="BGV1" s="15" t="s">
        <v>1801</v>
      </c>
      <c r="BGW1" s="15" t="s">
        <v>1802</v>
      </c>
      <c r="BGX1" s="15" t="s">
        <v>1803</v>
      </c>
      <c r="BGY1" s="15" t="s">
        <v>1804</v>
      </c>
      <c r="BGZ1" s="15" t="s">
        <v>1805</v>
      </c>
      <c r="BHA1" s="15" t="s">
        <v>1806</v>
      </c>
      <c r="BHB1" s="15" t="s">
        <v>1807</v>
      </c>
      <c r="BHC1" s="15" t="s">
        <v>1808</v>
      </c>
      <c r="BHD1" s="15" t="s">
        <v>1809</v>
      </c>
      <c r="BHE1" s="15" t="s">
        <v>1810</v>
      </c>
      <c r="BHF1" s="15" t="s">
        <v>1811</v>
      </c>
      <c r="BHG1" s="15" t="s">
        <v>1812</v>
      </c>
      <c r="BHH1" s="15" t="s">
        <v>1813</v>
      </c>
      <c r="BHI1" s="15" t="s">
        <v>1814</v>
      </c>
      <c r="BHJ1" s="15" t="s">
        <v>1815</v>
      </c>
      <c r="BHK1" s="15" t="s">
        <v>1816</v>
      </c>
      <c r="BHL1" s="15" t="s">
        <v>1817</v>
      </c>
      <c r="BHM1" s="15" t="s">
        <v>1818</v>
      </c>
      <c r="BHN1" s="15" t="s">
        <v>1819</v>
      </c>
      <c r="BHO1" s="15" t="s">
        <v>1820</v>
      </c>
      <c r="BHP1" s="15" t="s">
        <v>1821</v>
      </c>
      <c r="BHQ1" s="15" t="s">
        <v>1822</v>
      </c>
      <c r="BHR1" s="15" t="s">
        <v>1823</v>
      </c>
      <c r="BHS1" s="15" t="s">
        <v>1824</v>
      </c>
      <c r="BHT1" s="15" t="s">
        <v>1825</v>
      </c>
      <c r="BHU1" s="15" t="s">
        <v>1826</v>
      </c>
      <c r="BHV1" s="15" t="s">
        <v>1827</v>
      </c>
      <c r="BHW1" s="15" t="s">
        <v>1828</v>
      </c>
      <c r="BHX1" s="15" t="s">
        <v>1829</v>
      </c>
      <c r="BHY1" s="15" t="s">
        <v>1830</v>
      </c>
      <c r="BHZ1" s="15" t="s">
        <v>1831</v>
      </c>
      <c r="BIA1" s="15" t="s">
        <v>1832</v>
      </c>
      <c r="BIB1" s="15" t="s">
        <v>1833</v>
      </c>
      <c r="BIC1" s="15" t="s">
        <v>1834</v>
      </c>
      <c r="BID1" s="15" t="s">
        <v>1835</v>
      </c>
      <c r="BIE1" s="15" t="s">
        <v>1836</v>
      </c>
      <c r="BIF1" s="15" t="s">
        <v>1837</v>
      </c>
      <c r="BIG1" s="15" t="s">
        <v>1838</v>
      </c>
      <c r="BIH1" s="15" t="s">
        <v>1839</v>
      </c>
      <c r="BII1" s="15" t="s">
        <v>1840</v>
      </c>
      <c r="BIJ1" s="15" t="s">
        <v>1841</v>
      </c>
      <c r="BIK1" s="15" t="s">
        <v>1842</v>
      </c>
      <c r="BIL1" s="15" t="s">
        <v>1843</v>
      </c>
      <c r="BIM1" s="15" t="s">
        <v>1844</v>
      </c>
      <c r="BIN1" s="15" t="s">
        <v>1845</v>
      </c>
      <c r="BIO1" s="15" t="s">
        <v>1846</v>
      </c>
      <c r="BIP1" s="15" t="s">
        <v>1847</v>
      </c>
      <c r="BIQ1" s="15" t="s">
        <v>1848</v>
      </c>
      <c r="BIR1" s="15" t="s">
        <v>1849</v>
      </c>
      <c r="BIS1" s="15" t="s">
        <v>1850</v>
      </c>
      <c r="BIT1" s="15" t="s">
        <v>1851</v>
      </c>
      <c r="BIU1" s="15" t="s">
        <v>1852</v>
      </c>
      <c r="BIV1" s="15" t="s">
        <v>1853</v>
      </c>
      <c r="BIW1" s="15" t="s">
        <v>1854</v>
      </c>
      <c r="BIX1" s="15" t="s">
        <v>1855</v>
      </c>
      <c r="BIY1" s="15" t="s">
        <v>1856</v>
      </c>
      <c r="BIZ1" s="15" t="s">
        <v>1857</v>
      </c>
      <c r="BJA1" s="15" t="s">
        <v>1858</v>
      </c>
      <c r="BJB1" s="15" t="s">
        <v>1859</v>
      </c>
      <c r="BJC1" s="15" t="s">
        <v>1860</v>
      </c>
      <c r="BJD1" s="15" t="s">
        <v>1861</v>
      </c>
      <c r="BJE1" s="15" t="s">
        <v>1862</v>
      </c>
      <c r="BJF1" s="15" t="s">
        <v>1863</v>
      </c>
      <c r="BJG1" s="15" t="s">
        <v>1864</v>
      </c>
      <c r="BJH1" s="15" t="s">
        <v>1865</v>
      </c>
      <c r="BJI1" s="15" t="s">
        <v>1866</v>
      </c>
      <c r="BJJ1" s="15" t="s">
        <v>1867</v>
      </c>
      <c r="BJK1" s="15" t="s">
        <v>1868</v>
      </c>
      <c r="BJL1" s="15" t="s">
        <v>1869</v>
      </c>
      <c r="BJM1" s="15" t="s">
        <v>1870</v>
      </c>
      <c r="BJN1" s="15" t="s">
        <v>1871</v>
      </c>
      <c r="BJO1" s="15" t="s">
        <v>1872</v>
      </c>
      <c r="BJP1" s="15" t="s">
        <v>1873</v>
      </c>
      <c r="BJQ1" s="15" t="s">
        <v>1874</v>
      </c>
      <c r="BJR1" s="15" t="s">
        <v>1875</v>
      </c>
      <c r="BJS1" s="15" t="s">
        <v>1876</v>
      </c>
      <c r="BJT1" s="15" t="s">
        <v>1877</v>
      </c>
      <c r="BJU1" s="15" t="s">
        <v>1878</v>
      </c>
      <c r="BJV1" s="15" t="s">
        <v>1879</v>
      </c>
      <c r="BJW1" s="15" t="s">
        <v>1880</v>
      </c>
      <c r="BJX1" s="15" t="s">
        <v>1881</v>
      </c>
      <c r="BJY1" s="15" t="s">
        <v>1882</v>
      </c>
      <c r="BJZ1" s="15" t="s">
        <v>1883</v>
      </c>
      <c r="BKA1" s="15" t="s">
        <v>1884</v>
      </c>
      <c r="BKB1" s="15" t="s">
        <v>1885</v>
      </c>
      <c r="BKC1" s="15" t="s">
        <v>1886</v>
      </c>
      <c r="BKD1" s="15" t="s">
        <v>1887</v>
      </c>
      <c r="BKE1" s="15" t="s">
        <v>1888</v>
      </c>
      <c r="BKF1" s="15" t="s">
        <v>1889</v>
      </c>
      <c r="BKG1" s="15" t="s">
        <v>1890</v>
      </c>
      <c r="BKH1" s="15" t="s">
        <v>1891</v>
      </c>
      <c r="BKI1" s="15" t="s">
        <v>1892</v>
      </c>
      <c r="BKJ1" s="15" t="s">
        <v>1893</v>
      </c>
      <c r="BKK1" s="15" t="s">
        <v>1894</v>
      </c>
      <c r="BKL1" s="15" t="s">
        <v>1895</v>
      </c>
      <c r="BKM1" s="15" t="s">
        <v>1896</v>
      </c>
      <c r="BKN1" s="15" t="s">
        <v>1897</v>
      </c>
      <c r="BKO1" s="15" t="s">
        <v>1898</v>
      </c>
      <c r="BKP1" s="15" t="s">
        <v>1899</v>
      </c>
      <c r="BKQ1" s="15" t="s">
        <v>1900</v>
      </c>
      <c r="BKR1" s="15" t="s">
        <v>1901</v>
      </c>
      <c r="BKS1" s="15" t="s">
        <v>1902</v>
      </c>
      <c r="BKT1" s="15" t="s">
        <v>1903</v>
      </c>
      <c r="BKU1" s="15" t="s">
        <v>1904</v>
      </c>
      <c r="BKV1" s="15" t="s">
        <v>1905</v>
      </c>
      <c r="BKW1" s="15" t="s">
        <v>1906</v>
      </c>
      <c r="BKX1" s="15" t="s">
        <v>1907</v>
      </c>
      <c r="BKY1" s="15" t="s">
        <v>1908</v>
      </c>
      <c r="BKZ1" s="15" t="s">
        <v>1909</v>
      </c>
      <c r="BLA1" s="15" t="s">
        <v>1910</v>
      </c>
      <c r="BLB1" s="15" t="s">
        <v>1911</v>
      </c>
      <c r="BLC1" s="15" t="s">
        <v>1912</v>
      </c>
      <c r="BLD1" s="15" t="s">
        <v>1913</v>
      </c>
      <c r="BLE1" s="15" t="s">
        <v>1914</v>
      </c>
      <c r="BLF1" s="15" t="s">
        <v>1915</v>
      </c>
      <c r="BLG1" s="15" t="s">
        <v>1916</v>
      </c>
      <c r="BLH1" s="15" t="s">
        <v>1917</v>
      </c>
      <c r="BLI1" s="15" t="s">
        <v>1918</v>
      </c>
      <c r="BLJ1" s="15" t="s">
        <v>1919</v>
      </c>
      <c r="BLK1" s="15" t="s">
        <v>1920</v>
      </c>
      <c r="BLL1" s="15" t="s">
        <v>1921</v>
      </c>
      <c r="BLM1" s="15" t="s">
        <v>1922</v>
      </c>
      <c r="BLN1" s="15" t="s">
        <v>1923</v>
      </c>
      <c r="BLO1" s="15" t="s">
        <v>1924</v>
      </c>
      <c r="BLP1" s="15" t="s">
        <v>1925</v>
      </c>
      <c r="BLQ1" s="15" t="s">
        <v>1926</v>
      </c>
      <c r="BLR1" s="15" t="s">
        <v>1927</v>
      </c>
      <c r="BLS1" s="15" t="s">
        <v>1928</v>
      </c>
      <c r="BLT1" s="15" t="s">
        <v>1929</v>
      </c>
      <c r="BLU1" s="15" t="s">
        <v>1930</v>
      </c>
      <c r="BLV1" s="15" t="s">
        <v>1931</v>
      </c>
      <c r="BLW1" s="15" t="s">
        <v>1932</v>
      </c>
      <c r="BLX1" s="15" t="s">
        <v>1933</v>
      </c>
      <c r="BLY1" s="15" t="s">
        <v>1934</v>
      </c>
      <c r="BLZ1" s="15" t="s">
        <v>1935</v>
      </c>
      <c r="BMA1" s="15" t="s">
        <v>1936</v>
      </c>
      <c r="BMB1" s="15" t="s">
        <v>1937</v>
      </c>
      <c r="BMC1" s="15" t="s">
        <v>1938</v>
      </c>
      <c r="BMD1" s="15" t="s">
        <v>1939</v>
      </c>
      <c r="BME1" s="15" t="s">
        <v>1940</v>
      </c>
      <c r="BMF1" s="15" t="s">
        <v>1941</v>
      </c>
      <c r="BMG1" s="15" t="s">
        <v>1942</v>
      </c>
      <c r="BMH1" s="15" t="s">
        <v>1943</v>
      </c>
      <c r="BMI1" s="15" t="s">
        <v>1944</v>
      </c>
      <c r="BMJ1" s="15" t="s">
        <v>1945</v>
      </c>
      <c r="BMK1" s="15" t="s">
        <v>1946</v>
      </c>
      <c r="BML1" s="15" t="s">
        <v>1947</v>
      </c>
      <c r="BMM1" s="15" t="s">
        <v>1948</v>
      </c>
      <c r="BMN1" s="15" t="s">
        <v>1949</v>
      </c>
      <c r="BMO1" s="15" t="s">
        <v>1950</v>
      </c>
      <c r="BMP1" s="15" t="s">
        <v>1951</v>
      </c>
      <c r="BMQ1" s="15" t="s">
        <v>1952</v>
      </c>
      <c r="BMR1" s="15" t="s">
        <v>1953</v>
      </c>
      <c r="BMS1" s="15" t="s">
        <v>1954</v>
      </c>
      <c r="BMT1" s="15" t="s">
        <v>1955</v>
      </c>
      <c r="BMU1" s="15" t="s">
        <v>1956</v>
      </c>
      <c r="BMV1" s="15" t="s">
        <v>1957</v>
      </c>
      <c r="BMW1" s="15" t="s">
        <v>1958</v>
      </c>
      <c r="BMX1" s="15" t="s">
        <v>1959</v>
      </c>
      <c r="BMY1" s="15" t="s">
        <v>1960</v>
      </c>
      <c r="BMZ1" s="15" t="s">
        <v>1961</v>
      </c>
      <c r="BNA1" s="15" t="s">
        <v>1962</v>
      </c>
      <c r="BNB1" s="15" t="s">
        <v>1963</v>
      </c>
      <c r="BNC1" s="15" t="s">
        <v>1964</v>
      </c>
      <c r="BND1" s="15" t="s">
        <v>1965</v>
      </c>
      <c r="BNE1" s="15" t="s">
        <v>1966</v>
      </c>
      <c r="BNF1" s="15" t="s">
        <v>1967</v>
      </c>
      <c r="BNG1" s="15" t="s">
        <v>1968</v>
      </c>
      <c r="BNH1" s="15" t="s">
        <v>1969</v>
      </c>
      <c r="BNI1" s="15" t="s">
        <v>1970</v>
      </c>
      <c r="BNJ1" s="15" t="s">
        <v>1971</v>
      </c>
      <c r="BNK1" s="15" t="s">
        <v>1972</v>
      </c>
      <c r="BNL1" s="15" t="s">
        <v>1973</v>
      </c>
      <c r="BNM1" s="15" t="s">
        <v>1974</v>
      </c>
      <c r="BNN1" s="15" t="s">
        <v>1975</v>
      </c>
      <c r="BNO1" s="15" t="s">
        <v>1976</v>
      </c>
      <c r="BNP1" s="15" t="s">
        <v>1977</v>
      </c>
      <c r="BNQ1" s="15" t="s">
        <v>1978</v>
      </c>
      <c r="BNR1" s="15" t="s">
        <v>1979</v>
      </c>
      <c r="BNS1" s="15" t="s">
        <v>1980</v>
      </c>
      <c r="BNT1" s="15" t="s">
        <v>1981</v>
      </c>
      <c r="BNU1" s="15" t="s">
        <v>1982</v>
      </c>
      <c r="BNV1" s="15" t="s">
        <v>1983</v>
      </c>
      <c r="BNW1" s="15" t="s">
        <v>1984</v>
      </c>
      <c r="BNX1" s="15" t="s">
        <v>1985</v>
      </c>
      <c r="BNY1" s="15" t="s">
        <v>1986</v>
      </c>
      <c r="BNZ1" s="15" t="s">
        <v>1987</v>
      </c>
      <c r="BOA1" s="15" t="s">
        <v>1988</v>
      </c>
      <c r="BOB1" s="15" t="s">
        <v>1989</v>
      </c>
      <c r="BOC1" s="15" t="s">
        <v>1990</v>
      </c>
      <c r="BOD1" s="15" t="s">
        <v>1991</v>
      </c>
      <c r="BOE1" s="15" t="s">
        <v>1992</v>
      </c>
      <c r="BOF1" s="15" t="s">
        <v>1993</v>
      </c>
      <c r="BOG1" s="15" t="s">
        <v>1994</v>
      </c>
      <c r="BOH1" s="15" t="s">
        <v>1995</v>
      </c>
      <c r="BOI1" s="15" t="s">
        <v>1996</v>
      </c>
      <c r="BOJ1" s="15" t="s">
        <v>1997</v>
      </c>
      <c r="BOK1" s="15" t="s">
        <v>1998</v>
      </c>
      <c r="BOL1" s="15" t="s">
        <v>1999</v>
      </c>
      <c r="BOM1" s="15" t="s">
        <v>2000</v>
      </c>
      <c r="BON1" s="15" t="s">
        <v>2001</v>
      </c>
      <c r="BOO1" s="15" t="s">
        <v>2002</v>
      </c>
      <c r="BOP1" s="15" t="s">
        <v>2003</v>
      </c>
      <c r="BOQ1" s="15" t="s">
        <v>2004</v>
      </c>
      <c r="BOR1" s="15" t="s">
        <v>2005</v>
      </c>
      <c r="BOS1" s="15" t="s">
        <v>2006</v>
      </c>
      <c r="BOT1" s="15" t="s">
        <v>2007</v>
      </c>
      <c r="BOU1" s="15" t="s">
        <v>2008</v>
      </c>
      <c r="BOV1" s="15" t="s">
        <v>2009</v>
      </c>
      <c r="BOW1" s="15" t="s">
        <v>2010</v>
      </c>
      <c r="BOX1" s="15" t="s">
        <v>2011</v>
      </c>
      <c r="BOY1" s="15" t="s">
        <v>2012</v>
      </c>
      <c r="BOZ1" s="15" t="s">
        <v>2013</v>
      </c>
      <c r="BPA1" s="15" t="s">
        <v>2014</v>
      </c>
      <c r="BPB1" s="15" t="s">
        <v>2015</v>
      </c>
      <c r="BPC1" s="15" t="s">
        <v>2016</v>
      </c>
      <c r="BPD1" s="15" t="s">
        <v>2017</v>
      </c>
      <c r="BPE1" s="15" t="s">
        <v>2018</v>
      </c>
      <c r="BPF1" s="15" t="s">
        <v>2019</v>
      </c>
      <c r="BPG1" s="15" t="s">
        <v>2020</v>
      </c>
      <c r="BPH1" s="15" t="s">
        <v>2021</v>
      </c>
      <c r="BPI1" s="15" t="s">
        <v>2022</v>
      </c>
      <c r="BPJ1" s="15" t="s">
        <v>2023</v>
      </c>
      <c r="BPK1" s="15" t="s">
        <v>2024</v>
      </c>
      <c r="BPL1" s="15" t="s">
        <v>2025</v>
      </c>
      <c r="BPM1" s="15" t="s">
        <v>2026</v>
      </c>
      <c r="BPN1" s="15" t="s">
        <v>2027</v>
      </c>
      <c r="BPO1" s="15" t="s">
        <v>2028</v>
      </c>
      <c r="BPP1" s="15" t="s">
        <v>2029</v>
      </c>
      <c r="BPQ1" s="15" t="s">
        <v>2030</v>
      </c>
      <c r="BPR1" s="15" t="s">
        <v>2031</v>
      </c>
      <c r="BPS1" s="15" t="s">
        <v>2032</v>
      </c>
      <c r="BPT1" s="15" t="s">
        <v>2033</v>
      </c>
      <c r="BPU1" s="15" t="s">
        <v>2034</v>
      </c>
      <c r="BPV1" s="15" t="s">
        <v>2035</v>
      </c>
      <c r="BPW1" s="15" t="s">
        <v>2036</v>
      </c>
      <c r="BPX1" s="15" t="s">
        <v>2037</v>
      </c>
      <c r="BPY1" s="15" t="s">
        <v>2038</v>
      </c>
      <c r="BPZ1" s="15" t="s">
        <v>2039</v>
      </c>
      <c r="BQA1" s="15" t="s">
        <v>2040</v>
      </c>
      <c r="BQB1" s="15" t="s">
        <v>2041</v>
      </c>
      <c r="BQC1" s="15" t="s">
        <v>2042</v>
      </c>
      <c r="BQD1" s="15" t="s">
        <v>2043</v>
      </c>
      <c r="BQE1" s="15" t="s">
        <v>2044</v>
      </c>
      <c r="BQF1" s="15" t="s">
        <v>2045</v>
      </c>
      <c r="BQG1" s="15" t="s">
        <v>2046</v>
      </c>
      <c r="BQH1" s="15" t="s">
        <v>2047</v>
      </c>
      <c r="BQI1" s="15" t="s">
        <v>2048</v>
      </c>
      <c r="BQJ1" s="15" t="s">
        <v>2049</v>
      </c>
      <c r="BQK1" s="15" t="s">
        <v>2050</v>
      </c>
      <c r="BQL1" s="15" t="s">
        <v>2051</v>
      </c>
      <c r="BQM1" s="15" t="s">
        <v>2052</v>
      </c>
      <c r="BQN1" s="15" t="s">
        <v>2053</v>
      </c>
      <c r="BQO1" s="15" t="s">
        <v>2054</v>
      </c>
      <c r="BQP1" s="15" t="s">
        <v>2055</v>
      </c>
      <c r="BQQ1" s="15" t="s">
        <v>2056</v>
      </c>
      <c r="BQR1" s="15" t="s">
        <v>2057</v>
      </c>
      <c r="BQS1" s="15" t="s">
        <v>2058</v>
      </c>
      <c r="BQT1" s="15" t="s">
        <v>2059</v>
      </c>
      <c r="BQU1" s="15" t="s">
        <v>2060</v>
      </c>
      <c r="BQV1" s="15" t="s">
        <v>2061</v>
      </c>
      <c r="BQW1" s="15" t="s">
        <v>2062</v>
      </c>
      <c r="BQX1" s="15" t="s">
        <v>2063</v>
      </c>
      <c r="BQY1" s="15" t="s">
        <v>2064</v>
      </c>
      <c r="BQZ1" s="15" t="s">
        <v>2065</v>
      </c>
      <c r="BRA1" s="15" t="s">
        <v>2066</v>
      </c>
      <c r="BRB1" s="15" t="s">
        <v>2067</v>
      </c>
      <c r="BRC1" s="15" t="s">
        <v>2068</v>
      </c>
      <c r="BRD1" s="15" t="s">
        <v>2069</v>
      </c>
      <c r="BRE1" s="15" t="s">
        <v>2070</v>
      </c>
      <c r="BRF1" s="15" t="s">
        <v>2071</v>
      </c>
      <c r="BRG1" s="15" t="s">
        <v>2072</v>
      </c>
      <c r="BRH1" s="15" t="s">
        <v>2073</v>
      </c>
      <c r="BRI1" s="15" t="s">
        <v>2074</v>
      </c>
      <c r="BRJ1" s="15" t="s">
        <v>2075</v>
      </c>
      <c r="BRK1" s="15" t="s">
        <v>2076</v>
      </c>
      <c r="BRL1" s="15" t="s">
        <v>2077</v>
      </c>
      <c r="BRM1" s="15" t="s">
        <v>2078</v>
      </c>
      <c r="BRN1" s="15" t="s">
        <v>2079</v>
      </c>
      <c r="BRO1" s="15" t="s">
        <v>2080</v>
      </c>
      <c r="BRP1" s="15" t="s">
        <v>2081</v>
      </c>
      <c r="BRQ1" s="15" t="s">
        <v>2082</v>
      </c>
      <c r="BRR1" s="15" t="s">
        <v>2083</v>
      </c>
      <c r="BRS1" s="15" t="s">
        <v>2084</v>
      </c>
      <c r="BRT1" s="15" t="s">
        <v>2085</v>
      </c>
      <c r="BRU1" s="15" t="s">
        <v>2086</v>
      </c>
      <c r="BRV1" s="15" t="s">
        <v>2087</v>
      </c>
      <c r="BRW1" s="15" t="s">
        <v>2088</v>
      </c>
      <c r="BRX1" s="15" t="s">
        <v>2089</v>
      </c>
      <c r="BRY1" s="15" t="s">
        <v>2090</v>
      </c>
      <c r="BRZ1" s="15" t="s">
        <v>2091</v>
      </c>
      <c r="BSA1" s="15" t="s">
        <v>2092</v>
      </c>
      <c r="BSB1" s="15" t="s">
        <v>2093</v>
      </c>
      <c r="BSC1" s="15" t="s">
        <v>2094</v>
      </c>
      <c r="BSD1" s="15" t="s">
        <v>2095</v>
      </c>
      <c r="BSE1" s="15" t="s">
        <v>2096</v>
      </c>
      <c r="BSF1" s="15" t="s">
        <v>2097</v>
      </c>
      <c r="BSG1" s="15" t="s">
        <v>2098</v>
      </c>
      <c r="BSH1" s="15" t="s">
        <v>2099</v>
      </c>
      <c r="BSI1" s="15" t="s">
        <v>2100</v>
      </c>
      <c r="BSJ1" s="15" t="s">
        <v>2101</v>
      </c>
      <c r="BSK1" s="15" t="s">
        <v>2102</v>
      </c>
      <c r="BSL1" s="15" t="s">
        <v>2103</v>
      </c>
      <c r="BSM1" s="15" t="s">
        <v>2104</v>
      </c>
      <c r="BSN1" s="15" t="s">
        <v>2105</v>
      </c>
      <c r="BSO1" s="15" t="s">
        <v>2106</v>
      </c>
      <c r="BSP1" s="15" t="s">
        <v>2107</v>
      </c>
      <c r="BSQ1" s="15" t="s">
        <v>2108</v>
      </c>
      <c r="BSR1" s="15" t="s">
        <v>2109</v>
      </c>
      <c r="BSS1" s="15" t="s">
        <v>2110</v>
      </c>
      <c r="BST1" s="15" t="s">
        <v>2111</v>
      </c>
      <c r="BSU1" s="15" t="s">
        <v>2112</v>
      </c>
      <c r="BSV1" s="15" t="s">
        <v>2113</v>
      </c>
      <c r="BSW1" s="15" t="s">
        <v>2114</v>
      </c>
      <c r="BSX1" s="15" t="s">
        <v>2115</v>
      </c>
      <c r="BSY1" s="15" t="s">
        <v>2116</v>
      </c>
      <c r="BSZ1" s="15" t="s">
        <v>2117</v>
      </c>
      <c r="BTA1" s="15" t="s">
        <v>2118</v>
      </c>
      <c r="BTB1" s="15" t="s">
        <v>2119</v>
      </c>
      <c r="BTC1" s="15" t="s">
        <v>2120</v>
      </c>
      <c r="BTD1" s="15" t="s">
        <v>2121</v>
      </c>
      <c r="BTE1" s="15" t="s">
        <v>2122</v>
      </c>
      <c r="BTF1" s="15" t="s">
        <v>2123</v>
      </c>
      <c r="BTG1" s="15" t="s">
        <v>2124</v>
      </c>
      <c r="BTH1" s="15" t="s">
        <v>2125</v>
      </c>
      <c r="BTI1" s="15" t="s">
        <v>2126</v>
      </c>
      <c r="BTJ1" s="15" t="s">
        <v>2127</v>
      </c>
      <c r="BTK1" s="15" t="s">
        <v>2128</v>
      </c>
      <c r="BTL1" s="15" t="s">
        <v>2129</v>
      </c>
      <c r="BTM1" s="15" t="s">
        <v>2130</v>
      </c>
      <c r="BTN1" s="15" t="s">
        <v>2131</v>
      </c>
      <c r="BTO1" s="15" t="s">
        <v>2132</v>
      </c>
      <c r="BTP1" s="15" t="s">
        <v>2133</v>
      </c>
      <c r="BTQ1" s="15" t="s">
        <v>2134</v>
      </c>
      <c r="BTR1" s="15" t="s">
        <v>2135</v>
      </c>
      <c r="BTS1" s="15" t="s">
        <v>2136</v>
      </c>
      <c r="BTT1" s="15" t="s">
        <v>2137</v>
      </c>
      <c r="BTU1" s="15" t="s">
        <v>2138</v>
      </c>
      <c r="BTV1" s="15" t="s">
        <v>2139</v>
      </c>
      <c r="BTW1" s="15" t="s">
        <v>2140</v>
      </c>
      <c r="BTX1" s="15" t="s">
        <v>2141</v>
      </c>
      <c r="BTY1" s="15" t="s">
        <v>2142</v>
      </c>
      <c r="BTZ1" s="15" t="s">
        <v>2143</v>
      </c>
      <c r="BUA1" s="15" t="s">
        <v>2144</v>
      </c>
      <c r="BUB1" s="15" t="s">
        <v>2145</v>
      </c>
      <c r="BUC1" s="15" t="s">
        <v>2146</v>
      </c>
      <c r="BUD1" s="15" t="s">
        <v>2147</v>
      </c>
      <c r="BUE1" s="15" t="s">
        <v>2148</v>
      </c>
      <c r="BUF1" s="15" t="s">
        <v>2149</v>
      </c>
      <c r="BUG1" s="15" t="s">
        <v>2150</v>
      </c>
      <c r="BUH1" s="15" t="s">
        <v>2151</v>
      </c>
      <c r="BUI1" s="15" t="s">
        <v>2152</v>
      </c>
      <c r="BUJ1" s="15" t="s">
        <v>2153</v>
      </c>
      <c r="BUK1" s="15" t="s">
        <v>2154</v>
      </c>
      <c r="BUL1" s="15" t="s">
        <v>2155</v>
      </c>
      <c r="BUM1" s="15" t="s">
        <v>2156</v>
      </c>
      <c r="BUN1" s="15" t="s">
        <v>2157</v>
      </c>
      <c r="BUO1" s="15" t="s">
        <v>2158</v>
      </c>
      <c r="BUP1" s="15" t="s">
        <v>2159</v>
      </c>
      <c r="BUQ1" s="15" t="s">
        <v>2160</v>
      </c>
      <c r="BUR1" s="15" t="s">
        <v>2161</v>
      </c>
      <c r="BUS1" s="15" t="s">
        <v>2162</v>
      </c>
      <c r="BUT1" s="15" t="s">
        <v>2163</v>
      </c>
      <c r="BUU1" s="15" t="s">
        <v>2164</v>
      </c>
      <c r="BUV1" s="15" t="s">
        <v>2165</v>
      </c>
      <c r="BUW1" s="15" t="s">
        <v>2166</v>
      </c>
      <c r="BUX1" s="15" t="s">
        <v>2167</v>
      </c>
      <c r="BUY1" s="15" t="s">
        <v>2168</v>
      </c>
      <c r="BUZ1" s="15" t="s">
        <v>2169</v>
      </c>
      <c r="BVA1" s="15" t="s">
        <v>2170</v>
      </c>
      <c r="BVB1" s="15" t="s">
        <v>2171</v>
      </c>
      <c r="BVC1" s="15" t="s">
        <v>2172</v>
      </c>
      <c r="BVD1" s="15" t="s">
        <v>2173</v>
      </c>
      <c r="BVE1" s="15" t="s">
        <v>2174</v>
      </c>
      <c r="BVF1" s="15" t="s">
        <v>2175</v>
      </c>
      <c r="BVG1" s="15" t="s">
        <v>2176</v>
      </c>
      <c r="BVH1" s="15" t="s">
        <v>2177</v>
      </c>
      <c r="BVI1" s="15" t="s">
        <v>2178</v>
      </c>
      <c r="BVJ1" s="15" t="s">
        <v>2179</v>
      </c>
      <c r="BVK1" s="15" t="s">
        <v>2180</v>
      </c>
      <c r="BVL1" s="15" t="s">
        <v>2181</v>
      </c>
      <c r="BVM1" s="15" t="s">
        <v>2182</v>
      </c>
      <c r="BVN1" s="15" t="s">
        <v>2183</v>
      </c>
      <c r="BVO1" s="15" t="s">
        <v>2184</v>
      </c>
      <c r="BVP1" s="15" t="s">
        <v>2185</v>
      </c>
      <c r="BVQ1" s="15" t="s">
        <v>2186</v>
      </c>
      <c r="BVR1" s="15" t="s">
        <v>2187</v>
      </c>
      <c r="BVS1" s="15" t="s">
        <v>2188</v>
      </c>
      <c r="BVT1" s="15" t="s">
        <v>2189</v>
      </c>
      <c r="BVU1" s="15" t="s">
        <v>2190</v>
      </c>
      <c r="BVV1" s="15" t="s">
        <v>2191</v>
      </c>
      <c r="BVW1" s="15" t="s">
        <v>2192</v>
      </c>
      <c r="BVX1" s="15" t="s">
        <v>2193</v>
      </c>
      <c r="BVY1" s="15" t="s">
        <v>2194</v>
      </c>
      <c r="BVZ1" s="15" t="s">
        <v>2195</v>
      </c>
      <c r="BWA1" s="15" t="s">
        <v>2196</v>
      </c>
      <c r="BWB1" s="15" t="s">
        <v>2197</v>
      </c>
      <c r="BWC1" s="15" t="s">
        <v>2198</v>
      </c>
      <c r="BWD1" s="15" t="s">
        <v>2199</v>
      </c>
      <c r="BWE1" s="15" t="s">
        <v>2200</v>
      </c>
      <c r="BWF1" s="15" t="s">
        <v>2201</v>
      </c>
      <c r="BWG1" s="15" t="s">
        <v>2202</v>
      </c>
      <c r="BWH1" s="15" t="s">
        <v>2203</v>
      </c>
      <c r="BWI1" s="15" t="s">
        <v>2204</v>
      </c>
      <c r="BWJ1" s="15" t="s">
        <v>2205</v>
      </c>
      <c r="BWK1" s="15" t="s">
        <v>2206</v>
      </c>
      <c r="BWL1" s="15" t="s">
        <v>2207</v>
      </c>
      <c r="BWM1" s="15" t="s">
        <v>2208</v>
      </c>
      <c r="BWN1" s="15" t="s">
        <v>2209</v>
      </c>
      <c r="BWO1" s="15" t="s">
        <v>2210</v>
      </c>
      <c r="BWP1" s="15" t="s">
        <v>2211</v>
      </c>
      <c r="BWQ1" s="15" t="s">
        <v>2212</v>
      </c>
      <c r="BWR1" s="15" t="s">
        <v>2213</v>
      </c>
      <c r="BWS1" s="15" t="s">
        <v>2214</v>
      </c>
      <c r="BWT1" s="15" t="s">
        <v>2215</v>
      </c>
      <c r="BWU1" s="15" t="s">
        <v>2216</v>
      </c>
      <c r="BWV1" s="15" t="s">
        <v>2217</v>
      </c>
      <c r="BWW1" s="15" t="s">
        <v>2218</v>
      </c>
      <c r="BWX1" s="15" t="s">
        <v>2219</v>
      </c>
      <c r="BWY1" s="15" t="s">
        <v>2220</v>
      </c>
      <c r="BWZ1" s="15" t="s">
        <v>2221</v>
      </c>
      <c r="BXA1" s="15" t="s">
        <v>2222</v>
      </c>
      <c r="BXB1" s="15" t="s">
        <v>2223</v>
      </c>
      <c r="BXC1" s="15" t="s">
        <v>2224</v>
      </c>
      <c r="BXD1" s="15" t="s">
        <v>2225</v>
      </c>
      <c r="BXE1" s="15" t="s">
        <v>2226</v>
      </c>
      <c r="BXF1" s="15" t="s">
        <v>2227</v>
      </c>
      <c r="BXG1" s="15" t="s">
        <v>2228</v>
      </c>
      <c r="BXH1" s="15" t="s">
        <v>2229</v>
      </c>
      <c r="BXI1" s="15" t="s">
        <v>2230</v>
      </c>
      <c r="BXJ1" s="15" t="s">
        <v>2231</v>
      </c>
      <c r="BXK1" s="15" t="s">
        <v>2232</v>
      </c>
      <c r="BXL1" s="15" t="s">
        <v>2233</v>
      </c>
      <c r="BXM1" s="15" t="s">
        <v>2234</v>
      </c>
      <c r="BXN1" s="15" t="s">
        <v>2235</v>
      </c>
      <c r="BXO1" s="15" t="s">
        <v>2236</v>
      </c>
      <c r="BXP1" s="15" t="s">
        <v>2237</v>
      </c>
      <c r="BXQ1" s="15" t="s">
        <v>2238</v>
      </c>
      <c r="BXR1" s="15" t="s">
        <v>2239</v>
      </c>
      <c r="BXS1" s="15" t="s">
        <v>2240</v>
      </c>
      <c r="BXT1" s="15" t="s">
        <v>2241</v>
      </c>
      <c r="BXU1" s="15" t="s">
        <v>2242</v>
      </c>
      <c r="BXV1" s="15" t="s">
        <v>2243</v>
      </c>
      <c r="BXW1" s="15" t="s">
        <v>2244</v>
      </c>
      <c r="BXX1" s="15" t="s">
        <v>2245</v>
      </c>
      <c r="BXY1" s="15" t="s">
        <v>2246</v>
      </c>
      <c r="BXZ1" s="15" t="s">
        <v>2247</v>
      </c>
      <c r="BYA1" s="15" t="s">
        <v>2248</v>
      </c>
      <c r="BYB1" s="15" t="s">
        <v>2249</v>
      </c>
      <c r="BYC1" s="15" t="s">
        <v>2250</v>
      </c>
      <c r="BYD1" s="15" t="s">
        <v>2251</v>
      </c>
      <c r="BYE1" s="15" t="s">
        <v>2252</v>
      </c>
      <c r="BYF1" s="15" t="s">
        <v>2253</v>
      </c>
      <c r="BYG1" s="15" t="s">
        <v>2254</v>
      </c>
      <c r="BYH1" s="15" t="s">
        <v>2255</v>
      </c>
      <c r="BYI1" s="15" t="s">
        <v>2256</v>
      </c>
      <c r="BYJ1" s="15" t="s">
        <v>2257</v>
      </c>
      <c r="BYK1" s="15" t="s">
        <v>2258</v>
      </c>
      <c r="BYL1" s="15" t="s">
        <v>2259</v>
      </c>
      <c r="BYM1" s="15" t="s">
        <v>2260</v>
      </c>
      <c r="BYN1" s="15" t="s">
        <v>2261</v>
      </c>
      <c r="BYO1" s="15" t="s">
        <v>2262</v>
      </c>
      <c r="BYP1" s="15" t="s">
        <v>2263</v>
      </c>
      <c r="BYQ1" s="15" t="s">
        <v>2264</v>
      </c>
      <c r="BYR1" s="15" t="s">
        <v>2265</v>
      </c>
      <c r="BYS1" s="15" t="s">
        <v>2266</v>
      </c>
      <c r="BYT1" s="15" t="s">
        <v>2267</v>
      </c>
      <c r="BYU1" s="15" t="s">
        <v>2268</v>
      </c>
      <c r="BYV1" s="15" t="s">
        <v>2269</v>
      </c>
      <c r="BYW1" s="15" t="s">
        <v>2270</v>
      </c>
      <c r="BYX1" s="15" t="s">
        <v>2271</v>
      </c>
      <c r="BYY1" s="15" t="s">
        <v>2272</v>
      </c>
      <c r="BYZ1" s="15" t="s">
        <v>2273</v>
      </c>
      <c r="BZA1" s="15" t="s">
        <v>2274</v>
      </c>
      <c r="BZB1" s="15" t="s">
        <v>2275</v>
      </c>
      <c r="BZC1" s="15" t="s">
        <v>2276</v>
      </c>
      <c r="BZD1" s="15" t="s">
        <v>2277</v>
      </c>
      <c r="BZE1" s="15" t="s">
        <v>2278</v>
      </c>
      <c r="BZF1" s="15" t="s">
        <v>2279</v>
      </c>
      <c r="BZG1" s="15" t="s">
        <v>2280</v>
      </c>
      <c r="BZH1" s="15" t="s">
        <v>2281</v>
      </c>
      <c r="BZI1" s="15" t="s">
        <v>2282</v>
      </c>
      <c r="BZJ1" s="15" t="s">
        <v>2283</v>
      </c>
      <c r="BZK1" s="15" t="s">
        <v>2284</v>
      </c>
      <c r="BZL1" s="15" t="s">
        <v>2285</v>
      </c>
      <c r="BZM1" s="15" t="s">
        <v>2286</v>
      </c>
      <c r="BZN1" s="15" t="s">
        <v>2287</v>
      </c>
      <c r="BZO1" s="15" t="s">
        <v>2288</v>
      </c>
      <c r="BZP1" s="15" t="s">
        <v>2289</v>
      </c>
      <c r="BZQ1" s="15" t="s">
        <v>2290</v>
      </c>
      <c r="BZR1" s="15" t="s">
        <v>2291</v>
      </c>
      <c r="BZS1" s="15" t="s">
        <v>2292</v>
      </c>
      <c r="BZT1" s="15" t="s">
        <v>2293</v>
      </c>
      <c r="BZU1" s="15" t="s">
        <v>2294</v>
      </c>
      <c r="BZV1" s="15" t="s">
        <v>2295</v>
      </c>
      <c r="BZW1" s="15" t="s">
        <v>2296</v>
      </c>
      <c r="BZX1" s="15" t="s">
        <v>2297</v>
      </c>
      <c r="BZY1" s="15" t="s">
        <v>2298</v>
      </c>
      <c r="BZZ1" s="15" t="s">
        <v>2299</v>
      </c>
      <c r="CAA1" s="15" t="s">
        <v>2300</v>
      </c>
      <c r="CAB1" s="15" t="s">
        <v>2301</v>
      </c>
      <c r="CAC1" s="15" t="s">
        <v>2302</v>
      </c>
      <c r="CAD1" s="15" t="s">
        <v>2303</v>
      </c>
      <c r="CAE1" s="15" t="s">
        <v>2304</v>
      </c>
      <c r="CAF1" s="15" t="s">
        <v>2305</v>
      </c>
      <c r="CAG1" s="15" t="s">
        <v>2306</v>
      </c>
      <c r="CAH1" s="15" t="s">
        <v>2307</v>
      </c>
      <c r="CAI1" s="15" t="s">
        <v>2308</v>
      </c>
      <c r="CAJ1" s="15" t="s">
        <v>2309</v>
      </c>
      <c r="CAK1" s="15" t="s">
        <v>2310</v>
      </c>
      <c r="CAL1" s="15" t="s">
        <v>2311</v>
      </c>
      <c r="CAM1" s="15" t="s">
        <v>2312</v>
      </c>
      <c r="CAN1" s="15" t="s">
        <v>2313</v>
      </c>
      <c r="CAO1" s="15" t="s">
        <v>2314</v>
      </c>
      <c r="CAP1" s="15" t="s">
        <v>2315</v>
      </c>
      <c r="CAQ1" s="15" t="s">
        <v>2316</v>
      </c>
      <c r="CAR1" s="15" t="s">
        <v>2317</v>
      </c>
      <c r="CAS1" s="15" t="s">
        <v>2318</v>
      </c>
      <c r="CAT1" s="15" t="s">
        <v>2319</v>
      </c>
      <c r="CAU1" s="15" t="s">
        <v>2320</v>
      </c>
      <c r="CAV1" s="15" t="s">
        <v>2321</v>
      </c>
      <c r="CAW1" s="15" t="s">
        <v>2322</v>
      </c>
      <c r="CAX1" s="15" t="s">
        <v>2323</v>
      </c>
      <c r="CAY1" s="15" t="s">
        <v>2324</v>
      </c>
      <c r="CAZ1" s="15" t="s">
        <v>2325</v>
      </c>
      <c r="CBA1" s="15" t="s">
        <v>2326</v>
      </c>
      <c r="CBB1" s="15" t="s">
        <v>2327</v>
      </c>
      <c r="CBC1" s="15" t="s">
        <v>2328</v>
      </c>
      <c r="CBD1" s="15" t="s">
        <v>2329</v>
      </c>
      <c r="CBE1" s="15" t="s">
        <v>2330</v>
      </c>
      <c r="CBF1" s="15" t="s">
        <v>2331</v>
      </c>
      <c r="CBG1" s="15" t="s">
        <v>2332</v>
      </c>
      <c r="CBH1" s="15" t="s">
        <v>2333</v>
      </c>
      <c r="CBI1" s="15" t="s">
        <v>2334</v>
      </c>
      <c r="CBJ1" s="15" t="s">
        <v>2335</v>
      </c>
      <c r="CBK1" s="15" t="s">
        <v>2336</v>
      </c>
      <c r="CBL1" s="15" t="s">
        <v>2337</v>
      </c>
      <c r="CBM1" s="15" t="s">
        <v>2338</v>
      </c>
      <c r="CBN1" s="15" t="s">
        <v>2339</v>
      </c>
      <c r="CBO1" s="15" t="s">
        <v>2340</v>
      </c>
      <c r="CBP1" s="15" t="s">
        <v>2341</v>
      </c>
      <c r="CBQ1" s="15" t="s">
        <v>2342</v>
      </c>
      <c r="CBR1" s="15" t="s">
        <v>2343</v>
      </c>
      <c r="CBS1" s="15" t="s">
        <v>2344</v>
      </c>
      <c r="CBT1" s="15" t="s">
        <v>2345</v>
      </c>
      <c r="CBU1" s="15" t="s">
        <v>2346</v>
      </c>
      <c r="CBV1" s="15" t="s">
        <v>2347</v>
      </c>
      <c r="CBW1" s="15" t="s">
        <v>2348</v>
      </c>
      <c r="CBX1" s="15" t="s">
        <v>2349</v>
      </c>
      <c r="CBY1" s="15" t="s">
        <v>2350</v>
      </c>
      <c r="CBZ1" s="15" t="s">
        <v>2351</v>
      </c>
      <c r="CCA1" s="15" t="s">
        <v>2352</v>
      </c>
      <c r="CCB1" s="15" t="s">
        <v>2353</v>
      </c>
      <c r="CCC1" s="15" t="s">
        <v>2354</v>
      </c>
      <c r="CCD1" s="15" t="s">
        <v>2355</v>
      </c>
      <c r="CCE1" s="15" t="s">
        <v>2356</v>
      </c>
      <c r="CCF1" s="15" t="s">
        <v>2357</v>
      </c>
      <c r="CCG1" s="15" t="s">
        <v>2358</v>
      </c>
      <c r="CCH1" s="15" t="s">
        <v>2359</v>
      </c>
      <c r="CCI1" s="15" t="s">
        <v>2360</v>
      </c>
      <c r="CCJ1" s="15" t="s">
        <v>2361</v>
      </c>
      <c r="CCK1" s="15" t="s">
        <v>2362</v>
      </c>
      <c r="CCL1" s="15" t="s">
        <v>2363</v>
      </c>
      <c r="CCM1" s="15" t="s">
        <v>2364</v>
      </c>
      <c r="CCN1" s="15" t="s">
        <v>2365</v>
      </c>
      <c r="CCO1" s="15" t="s">
        <v>2366</v>
      </c>
      <c r="CCP1" s="15" t="s">
        <v>2367</v>
      </c>
      <c r="CCQ1" s="15" t="s">
        <v>2368</v>
      </c>
      <c r="CCR1" s="15" t="s">
        <v>2369</v>
      </c>
      <c r="CCS1" s="15" t="s">
        <v>2370</v>
      </c>
      <c r="CCT1" s="15" t="s">
        <v>2371</v>
      </c>
      <c r="CCU1" s="15" t="s">
        <v>2372</v>
      </c>
      <c r="CCV1" s="15" t="s">
        <v>2373</v>
      </c>
      <c r="CCW1" s="15" t="s">
        <v>2374</v>
      </c>
      <c r="CCX1" s="15" t="s">
        <v>2375</v>
      </c>
      <c r="CCY1" s="15" t="s">
        <v>2376</v>
      </c>
      <c r="CCZ1" s="15" t="s">
        <v>2377</v>
      </c>
      <c r="CDA1" s="15" t="s">
        <v>2378</v>
      </c>
      <c r="CDB1" s="15" t="s">
        <v>2379</v>
      </c>
      <c r="CDC1" s="15" t="s">
        <v>2380</v>
      </c>
      <c r="CDD1" s="15" t="s">
        <v>2381</v>
      </c>
      <c r="CDE1" s="15" t="s">
        <v>2382</v>
      </c>
      <c r="CDF1" s="15" t="s">
        <v>2383</v>
      </c>
      <c r="CDG1" s="15" t="s">
        <v>2384</v>
      </c>
      <c r="CDH1" s="15" t="s">
        <v>2385</v>
      </c>
      <c r="CDI1" s="15" t="s">
        <v>2386</v>
      </c>
      <c r="CDJ1" s="15" t="s">
        <v>2387</v>
      </c>
      <c r="CDK1" s="15" t="s">
        <v>2388</v>
      </c>
      <c r="CDL1" s="15" t="s">
        <v>2389</v>
      </c>
      <c r="CDM1" s="15" t="s">
        <v>2390</v>
      </c>
      <c r="CDN1" s="15" t="s">
        <v>2391</v>
      </c>
      <c r="CDO1" s="15" t="s">
        <v>2392</v>
      </c>
      <c r="CDP1" s="15" t="s">
        <v>2393</v>
      </c>
      <c r="CDQ1" s="15" t="s">
        <v>2394</v>
      </c>
      <c r="CDR1" s="15" t="s">
        <v>2395</v>
      </c>
      <c r="CDS1" s="15" t="s">
        <v>2396</v>
      </c>
      <c r="CDT1" s="15" t="s">
        <v>2397</v>
      </c>
      <c r="CDU1" s="15" t="s">
        <v>2398</v>
      </c>
      <c r="CDV1" s="15" t="s">
        <v>2399</v>
      </c>
      <c r="CDW1" s="15" t="s">
        <v>2400</v>
      </c>
      <c r="CDX1" s="15" t="s">
        <v>2401</v>
      </c>
      <c r="CDY1" s="15" t="s">
        <v>2402</v>
      </c>
      <c r="CDZ1" s="15" t="s">
        <v>2403</v>
      </c>
      <c r="CEA1" s="15" t="s">
        <v>2404</v>
      </c>
      <c r="CEB1" s="15" t="s">
        <v>2405</v>
      </c>
      <c r="CEC1" s="15" t="s">
        <v>2406</v>
      </c>
      <c r="CED1" s="15" t="s">
        <v>2407</v>
      </c>
      <c r="CEE1" s="15" t="s">
        <v>2408</v>
      </c>
      <c r="CEF1" s="15" t="s">
        <v>2409</v>
      </c>
      <c r="CEG1" s="15" t="s">
        <v>2410</v>
      </c>
      <c r="CEH1" s="15" t="s">
        <v>2411</v>
      </c>
      <c r="CEI1" s="15" t="s">
        <v>2412</v>
      </c>
      <c r="CEJ1" s="15" t="s">
        <v>2413</v>
      </c>
      <c r="CEK1" s="15" t="s">
        <v>2414</v>
      </c>
      <c r="CEL1" s="15" t="s">
        <v>2415</v>
      </c>
      <c r="CEM1" s="15" t="s">
        <v>2416</v>
      </c>
      <c r="CEN1" s="15" t="s">
        <v>2417</v>
      </c>
      <c r="CEO1" s="15" t="s">
        <v>2418</v>
      </c>
      <c r="CEP1" s="15" t="s">
        <v>2419</v>
      </c>
      <c r="CEQ1" s="15" t="s">
        <v>2420</v>
      </c>
      <c r="CER1" s="15" t="s">
        <v>2421</v>
      </c>
      <c r="CES1" s="15" t="s">
        <v>2422</v>
      </c>
      <c r="CET1" s="15" t="s">
        <v>2423</v>
      </c>
      <c r="CEU1" s="15" t="s">
        <v>2424</v>
      </c>
      <c r="CEV1" s="15" t="s">
        <v>2425</v>
      </c>
      <c r="CEW1" s="15" t="s">
        <v>2426</v>
      </c>
      <c r="CEX1" s="15" t="s">
        <v>2427</v>
      </c>
      <c r="CEY1" s="15" t="s">
        <v>2428</v>
      </c>
      <c r="CEZ1" s="15" t="s">
        <v>2429</v>
      </c>
      <c r="CFA1" s="15" t="s">
        <v>2430</v>
      </c>
      <c r="CFB1" s="15" t="s">
        <v>2431</v>
      </c>
      <c r="CFC1" s="15" t="s">
        <v>2432</v>
      </c>
      <c r="CFD1" s="15" t="s">
        <v>2433</v>
      </c>
      <c r="CFE1" s="15" t="s">
        <v>2434</v>
      </c>
      <c r="CFF1" s="15" t="s">
        <v>2435</v>
      </c>
      <c r="CFG1" s="15" t="s">
        <v>2436</v>
      </c>
      <c r="CFH1" s="15" t="s">
        <v>2437</v>
      </c>
      <c r="CFI1" s="15" t="s">
        <v>2438</v>
      </c>
      <c r="CFJ1" s="15" t="s">
        <v>2439</v>
      </c>
      <c r="CFK1" s="15" t="s">
        <v>2440</v>
      </c>
      <c r="CFL1" s="15" t="s">
        <v>2441</v>
      </c>
      <c r="CFM1" s="15" t="s">
        <v>2442</v>
      </c>
      <c r="CFN1" s="15" t="s">
        <v>2443</v>
      </c>
      <c r="CFO1" s="15" t="s">
        <v>2444</v>
      </c>
      <c r="CFP1" s="15" t="s">
        <v>2445</v>
      </c>
      <c r="CFQ1" s="15" t="s">
        <v>2446</v>
      </c>
      <c r="CFR1" s="15" t="s">
        <v>2447</v>
      </c>
      <c r="CFS1" s="15" t="s">
        <v>2448</v>
      </c>
      <c r="CFT1" s="15" t="s">
        <v>2449</v>
      </c>
      <c r="CFU1" s="15" t="s">
        <v>2450</v>
      </c>
      <c r="CFV1" s="15" t="s">
        <v>2451</v>
      </c>
      <c r="CFW1" s="15" t="s">
        <v>2452</v>
      </c>
      <c r="CFX1" s="15" t="s">
        <v>2453</v>
      </c>
      <c r="CFY1" s="15" t="s">
        <v>2454</v>
      </c>
      <c r="CFZ1" s="15" t="s">
        <v>2455</v>
      </c>
      <c r="CGA1" s="15" t="s">
        <v>2456</v>
      </c>
      <c r="CGB1" s="15" t="s">
        <v>2457</v>
      </c>
      <c r="CGC1" s="15" t="s">
        <v>2458</v>
      </c>
      <c r="CGD1" s="15" t="s">
        <v>2459</v>
      </c>
      <c r="CGE1" s="15" t="s">
        <v>2460</v>
      </c>
      <c r="CGF1" s="15" t="s">
        <v>2461</v>
      </c>
      <c r="CGG1" s="15" t="s">
        <v>2462</v>
      </c>
      <c r="CGH1" s="15" t="s">
        <v>2463</v>
      </c>
      <c r="CGI1" s="15" t="s">
        <v>2464</v>
      </c>
      <c r="CGJ1" s="15" t="s">
        <v>2465</v>
      </c>
      <c r="CGK1" s="15" t="s">
        <v>2466</v>
      </c>
      <c r="CGL1" s="15" t="s">
        <v>2467</v>
      </c>
      <c r="CGM1" s="15" t="s">
        <v>2468</v>
      </c>
      <c r="CGN1" s="15" t="s">
        <v>2469</v>
      </c>
      <c r="CGO1" s="15" t="s">
        <v>2470</v>
      </c>
      <c r="CGP1" s="15" t="s">
        <v>2471</v>
      </c>
      <c r="CGQ1" s="15" t="s">
        <v>2472</v>
      </c>
      <c r="CGR1" s="15" t="s">
        <v>2473</v>
      </c>
      <c r="CGS1" s="15" t="s">
        <v>2474</v>
      </c>
      <c r="CGT1" s="15" t="s">
        <v>2475</v>
      </c>
      <c r="CGU1" s="15" t="s">
        <v>2476</v>
      </c>
      <c r="CGV1" s="15" t="s">
        <v>2477</v>
      </c>
      <c r="CGW1" s="15" t="s">
        <v>2478</v>
      </c>
      <c r="CGX1" s="15" t="s">
        <v>2479</v>
      </c>
      <c r="CGY1" s="15" t="s">
        <v>2480</v>
      </c>
      <c r="CGZ1" s="15" t="s">
        <v>2481</v>
      </c>
      <c r="CHA1" s="15" t="s">
        <v>2482</v>
      </c>
      <c r="CHB1" s="15" t="s">
        <v>2483</v>
      </c>
      <c r="CHC1" s="15" t="s">
        <v>2484</v>
      </c>
      <c r="CHD1" s="15" t="s">
        <v>2485</v>
      </c>
      <c r="CHE1" s="15" t="s">
        <v>2486</v>
      </c>
      <c r="CHF1" s="15" t="s">
        <v>2487</v>
      </c>
      <c r="CHG1" s="15" t="s">
        <v>2488</v>
      </c>
      <c r="CHH1" s="15" t="s">
        <v>2489</v>
      </c>
      <c r="CHI1" s="15" t="s">
        <v>2490</v>
      </c>
      <c r="CHJ1" s="15" t="s">
        <v>2491</v>
      </c>
      <c r="CHK1" s="15" t="s">
        <v>2492</v>
      </c>
      <c r="CHL1" s="15" t="s">
        <v>2493</v>
      </c>
      <c r="CHM1" s="15" t="s">
        <v>2494</v>
      </c>
      <c r="CHN1" s="15" t="s">
        <v>2495</v>
      </c>
      <c r="CHO1" s="15" t="s">
        <v>2496</v>
      </c>
      <c r="CHP1" s="15" t="s">
        <v>2497</v>
      </c>
      <c r="CHQ1" s="15" t="s">
        <v>2498</v>
      </c>
      <c r="CHR1" s="15" t="s">
        <v>2499</v>
      </c>
      <c r="CHS1" s="15" t="s">
        <v>2500</v>
      </c>
      <c r="CHT1" s="15" t="s">
        <v>2501</v>
      </c>
      <c r="CHU1" s="15" t="s">
        <v>2502</v>
      </c>
      <c r="CHV1" s="15" t="s">
        <v>2503</v>
      </c>
      <c r="CHW1" s="15" t="s">
        <v>2504</v>
      </c>
      <c r="CHX1" s="15" t="s">
        <v>2505</v>
      </c>
      <c r="CHY1" s="15" t="s">
        <v>2506</v>
      </c>
      <c r="CHZ1" s="15" t="s">
        <v>2507</v>
      </c>
      <c r="CIA1" s="15" t="s">
        <v>2508</v>
      </c>
      <c r="CIB1" s="15" t="s">
        <v>2509</v>
      </c>
      <c r="CIC1" s="15" t="s">
        <v>2510</v>
      </c>
      <c r="CID1" s="15" t="s">
        <v>2511</v>
      </c>
      <c r="CIE1" s="15" t="s">
        <v>2512</v>
      </c>
      <c r="CIF1" s="15" t="s">
        <v>2513</v>
      </c>
      <c r="CIG1" s="15" t="s">
        <v>2514</v>
      </c>
      <c r="CIH1" s="15" t="s">
        <v>2515</v>
      </c>
      <c r="CII1" s="15" t="s">
        <v>2516</v>
      </c>
      <c r="CIJ1" s="15" t="s">
        <v>2517</v>
      </c>
      <c r="CIK1" s="15" t="s">
        <v>2518</v>
      </c>
      <c r="CIL1" s="15" t="s">
        <v>2519</v>
      </c>
      <c r="CIM1" s="15" t="s">
        <v>2520</v>
      </c>
      <c r="CIN1" s="15" t="s">
        <v>2521</v>
      </c>
      <c r="CIO1" s="15" t="s">
        <v>2522</v>
      </c>
      <c r="CIP1" s="15" t="s">
        <v>2523</v>
      </c>
      <c r="CIQ1" s="15" t="s">
        <v>2524</v>
      </c>
      <c r="CIR1" s="15" t="s">
        <v>2525</v>
      </c>
      <c r="CIS1" s="15" t="s">
        <v>2526</v>
      </c>
      <c r="CIT1" s="15" t="s">
        <v>2527</v>
      </c>
      <c r="CIU1" s="15" t="s">
        <v>2528</v>
      </c>
      <c r="CIV1" s="15" t="s">
        <v>2529</v>
      </c>
      <c r="CIW1" s="15" t="s">
        <v>2530</v>
      </c>
      <c r="CIX1" s="15" t="s">
        <v>2531</v>
      </c>
      <c r="CIY1" s="15" t="s">
        <v>2532</v>
      </c>
      <c r="CIZ1" s="15" t="s">
        <v>2533</v>
      </c>
      <c r="CJA1" s="15" t="s">
        <v>2534</v>
      </c>
      <c r="CJB1" s="15" t="s">
        <v>2535</v>
      </c>
      <c r="CJC1" s="15" t="s">
        <v>2536</v>
      </c>
      <c r="CJD1" s="15" t="s">
        <v>2537</v>
      </c>
      <c r="CJE1" s="15" t="s">
        <v>2538</v>
      </c>
      <c r="CJF1" s="15" t="s">
        <v>2539</v>
      </c>
      <c r="CJG1" s="15" t="s">
        <v>2540</v>
      </c>
      <c r="CJH1" s="15" t="s">
        <v>2541</v>
      </c>
      <c r="CJI1" s="15" t="s">
        <v>2542</v>
      </c>
      <c r="CJJ1" s="15" t="s">
        <v>2543</v>
      </c>
      <c r="CJK1" s="15" t="s">
        <v>2544</v>
      </c>
      <c r="CJL1" s="15" t="s">
        <v>2545</v>
      </c>
      <c r="CJM1" s="15" t="s">
        <v>2546</v>
      </c>
      <c r="CJN1" s="15" t="s">
        <v>2547</v>
      </c>
      <c r="CJO1" s="15" t="s">
        <v>2548</v>
      </c>
      <c r="CJP1" s="15" t="s">
        <v>2549</v>
      </c>
      <c r="CJQ1" s="15" t="s">
        <v>2550</v>
      </c>
      <c r="CJR1" s="15" t="s">
        <v>2551</v>
      </c>
      <c r="CJS1" s="15" t="s">
        <v>2552</v>
      </c>
      <c r="CJT1" s="15" t="s">
        <v>2553</v>
      </c>
      <c r="CJU1" s="15" t="s">
        <v>2554</v>
      </c>
      <c r="CJV1" s="15" t="s">
        <v>2555</v>
      </c>
      <c r="CJW1" s="15" t="s">
        <v>2556</v>
      </c>
      <c r="CJX1" s="15" t="s">
        <v>2557</v>
      </c>
      <c r="CJY1" s="15" t="s">
        <v>2558</v>
      </c>
      <c r="CJZ1" s="15" t="s">
        <v>2559</v>
      </c>
      <c r="CKA1" s="15" t="s">
        <v>2560</v>
      </c>
      <c r="CKB1" s="15" t="s">
        <v>2561</v>
      </c>
      <c r="CKC1" s="15" t="s">
        <v>2562</v>
      </c>
      <c r="CKD1" s="15" t="s">
        <v>2563</v>
      </c>
      <c r="CKE1" s="15" t="s">
        <v>2564</v>
      </c>
      <c r="CKF1" s="15" t="s">
        <v>2565</v>
      </c>
      <c r="CKG1" s="15" t="s">
        <v>2566</v>
      </c>
      <c r="CKH1" s="15" t="s">
        <v>2567</v>
      </c>
      <c r="CKI1" s="15" t="s">
        <v>2568</v>
      </c>
      <c r="CKJ1" s="15" t="s">
        <v>2569</v>
      </c>
      <c r="CKK1" s="15" t="s">
        <v>2570</v>
      </c>
      <c r="CKL1" s="15" t="s">
        <v>2571</v>
      </c>
      <c r="CKM1" s="15" t="s">
        <v>2572</v>
      </c>
      <c r="CKN1" s="15" t="s">
        <v>2573</v>
      </c>
      <c r="CKO1" s="15" t="s">
        <v>2574</v>
      </c>
      <c r="CKP1" s="15" t="s">
        <v>2575</v>
      </c>
      <c r="CKQ1" s="15" t="s">
        <v>2576</v>
      </c>
      <c r="CKR1" s="15" t="s">
        <v>2577</v>
      </c>
      <c r="CKS1" s="15" t="s">
        <v>2578</v>
      </c>
      <c r="CKT1" s="15" t="s">
        <v>2579</v>
      </c>
      <c r="CKU1" s="15" t="s">
        <v>2580</v>
      </c>
      <c r="CKV1" s="15" t="s">
        <v>2581</v>
      </c>
      <c r="CKW1" s="15" t="s">
        <v>2582</v>
      </c>
      <c r="CKX1" s="15" t="s">
        <v>2583</v>
      </c>
      <c r="CKY1" s="15" t="s">
        <v>2584</v>
      </c>
      <c r="CKZ1" s="15" t="s">
        <v>2585</v>
      </c>
      <c r="CLA1" s="15" t="s">
        <v>2586</v>
      </c>
      <c r="CLB1" s="15" t="s">
        <v>2587</v>
      </c>
      <c r="CLC1" s="15" t="s">
        <v>2588</v>
      </c>
      <c r="CLD1" s="15" t="s">
        <v>2589</v>
      </c>
      <c r="CLE1" s="15" t="s">
        <v>2590</v>
      </c>
      <c r="CLF1" s="15" t="s">
        <v>2591</v>
      </c>
      <c r="CLG1" s="15" t="s">
        <v>2592</v>
      </c>
      <c r="CLH1" s="15" t="s">
        <v>2593</v>
      </c>
      <c r="CLI1" s="15" t="s">
        <v>2594</v>
      </c>
      <c r="CLJ1" s="15" t="s">
        <v>2595</v>
      </c>
      <c r="CLK1" s="15" t="s">
        <v>2596</v>
      </c>
      <c r="CLL1" s="15" t="s">
        <v>2597</v>
      </c>
      <c r="CLM1" s="15" t="s">
        <v>2598</v>
      </c>
      <c r="CLN1" s="15" t="s">
        <v>2599</v>
      </c>
      <c r="CLO1" s="15" t="s">
        <v>2600</v>
      </c>
      <c r="CLP1" s="15" t="s">
        <v>2601</v>
      </c>
      <c r="CLQ1" s="15" t="s">
        <v>2602</v>
      </c>
      <c r="CLR1" s="15" t="s">
        <v>2603</v>
      </c>
      <c r="CLS1" s="15" t="s">
        <v>2604</v>
      </c>
      <c r="CLT1" s="15" t="s">
        <v>2605</v>
      </c>
      <c r="CLU1" s="15" t="s">
        <v>2606</v>
      </c>
      <c r="CLV1" s="15" t="s">
        <v>2607</v>
      </c>
      <c r="CLW1" s="15" t="s">
        <v>2608</v>
      </c>
      <c r="CLX1" s="15" t="s">
        <v>2609</v>
      </c>
      <c r="CLY1" s="15" t="s">
        <v>2610</v>
      </c>
      <c r="CLZ1" s="15" t="s">
        <v>2611</v>
      </c>
      <c r="CMA1" s="15" t="s">
        <v>2612</v>
      </c>
      <c r="CMB1" s="15" t="s">
        <v>2613</v>
      </c>
      <c r="CMC1" s="15" t="s">
        <v>2614</v>
      </c>
      <c r="CMD1" s="15" t="s">
        <v>2615</v>
      </c>
      <c r="CME1" s="15" t="s">
        <v>2616</v>
      </c>
      <c r="CMF1" s="15" t="s">
        <v>2617</v>
      </c>
      <c r="CMG1" s="15" t="s">
        <v>2618</v>
      </c>
      <c r="CMH1" s="15" t="s">
        <v>2619</v>
      </c>
      <c r="CMI1" s="15" t="s">
        <v>2620</v>
      </c>
      <c r="CMJ1" s="15" t="s">
        <v>2621</v>
      </c>
      <c r="CMK1" s="15" t="s">
        <v>2622</v>
      </c>
      <c r="CML1" s="15" t="s">
        <v>2623</v>
      </c>
      <c r="CMM1" s="15" t="s">
        <v>2624</v>
      </c>
      <c r="CMN1" s="15" t="s">
        <v>2625</v>
      </c>
      <c r="CMO1" s="15" t="s">
        <v>2626</v>
      </c>
      <c r="CMP1" s="15" t="s">
        <v>2627</v>
      </c>
      <c r="CMQ1" s="15" t="s">
        <v>2628</v>
      </c>
      <c r="CMR1" s="15" t="s">
        <v>2629</v>
      </c>
      <c r="CMS1" s="15" t="s">
        <v>2630</v>
      </c>
      <c r="CMT1" s="15" t="s">
        <v>2631</v>
      </c>
      <c r="CMU1" s="15" t="s">
        <v>2632</v>
      </c>
      <c r="CMV1" s="15" t="s">
        <v>2633</v>
      </c>
      <c r="CMW1" s="15" t="s">
        <v>2634</v>
      </c>
      <c r="CMX1" s="15" t="s">
        <v>2635</v>
      </c>
      <c r="CMY1" s="15" t="s">
        <v>2636</v>
      </c>
      <c r="CMZ1" s="15" t="s">
        <v>2637</v>
      </c>
      <c r="CNA1" s="15" t="s">
        <v>2638</v>
      </c>
      <c r="CNB1" s="15" t="s">
        <v>2639</v>
      </c>
      <c r="CNC1" s="15" t="s">
        <v>2640</v>
      </c>
      <c r="CND1" s="15" t="s">
        <v>2641</v>
      </c>
      <c r="CNE1" s="15" t="s">
        <v>2642</v>
      </c>
      <c r="CNF1" s="15" t="s">
        <v>2643</v>
      </c>
      <c r="CNG1" s="15" t="s">
        <v>2644</v>
      </c>
      <c r="CNH1" s="15" t="s">
        <v>2645</v>
      </c>
      <c r="CNI1" s="15" t="s">
        <v>2646</v>
      </c>
      <c r="CNJ1" s="15" t="s">
        <v>2647</v>
      </c>
      <c r="CNK1" s="15" t="s">
        <v>2648</v>
      </c>
      <c r="CNL1" s="15" t="s">
        <v>2649</v>
      </c>
      <c r="CNM1" s="15" t="s">
        <v>2650</v>
      </c>
      <c r="CNN1" s="15" t="s">
        <v>2651</v>
      </c>
      <c r="CNO1" s="15" t="s">
        <v>2652</v>
      </c>
      <c r="CNP1" s="15" t="s">
        <v>2653</v>
      </c>
      <c r="CNQ1" s="15" t="s">
        <v>2654</v>
      </c>
      <c r="CNR1" s="15" t="s">
        <v>2655</v>
      </c>
      <c r="CNS1" s="15" t="s">
        <v>2656</v>
      </c>
      <c r="CNT1" s="15" t="s">
        <v>2657</v>
      </c>
      <c r="CNU1" s="15" t="s">
        <v>2658</v>
      </c>
      <c r="CNV1" s="15" t="s">
        <v>2659</v>
      </c>
      <c r="CNW1" s="15" t="s">
        <v>2660</v>
      </c>
      <c r="CNX1" s="15" t="s">
        <v>2661</v>
      </c>
      <c r="CNY1" s="15" t="s">
        <v>2662</v>
      </c>
      <c r="CNZ1" s="15" t="s">
        <v>2663</v>
      </c>
      <c r="COA1" s="15" t="s">
        <v>2664</v>
      </c>
      <c r="COB1" s="15" t="s">
        <v>2665</v>
      </c>
      <c r="COC1" s="15" t="s">
        <v>2666</v>
      </c>
      <c r="COD1" s="15" t="s">
        <v>2667</v>
      </c>
      <c r="COE1" s="15" t="s">
        <v>2668</v>
      </c>
      <c r="COF1" s="15" t="s">
        <v>2669</v>
      </c>
      <c r="COG1" s="15" t="s">
        <v>2670</v>
      </c>
      <c r="COH1" s="15" t="s">
        <v>2671</v>
      </c>
      <c r="COI1" s="15" t="s">
        <v>2672</v>
      </c>
      <c r="COJ1" s="15" t="s">
        <v>2673</v>
      </c>
      <c r="COK1" s="15" t="s">
        <v>2674</v>
      </c>
      <c r="COL1" s="15" t="s">
        <v>2675</v>
      </c>
      <c r="COM1" s="15" t="s">
        <v>2676</v>
      </c>
      <c r="CON1" s="15" t="s">
        <v>2677</v>
      </c>
      <c r="COO1" s="15" t="s">
        <v>2678</v>
      </c>
      <c r="COP1" s="15" t="s">
        <v>2679</v>
      </c>
      <c r="COQ1" s="15" t="s">
        <v>2680</v>
      </c>
      <c r="COR1" s="15" t="s">
        <v>2681</v>
      </c>
      <c r="COS1" s="15" t="s">
        <v>2682</v>
      </c>
      <c r="COT1" s="15" t="s">
        <v>2683</v>
      </c>
      <c r="COU1" s="15" t="s">
        <v>2684</v>
      </c>
      <c r="COV1" s="15" t="s">
        <v>2685</v>
      </c>
      <c r="COW1" s="15" t="s">
        <v>2686</v>
      </c>
      <c r="COX1" s="15" t="s">
        <v>2687</v>
      </c>
      <c r="COY1" s="15" t="s">
        <v>2688</v>
      </c>
      <c r="COZ1" s="15" t="s">
        <v>2689</v>
      </c>
      <c r="CPA1" s="15" t="s">
        <v>2690</v>
      </c>
      <c r="CPB1" s="15" t="s">
        <v>2691</v>
      </c>
      <c r="CPC1" s="15" t="s">
        <v>2692</v>
      </c>
      <c r="CPD1" s="15" t="s">
        <v>2693</v>
      </c>
      <c r="CPE1" s="15" t="s">
        <v>2694</v>
      </c>
      <c r="CPF1" s="15" t="s">
        <v>2695</v>
      </c>
      <c r="CPG1" s="15" t="s">
        <v>2696</v>
      </c>
      <c r="CPH1" s="15" t="s">
        <v>2697</v>
      </c>
      <c r="CPI1" s="15" t="s">
        <v>2698</v>
      </c>
      <c r="CPJ1" s="15" t="s">
        <v>2699</v>
      </c>
      <c r="CPK1" s="15" t="s">
        <v>2700</v>
      </c>
      <c r="CPL1" s="15" t="s">
        <v>2701</v>
      </c>
      <c r="CPM1" s="15" t="s">
        <v>2702</v>
      </c>
      <c r="CPN1" s="15" t="s">
        <v>2703</v>
      </c>
      <c r="CPO1" s="15" t="s">
        <v>2704</v>
      </c>
      <c r="CPP1" s="15" t="s">
        <v>2705</v>
      </c>
      <c r="CPQ1" s="15" t="s">
        <v>2706</v>
      </c>
      <c r="CPR1" s="15" t="s">
        <v>2707</v>
      </c>
      <c r="CPS1" s="15" t="s">
        <v>2708</v>
      </c>
      <c r="CPT1" s="15" t="s">
        <v>2709</v>
      </c>
      <c r="CPU1" s="15" t="s">
        <v>2710</v>
      </c>
      <c r="CPV1" s="15" t="s">
        <v>2711</v>
      </c>
      <c r="CPW1" s="15" t="s">
        <v>2712</v>
      </c>
      <c r="CPX1" s="15" t="s">
        <v>2713</v>
      </c>
      <c r="CPY1" s="15" t="s">
        <v>2714</v>
      </c>
      <c r="CPZ1" s="15" t="s">
        <v>2715</v>
      </c>
      <c r="CQA1" s="15" t="s">
        <v>2716</v>
      </c>
      <c r="CQB1" s="15" t="s">
        <v>2717</v>
      </c>
      <c r="CQC1" s="15" t="s">
        <v>2718</v>
      </c>
      <c r="CQD1" s="15" t="s">
        <v>2719</v>
      </c>
      <c r="CQE1" s="15" t="s">
        <v>2720</v>
      </c>
      <c r="CQF1" s="15" t="s">
        <v>2721</v>
      </c>
      <c r="CQG1" s="15" t="s">
        <v>2722</v>
      </c>
      <c r="CQH1" s="15" t="s">
        <v>2723</v>
      </c>
      <c r="CQI1" s="15" t="s">
        <v>2724</v>
      </c>
      <c r="CQJ1" s="15" t="s">
        <v>2725</v>
      </c>
      <c r="CQK1" s="15" t="s">
        <v>2726</v>
      </c>
      <c r="CQL1" s="15" t="s">
        <v>2727</v>
      </c>
      <c r="CQM1" s="15" t="s">
        <v>2728</v>
      </c>
      <c r="CQN1" s="15" t="s">
        <v>2729</v>
      </c>
      <c r="CQO1" s="15" t="s">
        <v>2730</v>
      </c>
      <c r="CQP1" s="15" t="s">
        <v>2731</v>
      </c>
      <c r="CQQ1" s="15" t="s">
        <v>2732</v>
      </c>
      <c r="CQR1" s="15" t="s">
        <v>2733</v>
      </c>
      <c r="CQS1" s="15" t="s">
        <v>2734</v>
      </c>
      <c r="CQT1" s="15" t="s">
        <v>2735</v>
      </c>
      <c r="CQU1" s="15" t="s">
        <v>2736</v>
      </c>
      <c r="CQV1" s="15" t="s">
        <v>2737</v>
      </c>
      <c r="CQW1" s="15" t="s">
        <v>2738</v>
      </c>
      <c r="CQX1" s="15" t="s">
        <v>2739</v>
      </c>
      <c r="CQY1" s="15" t="s">
        <v>2740</v>
      </c>
      <c r="CQZ1" s="15" t="s">
        <v>2741</v>
      </c>
      <c r="CRA1" s="15" t="s">
        <v>2742</v>
      </c>
      <c r="CRB1" s="15" t="s">
        <v>2743</v>
      </c>
      <c r="CRC1" s="15" t="s">
        <v>2744</v>
      </c>
      <c r="CRD1" s="15" t="s">
        <v>2745</v>
      </c>
      <c r="CRE1" s="15" t="s">
        <v>2746</v>
      </c>
      <c r="CRF1" s="15" t="s">
        <v>2747</v>
      </c>
      <c r="CRG1" s="15" t="s">
        <v>2748</v>
      </c>
      <c r="CRH1" s="15" t="s">
        <v>2749</v>
      </c>
      <c r="CRI1" s="15" t="s">
        <v>2750</v>
      </c>
      <c r="CRJ1" s="15" t="s">
        <v>2751</v>
      </c>
      <c r="CRK1" s="15" t="s">
        <v>2752</v>
      </c>
      <c r="CRL1" s="15" t="s">
        <v>2753</v>
      </c>
      <c r="CRM1" s="15" t="s">
        <v>2754</v>
      </c>
      <c r="CRN1" s="15" t="s">
        <v>2755</v>
      </c>
      <c r="CRO1" s="15" t="s">
        <v>2756</v>
      </c>
      <c r="CRP1" s="15" t="s">
        <v>2757</v>
      </c>
      <c r="CRQ1" s="15" t="s">
        <v>2758</v>
      </c>
      <c r="CRR1" s="15" t="s">
        <v>2759</v>
      </c>
      <c r="CRS1" s="15" t="s">
        <v>2760</v>
      </c>
      <c r="CRT1" s="15" t="s">
        <v>2761</v>
      </c>
      <c r="CRU1" s="15" t="s">
        <v>2762</v>
      </c>
      <c r="CRV1" s="15" t="s">
        <v>2763</v>
      </c>
      <c r="CRW1" s="15" t="s">
        <v>2764</v>
      </c>
      <c r="CRX1" s="15" t="s">
        <v>2765</v>
      </c>
      <c r="CRY1" s="15" t="s">
        <v>2766</v>
      </c>
      <c r="CRZ1" s="15" t="s">
        <v>2767</v>
      </c>
      <c r="CSA1" s="15" t="s">
        <v>2768</v>
      </c>
      <c r="CSB1" s="15" t="s">
        <v>2769</v>
      </c>
      <c r="CSC1" s="15" t="s">
        <v>2770</v>
      </c>
      <c r="CSD1" s="15" t="s">
        <v>2771</v>
      </c>
      <c r="CSE1" s="15" t="s">
        <v>2772</v>
      </c>
      <c r="CSF1" s="15" t="s">
        <v>2773</v>
      </c>
      <c r="CSG1" s="15" t="s">
        <v>2774</v>
      </c>
      <c r="CSH1" s="15" t="s">
        <v>2775</v>
      </c>
      <c r="CSI1" s="15" t="s">
        <v>2776</v>
      </c>
      <c r="CSJ1" s="15" t="s">
        <v>2777</v>
      </c>
      <c r="CSK1" s="15" t="s">
        <v>2778</v>
      </c>
      <c r="CSL1" s="15" t="s">
        <v>2779</v>
      </c>
      <c r="CSM1" s="15" t="s">
        <v>2780</v>
      </c>
      <c r="CSN1" s="15" t="s">
        <v>2781</v>
      </c>
      <c r="CSO1" s="15" t="s">
        <v>2782</v>
      </c>
      <c r="CSP1" s="15" t="s">
        <v>2783</v>
      </c>
      <c r="CSQ1" s="15" t="s">
        <v>2784</v>
      </c>
      <c r="CSR1" s="15" t="s">
        <v>2785</v>
      </c>
      <c r="CSS1" s="15" t="s">
        <v>2786</v>
      </c>
      <c r="CST1" s="15" t="s">
        <v>2787</v>
      </c>
      <c r="CSU1" s="15" t="s">
        <v>2788</v>
      </c>
      <c r="CSV1" s="15" t="s">
        <v>2789</v>
      </c>
      <c r="CSW1" s="15" t="s">
        <v>2790</v>
      </c>
      <c r="CSX1" s="15" t="s">
        <v>2791</v>
      </c>
      <c r="CSY1" s="15" t="s">
        <v>2792</v>
      </c>
      <c r="CSZ1" s="15" t="s">
        <v>2793</v>
      </c>
      <c r="CTA1" s="15" t="s">
        <v>2794</v>
      </c>
      <c r="CTB1" s="15" t="s">
        <v>2795</v>
      </c>
      <c r="CTC1" s="15" t="s">
        <v>2796</v>
      </c>
      <c r="CTD1" s="15" t="s">
        <v>2797</v>
      </c>
      <c r="CTE1" s="15" t="s">
        <v>2798</v>
      </c>
      <c r="CTF1" s="15" t="s">
        <v>2799</v>
      </c>
      <c r="CTG1" s="15" t="s">
        <v>2800</v>
      </c>
      <c r="CTH1" s="15" t="s">
        <v>2801</v>
      </c>
      <c r="CTI1" s="15" t="s">
        <v>2802</v>
      </c>
      <c r="CTJ1" s="15" t="s">
        <v>2803</v>
      </c>
      <c r="CTK1" s="15" t="s">
        <v>2804</v>
      </c>
      <c r="CTL1" s="15" t="s">
        <v>2805</v>
      </c>
      <c r="CTM1" s="15" t="s">
        <v>2806</v>
      </c>
      <c r="CTN1" s="15" t="s">
        <v>2807</v>
      </c>
      <c r="CTO1" s="15" t="s">
        <v>2808</v>
      </c>
      <c r="CTP1" s="15" t="s">
        <v>2809</v>
      </c>
      <c r="CTQ1" s="15" t="s">
        <v>2810</v>
      </c>
      <c r="CTR1" s="15" t="s">
        <v>2811</v>
      </c>
      <c r="CTS1" s="15" t="s">
        <v>2812</v>
      </c>
      <c r="CTT1" s="15" t="s">
        <v>2813</v>
      </c>
      <c r="CTU1" s="15" t="s">
        <v>2814</v>
      </c>
      <c r="CTV1" s="15" t="s">
        <v>2815</v>
      </c>
      <c r="CTW1" s="15" t="s">
        <v>2816</v>
      </c>
      <c r="CTX1" s="15" t="s">
        <v>2817</v>
      </c>
      <c r="CTY1" s="15" t="s">
        <v>2818</v>
      </c>
      <c r="CTZ1" s="15" t="s">
        <v>2819</v>
      </c>
      <c r="CUA1" s="15" t="s">
        <v>2820</v>
      </c>
      <c r="CUB1" s="15" t="s">
        <v>2821</v>
      </c>
      <c r="CUC1" s="15" t="s">
        <v>2822</v>
      </c>
      <c r="CUD1" s="15" t="s">
        <v>2823</v>
      </c>
      <c r="CUE1" s="15" t="s">
        <v>2824</v>
      </c>
      <c r="CUF1" s="15" t="s">
        <v>2825</v>
      </c>
      <c r="CUG1" s="15" t="s">
        <v>2826</v>
      </c>
      <c r="CUH1" s="15" t="s">
        <v>2827</v>
      </c>
      <c r="CUI1" s="15" t="s">
        <v>2828</v>
      </c>
      <c r="CUJ1" s="15" t="s">
        <v>2829</v>
      </c>
      <c r="CUK1" s="15" t="s">
        <v>2830</v>
      </c>
      <c r="CUL1" s="15" t="s">
        <v>2831</v>
      </c>
      <c r="CUM1" s="15" t="s">
        <v>2832</v>
      </c>
      <c r="CUN1" s="15" t="s">
        <v>2833</v>
      </c>
      <c r="CUO1" s="15" t="s">
        <v>2834</v>
      </c>
      <c r="CUP1" s="15" t="s">
        <v>2835</v>
      </c>
      <c r="CUQ1" s="15" t="s">
        <v>2836</v>
      </c>
      <c r="CUR1" s="15" t="s">
        <v>2837</v>
      </c>
      <c r="CUS1" s="15" t="s">
        <v>2838</v>
      </c>
      <c r="CUT1" s="15" t="s">
        <v>2839</v>
      </c>
      <c r="CUU1" s="15" t="s">
        <v>2840</v>
      </c>
      <c r="CUV1" s="15" t="s">
        <v>2841</v>
      </c>
      <c r="CUW1" s="15" t="s">
        <v>2842</v>
      </c>
      <c r="CUX1" s="15" t="s">
        <v>2843</v>
      </c>
      <c r="CUY1" s="15" t="s">
        <v>2844</v>
      </c>
      <c r="CUZ1" s="15" t="s">
        <v>2845</v>
      </c>
      <c r="CVA1" s="15" t="s">
        <v>2846</v>
      </c>
      <c r="CVB1" s="15" t="s">
        <v>2847</v>
      </c>
      <c r="CVC1" s="15" t="s">
        <v>2848</v>
      </c>
      <c r="CVD1" s="15" t="s">
        <v>2849</v>
      </c>
      <c r="CVE1" s="15" t="s">
        <v>2850</v>
      </c>
      <c r="CVF1" s="15" t="s">
        <v>2851</v>
      </c>
      <c r="CVG1" s="15" t="s">
        <v>2852</v>
      </c>
      <c r="CVH1" s="15" t="s">
        <v>2853</v>
      </c>
      <c r="CVI1" s="15" t="s">
        <v>2854</v>
      </c>
      <c r="CVJ1" s="15" t="s">
        <v>2855</v>
      </c>
      <c r="CVK1" s="15" t="s">
        <v>2856</v>
      </c>
      <c r="CVL1" s="15" t="s">
        <v>2857</v>
      </c>
      <c r="CVM1" s="15" t="s">
        <v>2858</v>
      </c>
      <c r="CVN1" s="15" t="s">
        <v>2859</v>
      </c>
      <c r="CVO1" s="15" t="s">
        <v>2860</v>
      </c>
      <c r="CVP1" s="15" t="s">
        <v>2861</v>
      </c>
      <c r="CVQ1" s="15" t="s">
        <v>2862</v>
      </c>
      <c r="CVR1" s="15" t="s">
        <v>2863</v>
      </c>
      <c r="CVS1" s="15" t="s">
        <v>2864</v>
      </c>
      <c r="CVT1" s="15" t="s">
        <v>2865</v>
      </c>
      <c r="CVU1" s="15" t="s">
        <v>2866</v>
      </c>
      <c r="CVV1" s="15" t="s">
        <v>2867</v>
      </c>
      <c r="CVW1" s="15" t="s">
        <v>2868</v>
      </c>
      <c r="CVX1" s="15" t="s">
        <v>2869</v>
      </c>
      <c r="CVY1" s="15" t="s">
        <v>2870</v>
      </c>
      <c r="CVZ1" s="15" t="s">
        <v>2871</v>
      </c>
      <c r="CWA1" s="15" t="s">
        <v>2872</v>
      </c>
      <c r="CWB1" s="15" t="s">
        <v>2873</v>
      </c>
      <c r="CWC1" s="15" t="s">
        <v>2874</v>
      </c>
      <c r="CWD1" s="15" t="s">
        <v>2875</v>
      </c>
      <c r="CWE1" s="15" t="s">
        <v>2876</v>
      </c>
      <c r="CWF1" s="15" t="s">
        <v>2877</v>
      </c>
      <c r="CWG1" s="15" t="s">
        <v>2878</v>
      </c>
      <c r="CWH1" s="15" t="s">
        <v>2879</v>
      </c>
      <c r="CWI1" s="15" t="s">
        <v>2880</v>
      </c>
      <c r="CWJ1" s="15" t="s">
        <v>2881</v>
      </c>
      <c r="CWK1" s="15" t="s">
        <v>2882</v>
      </c>
      <c r="CWL1" s="15" t="s">
        <v>2883</v>
      </c>
      <c r="CWM1" s="15" t="s">
        <v>2884</v>
      </c>
      <c r="CWN1" s="15" t="s">
        <v>2885</v>
      </c>
      <c r="CWO1" s="15" t="s">
        <v>2886</v>
      </c>
      <c r="CWP1" s="15" t="s">
        <v>2887</v>
      </c>
      <c r="CWQ1" s="15" t="s">
        <v>2888</v>
      </c>
      <c r="CWR1" s="15" t="s">
        <v>2889</v>
      </c>
      <c r="CWS1" s="15" t="s">
        <v>2890</v>
      </c>
      <c r="CWT1" s="15" t="s">
        <v>2891</v>
      </c>
      <c r="CWU1" s="15" t="s">
        <v>2892</v>
      </c>
      <c r="CWV1" s="15" t="s">
        <v>2893</v>
      </c>
      <c r="CWW1" s="15" t="s">
        <v>2894</v>
      </c>
      <c r="CWX1" s="15" t="s">
        <v>2895</v>
      </c>
      <c r="CWY1" s="15" t="s">
        <v>2896</v>
      </c>
      <c r="CWZ1" s="15" t="s">
        <v>2897</v>
      </c>
      <c r="CXA1" s="15" t="s">
        <v>2898</v>
      </c>
      <c r="CXB1" s="15" t="s">
        <v>2899</v>
      </c>
      <c r="CXC1" s="15" t="s">
        <v>2900</v>
      </c>
      <c r="CXD1" s="15" t="s">
        <v>2901</v>
      </c>
      <c r="CXE1" s="15" t="s">
        <v>2902</v>
      </c>
      <c r="CXF1" s="15" t="s">
        <v>2903</v>
      </c>
      <c r="CXG1" s="15" t="s">
        <v>2904</v>
      </c>
      <c r="CXH1" s="15" t="s">
        <v>2905</v>
      </c>
      <c r="CXI1" s="15" t="s">
        <v>2906</v>
      </c>
      <c r="CXJ1" s="15" t="s">
        <v>2907</v>
      </c>
      <c r="CXK1" s="15" t="s">
        <v>2908</v>
      </c>
      <c r="CXL1" s="15" t="s">
        <v>2909</v>
      </c>
      <c r="CXM1" s="15" t="s">
        <v>2910</v>
      </c>
      <c r="CXN1" s="15" t="s">
        <v>2911</v>
      </c>
      <c r="CXO1" s="15" t="s">
        <v>2912</v>
      </c>
      <c r="CXP1" s="15" t="s">
        <v>2913</v>
      </c>
      <c r="CXQ1" s="15" t="s">
        <v>2914</v>
      </c>
      <c r="CXR1" s="15" t="s">
        <v>2915</v>
      </c>
      <c r="CXS1" s="15" t="s">
        <v>2916</v>
      </c>
      <c r="CXT1" s="15" t="s">
        <v>2917</v>
      </c>
      <c r="CXU1" s="15" t="s">
        <v>2918</v>
      </c>
      <c r="CXV1" s="15" t="s">
        <v>2919</v>
      </c>
      <c r="CXW1" s="15" t="s">
        <v>2920</v>
      </c>
      <c r="CXX1" s="15" t="s">
        <v>2921</v>
      </c>
      <c r="CXY1" s="15" t="s">
        <v>2922</v>
      </c>
      <c r="CXZ1" s="15" t="s">
        <v>2923</v>
      </c>
      <c r="CYA1" s="15" t="s">
        <v>2924</v>
      </c>
      <c r="CYB1" s="15" t="s">
        <v>2925</v>
      </c>
      <c r="CYC1" s="15" t="s">
        <v>2926</v>
      </c>
      <c r="CYD1" s="15" t="s">
        <v>2927</v>
      </c>
      <c r="CYE1" s="15" t="s">
        <v>2928</v>
      </c>
      <c r="CYF1" s="15" t="s">
        <v>2929</v>
      </c>
      <c r="CYG1" s="15" t="s">
        <v>2930</v>
      </c>
      <c r="CYH1" s="15" t="s">
        <v>2931</v>
      </c>
      <c r="CYI1" s="15" t="s">
        <v>2932</v>
      </c>
      <c r="CYJ1" s="15" t="s">
        <v>2933</v>
      </c>
      <c r="CYK1" s="15" t="s">
        <v>2934</v>
      </c>
      <c r="CYL1" s="15" t="s">
        <v>2935</v>
      </c>
      <c r="CYM1" s="15" t="s">
        <v>2936</v>
      </c>
      <c r="CYN1" s="15" t="s">
        <v>2937</v>
      </c>
      <c r="CYO1" s="15" t="s">
        <v>2938</v>
      </c>
      <c r="CYP1" s="15" t="s">
        <v>2939</v>
      </c>
      <c r="CYQ1" s="15" t="s">
        <v>2940</v>
      </c>
      <c r="CYR1" s="15" t="s">
        <v>2941</v>
      </c>
      <c r="CYS1" s="15" t="s">
        <v>2942</v>
      </c>
      <c r="CYT1" s="15" t="s">
        <v>2943</v>
      </c>
      <c r="CYU1" s="15" t="s">
        <v>2944</v>
      </c>
      <c r="CYV1" s="15" t="s">
        <v>2945</v>
      </c>
      <c r="CYW1" s="15" t="s">
        <v>2946</v>
      </c>
      <c r="CYX1" s="15" t="s">
        <v>2947</v>
      </c>
      <c r="CYY1" s="15" t="s">
        <v>2948</v>
      </c>
      <c r="CYZ1" s="15" t="s">
        <v>2949</v>
      </c>
      <c r="CZA1" s="15" t="s">
        <v>2950</v>
      </c>
      <c r="CZB1" s="15" t="s">
        <v>2951</v>
      </c>
      <c r="CZC1" s="15" t="s">
        <v>2952</v>
      </c>
      <c r="CZD1" s="15" t="s">
        <v>2953</v>
      </c>
      <c r="CZE1" s="15" t="s">
        <v>2954</v>
      </c>
      <c r="CZF1" s="15" t="s">
        <v>2955</v>
      </c>
      <c r="CZG1" s="15" t="s">
        <v>2956</v>
      </c>
      <c r="CZH1" s="15" t="s">
        <v>2957</v>
      </c>
      <c r="CZI1" s="15" t="s">
        <v>2958</v>
      </c>
      <c r="CZJ1" s="15" t="s">
        <v>2959</v>
      </c>
      <c r="CZK1" s="15" t="s">
        <v>2960</v>
      </c>
      <c r="CZL1" s="15" t="s">
        <v>2961</v>
      </c>
      <c r="CZM1" s="15" t="s">
        <v>2962</v>
      </c>
      <c r="CZN1" s="15" t="s">
        <v>2963</v>
      </c>
      <c r="CZO1" s="15" t="s">
        <v>2964</v>
      </c>
      <c r="CZP1" s="15" t="s">
        <v>2965</v>
      </c>
      <c r="CZQ1" s="15" t="s">
        <v>2966</v>
      </c>
      <c r="CZR1" s="15" t="s">
        <v>2967</v>
      </c>
      <c r="CZS1" s="15" t="s">
        <v>2968</v>
      </c>
      <c r="CZT1" s="15" t="s">
        <v>2969</v>
      </c>
      <c r="CZU1" s="15" t="s">
        <v>2970</v>
      </c>
      <c r="CZV1" s="15" t="s">
        <v>2971</v>
      </c>
      <c r="CZW1" s="15" t="s">
        <v>2972</v>
      </c>
      <c r="CZX1" s="15" t="s">
        <v>2973</v>
      </c>
      <c r="CZY1" s="15" t="s">
        <v>2974</v>
      </c>
      <c r="CZZ1" s="15" t="s">
        <v>2975</v>
      </c>
      <c r="DAA1" s="15" t="s">
        <v>2976</v>
      </c>
      <c r="DAB1" s="15" t="s">
        <v>2977</v>
      </c>
      <c r="DAC1" s="15" t="s">
        <v>2978</v>
      </c>
      <c r="DAD1" s="15" t="s">
        <v>2979</v>
      </c>
      <c r="DAE1" s="15" t="s">
        <v>2980</v>
      </c>
      <c r="DAF1" s="15" t="s">
        <v>2981</v>
      </c>
      <c r="DAG1" s="15" t="s">
        <v>2982</v>
      </c>
      <c r="DAH1" s="15" t="s">
        <v>2983</v>
      </c>
      <c r="DAI1" s="15" t="s">
        <v>2984</v>
      </c>
      <c r="DAJ1" s="15" t="s">
        <v>2985</v>
      </c>
      <c r="DAK1" s="15" t="s">
        <v>2986</v>
      </c>
      <c r="DAL1" s="15" t="s">
        <v>2987</v>
      </c>
      <c r="DAM1" s="15" t="s">
        <v>2988</v>
      </c>
      <c r="DAN1" s="15" t="s">
        <v>2989</v>
      </c>
      <c r="DAO1" s="15" t="s">
        <v>2990</v>
      </c>
      <c r="DAP1" s="15" t="s">
        <v>2991</v>
      </c>
      <c r="DAQ1" s="15" t="s">
        <v>2992</v>
      </c>
      <c r="DAR1" s="15" t="s">
        <v>2993</v>
      </c>
      <c r="DAS1" s="15" t="s">
        <v>2994</v>
      </c>
      <c r="DAT1" s="15" t="s">
        <v>2995</v>
      </c>
      <c r="DAU1" s="15" t="s">
        <v>2996</v>
      </c>
      <c r="DAV1" s="15" t="s">
        <v>2997</v>
      </c>
      <c r="DAW1" s="15" t="s">
        <v>2998</v>
      </c>
      <c r="DAX1" s="15" t="s">
        <v>2999</v>
      </c>
      <c r="DAY1" s="15" t="s">
        <v>3000</v>
      </c>
      <c r="DAZ1" s="15" t="s">
        <v>3001</v>
      </c>
      <c r="DBA1" s="15" t="s">
        <v>3002</v>
      </c>
      <c r="DBB1" s="15" t="s">
        <v>3003</v>
      </c>
      <c r="DBC1" s="15" t="s">
        <v>3004</v>
      </c>
      <c r="DBD1" s="15" t="s">
        <v>3005</v>
      </c>
      <c r="DBE1" s="15" t="s">
        <v>3006</v>
      </c>
      <c r="DBF1" s="15" t="s">
        <v>3007</v>
      </c>
      <c r="DBG1" s="15" t="s">
        <v>3008</v>
      </c>
      <c r="DBH1" s="15" t="s">
        <v>3009</v>
      </c>
      <c r="DBI1" s="15" t="s">
        <v>3010</v>
      </c>
      <c r="DBJ1" s="15" t="s">
        <v>3011</v>
      </c>
      <c r="DBK1" s="15" t="s">
        <v>3012</v>
      </c>
      <c r="DBL1" s="15" t="s">
        <v>3013</v>
      </c>
      <c r="DBM1" s="15" t="s">
        <v>3014</v>
      </c>
      <c r="DBN1" s="15" t="s">
        <v>3015</v>
      </c>
      <c r="DBO1" s="15" t="s">
        <v>3016</v>
      </c>
      <c r="DBP1" s="15" t="s">
        <v>3017</v>
      </c>
      <c r="DBQ1" s="15" t="s">
        <v>3018</v>
      </c>
      <c r="DBR1" s="15" t="s">
        <v>3019</v>
      </c>
      <c r="DBS1" s="15" t="s">
        <v>3020</v>
      </c>
      <c r="DBT1" s="15" t="s">
        <v>3021</v>
      </c>
      <c r="DBU1" s="15" t="s">
        <v>3022</v>
      </c>
      <c r="DBV1" s="15" t="s">
        <v>3023</v>
      </c>
      <c r="DBW1" s="15" t="s">
        <v>3024</v>
      </c>
      <c r="DBX1" s="15" t="s">
        <v>3025</v>
      </c>
      <c r="DBY1" s="15" t="s">
        <v>3026</v>
      </c>
      <c r="DBZ1" s="15" t="s">
        <v>3027</v>
      </c>
      <c r="DCA1" s="15" t="s">
        <v>3028</v>
      </c>
      <c r="DCB1" s="15" t="s">
        <v>3029</v>
      </c>
      <c r="DCC1" s="15" t="s">
        <v>3030</v>
      </c>
      <c r="DCD1" s="15" t="s">
        <v>3031</v>
      </c>
      <c r="DCE1" s="15" t="s">
        <v>3032</v>
      </c>
      <c r="DCF1" s="15" t="s">
        <v>3033</v>
      </c>
      <c r="DCG1" s="15" t="s">
        <v>3034</v>
      </c>
      <c r="DCH1" s="15" t="s">
        <v>3035</v>
      </c>
      <c r="DCI1" s="15" t="s">
        <v>3036</v>
      </c>
      <c r="DCJ1" s="15" t="s">
        <v>3037</v>
      </c>
      <c r="DCK1" s="15" t="s">
        <v>3038</v>
      </c>
      <c r="DCL1" s="15" t="s">
        <v>3039</v>
      </c>
      <c r="DCM1" s="15" t="s">
        <v>3040</v>
      </c>
      <c r="DCN1" s="15" t="s">
        <v>3041</v>
      </c>
      <c r="DCO1" s="15" t="s">
        <v>3042</v>
      </c>
      <c r="DCP1" s="15" t="s">
        <v>3043</v>
      </c>
      <c r="DCQ1" s="15" t="s">
        <v>3044</v>
      </c>
      <c r="DCR1" s="15" t="s">
        <v>3045</v>
      </c>
      <c r="DCS1" s="15" t="s">
        <v>3046</v>
      </c>
      <c r="DCT1" s="15" t="s">
        <v>3047</v>
      </c>
      <c r="DCU1" s="15" t="s">
        <v>3048</v>
      </c>
      <c r="DCV1" s="15" t="s">
        <v>3049</v>
      </c>
      <c r="DCW1" s="15" t="s">
        <v>3050</v>
      </c>
      <c r="DCX1" s="15" t="s">
        <v>3051</v>
      </c>
      <c r="DCY1" s="15" t="s">
        <v>3052</v>
      </c>
      <c r="DCZ1" s="15" t="s">
        <v>3053</v>
      </c>
      <c r="DDA1" s="15" t="s">
        <v>3054</v>
      </c>
      <c r="DDB1" s="15" t="s">
        <v>3055</v>
      </c>
      <c r="DDC1" s="15" t="s">
        <v>3056</v>
      </c>
      <c r="DDD1" s="15" t="s">
        <v>3057</v>
      </c>
      <c r="DDE1" s="15" t="s">
        <v>3058</v>
      </c>
      <c r="DDF1" s="15" t="s">
        <v>3059</v>
      </c>
      <c r="DDG1" s="15" t="s">
        <v>3060</v>
      </c>
      <c r="DDH1" s="15" t="s">
        <v>3061</v>
      </c>
      <c r="DDI1" s="15" t="s">
        <v>3062</v>
      </c>
      <c r="DDJ1" s="15" t="s">
        <v>3063</v>
      </c>
      <c r="DDK1" s="15" t="s">
        <v>3064</v>
      </c>
      <c r="DDL1" s="15" t="s">
        <v>3065</v>
      </c>
      <c r="DDM1" s="15" t="s">
        <v>3066</v>
      </c>
      <c r="DDN1" s="15" t="s">
        <v>3067</v>
      </c>
      <c r="DDO1" s="15" t="s">
        <v>3068</v>
      </c>
      <c r="DDP1" s="15" t="s">
        <v>3069</v>
      </c>
      <c r="DDQ1" s="15" t="s">
        <v>3070</v>
      </c>
      <c r="DDR1" s="15" t="s">
        <v>3071</v>
      </c>
      <c r="DDS1" s="15" t="s">
        <v>3072</v>
      </c>
      <c r="DDT1" s="15" t="s">
        <v>3073</v>
      </c>
      <c r="DDU1" s="15" t="s">
        <v>3074</v>
      </c>
      <c r="DDV1" s="15" t="s">
        <v>3075</v>
      </c>
      <c r="DDW1" s="15" t="s">
        <v>3076</v>
      </c>
      <c r="DDX1" s="15" t="s">
        <v>3077</v>
      </c>
      <c r="DDY1" s="15" t="s">
        <v>3078</v>
      </c>
      <c r="DDZ1" s="15" t="s">
        <v>3079</v>
      </c>
      <c r="DEA1" s="15" t="s">
        <v>3080</v>
      </c>
      <c r="DEB1" s="15" t="s">
        <v>3081</v>
      </c>
      <c r="DEC1" s="15" t="s">
        <v>3082</v>
      </c>
      <c r="DED1" s="15" t="s">
        <v>3083</v>
      </c>
      <c r="DEE1" s="15" t="s">
        <v>3084</v>
      </c>
      <c r="DEF1" s="15" t="s">
        <v>3085</v>
      </c>
      <c r="DEG1" s="15" t="s">
        <v>3086</v>
      </c>
      <c r="DEH1" s="15" t="s">
        <v>3087</v>
      </c>
      <c r="DEI1" s="15" t="s">
        <v>3088</v>
      </c>
      <c r="DEJ1" s="15" t="s">
        <v>3089</v>
      </c>
      <c r="DEK1" s="15" t="s">
        <v>3090</v>
      </c>
      <c r="DEL1" s="15" t="s">
        <v>3091</v>
      </c>
      <c r="DEM1" s="15" t="s">
        <v>3092</v>
      </c>
      <c r="DEN1" s="15" t="s">
        <v>3093</v>
      </c>
      <c r="DEO1" s="15" t="s">
        <v>3094</v>
      </c>
      <c r="DEP1" s="15" t="s">
        <v>3095</v>
      </c>
      <c r="DEQ1" s="15" t="s">
        <v>3096</v>
      </c>
      <c r="DER1" s="15" t="s">
        <v>3097</v>
      </c>
      <c r="DES1" s="15" t="s">
        <v>3098</v>
      </c>
      <c r="DET1" s="15" t="s">
        <v>3099</v>
      </c>
      <c r="DEU1" s="15" t="s">
        <v>3100</v>
      </c>
      <c r="DEV1" s="15" t="s">
        <v>3101</v>
      </c>
      <c r="DEW1" s="15" t="s">
        <v>3102</v>
      </c>
      <c r="DEX1" s="15" t="s">
        <v>3103</v>
      </c>
      <c r="DEY1" s="15" t="s">
        <v>3104</v>
      </c>
      <c r="DEZ1" s="15" t="s">
        <v>3105</v>
      </c>
      <c r="DFA1" s="15" t="s">
        <v>3106</v>
      </c>
      <c r="DFB1" s="15" t="s">
        <v>3107</v>
      </c>
      <c r="DFC1" s="15" t="s">
        <v>3108</v>
      </c>
      <c r="DFD1" s="15" t="s">
        <v>3109</v>
      </c>
      <c r="DFE1" s="15" t="s">
        <v>3110</v>
      </c>
      <c r="DFF1" s="15" t="s">
        <v>3111</v>
      </c>
      <c r="DFG1" s="15" t="s">
        <v>3112</v>
      </c>
      <c r="DFH1" s="15" t="s">
        <v>3113</v>
      </c>
      <c r="DFI1" s="15" t="s">
        <v>3114</v>
      </c>
      <c r="DFJ1" s="15" t="s">
        <v>3115</v>
      </c>
      <c r="DFK1" s="15" t="s">
        <v>3116</v>
      </c>
      <c r="DFL1" s="15" t="s">
        <v>3117</v>
      </c>
      <c r="DFM1" s="15" t="s">
        <v>3118</v>
      </c>
      <c r="DFN1" s="15" t="s">
        <v>3119</v>
      </c>
      <c r="DFO1" s="15" t="s">
        <v>3120</v>
      </c>
      <c r="DFP1" s="15" t="s">
        <v>3121</v>
      </c>
      <c r="DFQ1" s="15" t="s">
        <v>3122</v>
      </c>
      <c r="DFR1" s="15" t="s">
        <v>3123</v>
      </c>
      <c r="DFS1" s="15" t="s">
        <v>3124</v>
      </c>
      <c r="DFT1" s="15" t="s">
        <v>3125</v>
      </c>
      <c r="DFU1" s="15" t="s">
        <v>3126</v>
      </c>
      <c r="DFV1" s="15" t="s">
        <v>3127</v>
      </c>
      <c r="DFW1" s="15" t="s">
        <v>3128</v>
      </c>
      <c r="DFX1" s="15" t="s">
        <v>3129</v>
      </c>
      <c r="DFY1" s="15" t="s">
        <v>3130</v>
      </c>
      <c r="DFZ1" s="15" t="s">
        <v>3131</v>
      </c>
      <c r="DGA1" s="15" t="s">
        <v>3132</v>
      </c>
      <c r="DGB1" s="15" t="s">
        <v>3133</v>
      </c>
      <c r="DGC1" s="15" t="s">
        <v>3134</v>
      </c>
      <c r="DGD1" s="15" t="s">
        <v>3135</v>
      </c>
      <c r="DGE1" s="15" t="s">
        <v>3136</v>
      </c>
      <c r="DGF1" s="15" t="s">
        <v>3137</v>
      </c>
      <c r="DGG1" s="15" t="s">
        <v>3138</v>
      </c>
      <c r="DGH1" s="15" t="s">
        <v>3139</v>
      </c>
      <c r="DGI1" s="15" t="s">
        <v>3140</v>
      </c>
      <c r="DGJ1" s="15" t="s">
        <v>3141</v>
      </c>
      <c r="DGK1" s="15" t="s">
        <v>3142</v>
      </c>
      <c r="DGL1" s="15" t="s">
        <v>3143</v>
      </c>
      <c r="DGM1" s="15" t="s">
        <v>3144</v>
      </c>
      <c r="DGN1" s="15" t="s">
        <v>3145</v>
      </c>
      <c r="DGO1" s="15" t="s">
        <v>3146</v>
      </c>
      <c r="DGP1" s="15" t="s">
        <v>3147</v>
      </c>
      <c r="DGQ1" s="15" t="s">
        <v>3148</v>
      </c>
      <c r="DGR1" s="15" t="s">
        <v>3149</v>
      </c>
      <c r="DGS1" s="15" t="s">
        <v>3150</v>
      </c>
      <c r="DGT1" s="15" t="s">
        <v>3151</v>
      </c>
      <c r="DGU1" s="15" t="s">
        <v>3152</v>
      </c>
      <c r="DGV1" s="15" t="s">
        <v>3153</v>
      </c>
      <c r="DGW1" s="15" t="s">
        <v>3154</v>
      </c>
      <c r="DGX1" s="15" t="s">
        <v>3155</v>
      </c>
      <c r="DGY1" s="15" t="s">
        <v>3156</v>
      </c>
      <c r="DGZ1" s="15" t="s">
        <v>3157</v>
      </c>
      <c r="DHA1" s="15" t="s">
        <v>3158</v>
      </c>
      <c r="DHB1" s="15" t="s">
        <v>3159</v>
      </c>
      <c r="DHC1" s="15" t="s">
        <v>3160</v>
      </c>
      <c r="DHD1" s="15" t="s">
        <v>3161</v>
      </c>
      <c r="DHE1" s="15" t="s">
        <v>3162</v>
      </c>
      <c r="DHF1" s="15" t="s">
        <v>3163</v>
      </c>
      <c r="DHG1" s="15" t="s">
        <v>3164</v>
      </c>
      <c r="DHH1" s="15" t="s">
        <v>3165</v>
      </c>
      <c r="DHI1" s="15" t="s">
        <v>3166</v>
      </c>
      <c r="DHJ1" s="15" t="s">
        <v>3167</v>
      </c>
      <c r="DHK1" s="15" t="s">
        <v>3168</v>
      </c>
      <c r="DHL1" s="15" t="s">
        <v>3169</v>
      </c>
      <c r="DHM1" s="15" t="s">
        <v>3170</v>
      </c>
      <c r="DHN1" s="15" t="s">
        <v>3171</v>
      </c>
      <c r="DHO1" s="15" t="s">
        <v>3172</v>
      </c>
      <c r="DHP1" s="15" t="s">
        <v>3173</v>
      </c>
      <c r="DHQ1" s="15" t="s">
        <v>3174</v>
      </c>
      <c r="DHR1" s="15" t="s">
        <v>3175</v>
      </c>
      <c r="DHS1" s="15" t="s">
        <v>3176</v>
      </c>
      <c r="DHT1" s="15" t="s">
        <v>3177</v>
      </c>
      <c r="DHU1" s="15" t="s">
        <v>3178</v>
      </c>
      <c r="DHV1" s="15" t="s">
        <v>3179</v>
      </c>
      <c r="DHW1" s="15" t="s">
        <v>3180</v>
      </c>
      <c r="DHX1" s="15" t="s">
        <v>3181</v>
      </c>
      <c r="DHY1" s="15" t="s">
        <v>3182</v>
      </c>
      <c r="DHZ1" s="15" t="s">
        <v>3183</v>
      </c>
      <c r="DIA1" s="15" t="s">
        <v>3184</v>
      </c>
      <c r="DIB1" s="15" t="s">
        <v>3185</v>
      </c>
      <c r="DIC1" s="15" t="s">
        <v>3186</v>
      </c>
      <c r="DID1" s="15" t="s">
        <v>3187</v>
      </c>
      <c r="DIE1" s="15" t="s">
        <v>3188</v>
      </c>
      <c r="DIF1" s="15" t="s">
        <v>3189</v>
      </c>
      <c r="DIG1" s="15" t="s">
        <v>3190</v>
      </c>
      <c r="DIH1" s="15" t="s">
        <v>3191</v>
      </c>
      <c r="DII1" s="15" t="s">
        <v>3192</v>
      </c>
      <c r="DIJ1" s="15" t="s">
        <v>3193</v>
      </c>
      <c r="DIK1" s="15" t="s">
        <v>3194</v>
      </c>
      <c r="DIL1" s="15" t="s">
        <v>3195</v>
      </c>
      <c r="DIM1" s="15" t="s">
        <v>3196</v>
      </c>
      <c r="DIN1" s="15" t="s">
        <v>3197</v>
      </c>
      <c r="DIO1" s="15" t="s">
        <v>3198</v>
      </c>
      <c r="DIP1" s="15" t="s">
        <v>3199</v>
      </c>
      <c r="DIQ1" s="15" t="s">
        <v>3200</v>
      </c>
      <c r="DIR1" s="15" t="s">
        <v>3201</v>
      </c>
      <c r="DIS1" s="15" t="s">
        <v>3202</v>
      </c>
      <c r="DIT1" s="15" t="s">
        <v>3203</v>
      </c>
      <c r="DIU1" s="15" t="s">
        <v>3204</v>
      </c>
      <c r="DIV1" s="15" t="s">
        <v>3205</v>
      </c>
      <c r="DIW1" s="15" t="s">
        <v>3206</v>
      </c>
      <c r="DIX1" s="15" t="s">
        <v>3207</v>
      </c>
      <c r="DIY1" s="15" t="s">
        <v>3208</v>
      </c>
      <c r="DIZ1" s="15" t="s">
        <v>3209</v>
      </c>
      <c r="DJA1" s="15" t="s">
        <v>3210</v>
      </c>
      <c r="DJB1" s="15" t="s">
        <v>3211</v>
      </c>
      <c r="DJC1" s="15" t="s">
        <v>3212</v>
      </c>
      <c r="DJD1" s="15" t="s">
        <v>3213</v>
      </c>
      <c r="DJE1" s="15" t="s">
        <v>3214</v>
      </c>
      <c r="DJF1" s="15" t="s">
        <v>3215</v>
      </c>
      <c r="DJG1" s="15" t="s">
        <v>3216</v>
      </c>
      <c r="DJH1" s="15" t="s">
        <v>3217</v>
      </c>
      <c r="DJI1" s="15" t="s">
        <v>3218</v>
      </c>
      <c r="DJJ1" s="15" t="s">
        <v>3219</v>
      </c>
      <c r="DJK1" s="15" t="s">
        <v>3220</v>
      </c>
      <c r="DJL1" s="15" t="s">
        <v>3221</v>
      </c>
      <c r="DJM1" s="15" t="s">
        <v>3222</v>
      </c>
      <c r="DJN1" s="15" t="s">
        <v>3223</v>
      </c>
      <c r="DJO1" s="15" t="s">
        <v>3224</v>
      </c>
      <c r="DJP1" s="15" t="s">
        <v>3225</v>
      </c>
      <c r="DJQ1" s="15" t="s">
        <v>3226</v>
      </c>
      <c r="DJR1" s="15" t="s">
        <v>3227</v>
      </c>
      <c r="DJS1" s="15" t="s">
        <v>3228</v>
      </c>
      <c r="DJT1" s="15" t="s">
        <v>3229</v>
      </c>
      <c r="DJU1" s="15" t="s">
        <v>3230</v>
      </c>
      <c r="DJV1" s="15" t="s">
        <v>3231</v>
      </c>
      <c r="DJW1" s="15" t="s">
        <v>3232</v>
      </c>
      <c r="DJX1" s="15" t="s">
        <v>3233</v>
      </c>
      <c r="DJY1" s="15" t="s">
        <v>3234</v>
      </c>
      <c r="DJZ1" s="15" t="s">
        <v>3235</v>
      </c>
      <c r="DKA1" s="15" t="s">
        <v>3236</v>
      </c>
      <c r="DKB1" s="15" t="s">
        <v>3237</v>
      </c>
      <c r="DKC1" s="15" t="s">
        <v>3238</v>
      </c>
      <c r="DKD1" s="15" t="s">
        <v>3239</v>
      </c>
      <c r="DKE1" s="15" t="s">
        <v>3240</v>
      </c>
      <c r="DKF1" s="15" t="s">
        <v>3241</v>
      </c>
      <c r="DKG1" s="15" t="s">
        <v>3242</v>
      </c>
      <c r="DKH1" s="15" t="s">
        <v>3243</v>
      </c>
      <c r="DKI1" s="15" t="s">
        <v>3244</v>
      </c>
      <c r="DKJ1" s="15" t="s">
        <v>3245</v>
      </c>
      <c r="DKK1" s="15" t="s">
        <v>3246</v>
      </c>
      <c r="DKL1" s="15" t="s">
        <v>3247</v>
      </c>
      <c r="DKM1" s="15" t="s">
        <v>3248</v>
      </c>
      <c r="DKN1" s="15" t="s">
        <v>3249</v>
      </c>
      <c r="DKO1" s="15" t="s">
        <v>3250</v>
      </c>
      <c r="DKP1" s="15" t="s">
        <v>3251</v>
      </c>
      <c r="DKQ1" s="15" t="s">
        <v>3252</v>
      </c>
      <c r="DKR1" s="15" t="s">
        <v>3253</v>
      </c>
      <c r="DKS1" s="15" t="s">
        <v>3254</v>
      </c>
      <c r="DKT1" s="15" t="s">
        <v>3255</v>
      </c>
      <c r="DKU1" s="15" t="s">
        <v>3256</v>
      </c>
      <c r="DKV1" s="15" t="s">
        <v>3257</v>
      </c>
      <c r="DKW1" s="15" t="s">
        <v>3258</v>
      </c>
      <c r="DKX1" s="15" t="s">
        <v>3259</v>
      </c>
      <c r="DKY1" s="15" t="s">
        <v>3260</v>
      </c>
      <c r="DKZ1" s="15" t="s">
        <v>3261</v>
      </c>
      <c r="DLA1" s="15" t="s">
        <v>3262</v>
      </c>
      <c r="DLB1" s="15" t="s">
        <v>3263</v>
      </c>
      <c r="DLC1" s="15" t="s">
        <v>3264</v>
      </c>
      <c r="DLD1" s="15" t="s">
        <v>3265</v>
      </c>
      <c r="DLE1" s="15" t="s">
        <v>3266</v>
      </c>
      <c r="DLF1" s="15" t="s">
        <v>3267</v>
      </c>
      <c r="DLG1" s="15" t="s">
        <v>3268</v>
      </c>
      <c r="DLH1" s="15" t="s">
        <v>3269</v>
      </c>
      <c r="DLI1" s="15" t="s">
        <v>3270</v>
      </c>
      <c r="DLJ1" s="15" t="s">
        <v>3271</v>
      </c>
      <c r="DLK1" s="15" t="s">
        <v>3272</v>
      </c>
      <c r="DLL1" s="15" t="s">
        <v>3273</v>
      </c>
      <c r="DLM1" s="15" t="s">
        <v>3274</v>
      </c>
      <c r="DLN1" s="15" t="s">
        <v>3275</v>
      </c>
      <c r="DLO1" s="15" t="s">
        <v>3276</v>
      </c>
      <c r="DLP1" s="15" t="s">
        <v>3277</v>
      </c>
      <c r="DLQ1" s="15" t="s">
        <v>3278</v>
      </c>
      <c r="DLR1" s="15" t="s">
        <v>3279</v>
      </c>
      <c r="DLS1" s="15" t="s">
        <v>3280</v>
      </c>
      <c r="DLT1" s="15" t="s">
        <v>3281</v>
      </c>
      <c r="DLU1" s="15" t="s">
        <v>3282</v>
      </c>
      <c r="DLV1" s="15" t="s">
        <v>3283</v>
      </c>
      <c r="DLW1" s="15" t="s">
        <v>3284</v>
      </c>
      <c r="DLX1" s="15" t="s">
        <v>3285</v>
      </c>
      <c r="DLY1" s="15" t="s">
        <v>3286</v>
      </c>
      <c r="DLZ1" s="15" t="s">
        <v>3287</v>
      </c>
      <c r="DMA1" s="15" t="s">
        <v>3288</v>
      </c>
      <c r="DMB1" s="15" t="s">
        <v>3289</v>
      </c>
      <c r="DMC1" s="15" t="s">
        <v>3290</v>
      </c>
      <c r="DMD1" s="15" t="s">
        <v>3291</v>
      </c>
      <c r="DME1" s="15" t="s">
        <v>3292</v>
      </c>
      <c r="DMF1" s="15" t="s">
        <v>3293</v>
      </c>
      <c r="DMG1" s="15" t="s">
        <v>3294</v>
      </c>
      <c r="DMH1" s="15" t="s">
        <v>3295</v>
      </c>
      <c r="DMI1" s="15" t="s">
        <v>3296</v>
      </c>
      <c r="DMJ1" s="15" t="s">
        <v>3297</v>
      </c>
      <c r="DMK1" s="15" t="s">
        <v>3298</v>
      </c>
      <c r="DML1" s="15" t="s">
        <v>3299</v>
      </c>
      <c r="DMM1" s="15" t="s">
        <v>3300</v>
      </c>
      <c r="DMN1" s="15" t="s">
        <v>3301</v>
      </c>
      <c r="DMO1" s="15" t="s">
        <v>3302</v>
      </c>
      <c r="DMP1" s="15" t="s">
        <v>3303</v>
      </c>
      <c r="DMQ1" s="15" t="s">
        <v>3304</v>
      </c>
      <c r="DMR1" s="15" t="s">
        <v>3305</v>
      </c>
      <c r="DMS1" s="15" t="s">
        <v>3306</v>
      </c>
      <c r="DMT1" s="15" t="s">
        <v>3307</v>
      </c>
      <c r="DMU1" s="15" t="s">
        <v>3308</v>
      </c>
      <c r="DMV1" s="15" t="s">
        <v>3309</v>
      </c>
      <c r="DMW1" s="15" t="s">
        <v>3310</v>
      </c>
      <c r="DMX1" s="15" t="s">
        <v>3311</v>
      </c>
      <c r="DMY1" s="15" t="s">
        <v>3312</v>
      </c>
      <c r="DMZ1" s="15" t="s">
        <v>3313</v>
      </c>
      <c r="DNA1" s="15" t="s">
        <v>3314</v>
      </c>
      <c r="DNB1" s="15" t="s">
        <v>3315</v>
      </c>
      <c r="DNC1" s="15" t="s">
        <v>3316</v>
      </c>
      <c r="DND1" s="15" t="s">
        <v>3317</v>
      </c>
      <c r="DNE1" s="15" t="s">
        <v>3318</v>
      </c>
      <c r="DNF1" s="15" t="s">
        <v>3319</v>
      </c>
      <c r="DNG1" s="15" t="s">
        <v>3320</v>
      </c>
      <c r="DNH1" s="15" t="s">
        <v>3321</v>
      </c>
      <c r="DNI1" s="15" t="s">
        <v>3322</v>
      </c>
      <c r="DNJ1" s="15" t="s">
        <v>3323</v>
      </c>
      <c r="DNK1" s="15" t="s">
        <v>3324</v>
      </c>
      <c r="DNL1" s="15" t="s">
        <v>3325</v>
      </c>
      <c r="DNM1" s="15" t="s">
        <v>3326</v>
      </c>
      <c r="DNN1" s="15" t="s">
        <v>3327</v>
      </c>
      <c r="DNO1" s="15" t="s">
        <v>3328</v>
      </c>
      <c r="DNP1" s="15" t="s">
        <v>3329</v>
      </c>
      <c r="DNQ1" s="15" t="s">
        <v>3330</v>
      </c>
      <c r="DNR1" s="15" t="s">
        <v>3331</v>
      </c>
      <c r="DNS1" s="15" t="s">
        <v>3332</v>
      </c>
      <c r="DNT1" s="15" t="s">
        <v>3333</v>
      </c>
      <c r="DNU1" s="15" t="s">
        <v>3334</v>
      </c>
      <c r="DNV1" s="15" t="s">
        <v>3335</v>
      </c>
      <c r="DNW1" s="15" t="s">
        <v>3336</v>
      </c>
      <c r="DNX1" s="15" t="s">
        <v>3337</v>
      </c>
      <c r="DNY1" s="15" t="s">
        <v>3338</v>
      </c>
      <c r="DNZ1" s="15" t="s">
        <v>3339</v>
      </c>
      <c r="DOA1" s="15" t="s">
        <v>3340</v>
      </c>
      <c r="DOB1" s="15" t="s">
        <v>3341</v>
      </c>
      <c r="DOC1" s="15" t="s">
        <v>3342</v>
      </c>
      <c r="DOD1" s="15" t="s">
        <v>3343</v>
      </c>
      <c r="DOE1" s="15" t="s">
        <v>3344</v>
      </c>
      <c r="DOF1" s="15" t="s">
        <v>3345</v>
      </c>
      <c r="DOG1" s="15" t="s">
        <v>3346</v>
      </c>
      <c r="DOH1" s="15" t="s">
        <v>3347</v>
      </c>
      <c r="DOI1" s="15" t="s">
        <v>3348</v>
      </c>
      <c r="DOJ1" s="15" t="s">
        <v>3349</v>
      </c>
      <c r="DOK1" s="15" t="s">
        <v>3350</v>
      </c>
      <c r="DOL1" s="15" t="s">
        <v>3351</v>
      </c>
      <c r="DOM1" s="15" t="s">
        <v>3352</v>
      </c>
      <c r="DON1" s="15" t="s">
        <v>3353</v>
      </c>
      <c r="DOO1" s="15" t="s">
        <v>3354</v>
      </c>
      <c r="DOP1" s="15" t="s">
        <v>3355</v>
      </c>
      <c r="DOQ1" s="15" t="s">
        <v>3356</v>
      </c>
      <c r="DOR1" s="15" t="s">
        <v>3357</v>
      </c>
      <c r="DOS1" s="15" t="s">
        <v>3358</v>
      </c>
      <c r="DOT1" s="15" t="s">
        <v>3359</v>
      </c>
      <c r="DOU1" s="15" t="s">
        <v>3360</v>
      </c>
      <c r="DOV1" s="15" t="s">
        <v>3361</v>
      </c>
      <c r="DOW1" s="15" t="s">
        <v>3362</v>
      </c>
      <c r="DOX1" s="15" t="s">
        <v>3363</v>
      </c>
      <c r="DOY1" s="15" t="s">
        <v>3364</v>
      </c>
      <c r="DOZ1" s="15" t="s">
        <v>3365</v>
      </c>
      <c r="DPA1" s="15" t="s">
        <v>3366</v>
      </c>
      <c r="DPB1" s="15" t="s">
        <v>3367</v>
      </c>
      <c r="DPC1" s="15" t="s">
        <v>3368</v>
      </c>
      <c r="DPD1" s="15" t="s">
        <v>3369</v>
      </c>
      <c r="DPE1" s="15" t="s">
        <v>3370</v>
      </c>
      <c r="DPF1" s="15" t="s">
        <v>3371</v>
      </c>
      <c r="DPG1" s="15" t="s">
        <v>3372</v>
      </c>
      <c r="DPH1" s="15" t="s">
        <v>3373</v>
      </c>
      <c r="DPI1" s="15" t="s">
        <v>3374</v>
      </c>
      <c r="DPJ1" s="15" t="s">
        <v>3375</v>
      </c>
      <c r="DPK1" s="15" t="s">
        <v>3376</v>
      </c>
      <c r="DPL1" s="15" t="s">
        <v>3377</v>
      </c>
      <c r="DPM1" s="15" t="s">
        <v>3378</v>
      </c>
      <c r="DPN1" s="15" t="s">
        <v>3379</v>
      </c>
      <c r="DPO1" s="15" t="s">
        <v>3380</v>
      </c>
      <c r="DPP1" s="15" t="s">
        <v>3381</v>
      </c>
      <c r="DPQ1" s="15" t="s">
        <v>3382</v>
      </c>
      <c r="DPR1" s="15" t="s">
        <v>3383</v>
      </c>
      <c r="DPS1" s="15" t="s">
        <v>3384</v>
      </c>
      <c r="DPT1" s="15" t="s">
        <v>3385</v>
      </c>
      <c r="DPU1" s="15" t="s">
        <v>3386</v>
      </c>
      <c r="DPV1" s="15" t="s">
        <v>3387</v>
      </c>
      <c r="DPW1" s="15" t="s">
        <v>3388</v>
      </c>
      <c r="DPX1" s="15" t="s">
        <v>3389</v>
      </c>
      <c r="DPY1" s="15" t="s">
        <v>3390</v>
      </c>
      <c r="DPZ1" s="15" t="s">
        <v>3391</v>
      </c>
      <c r="DQA1" s="15" t="s">
        <v>3392</v>
      </c>
      <c r="DQB1" s="15" t="s">
        <v>3393</v>
      </c>
      <c r="DQC1" s="15" t="s">
        <v>3394</v>
      </c>
      <c r="DQD1" s="15" t="s">
        <v>3395</v>
      </c>
      <c r="DQE1" s="15" t="s">
        <v>3396</v>
      </c>
      <c r="DQF1" s="15" t="s">
        <v>3397</v>
      </c>
      <c r="DQG1" s="15" t="s">
        <v>3398</v>
      </c>
      <c r="DQH1" s="15" t="s">
        <v>3399</v>
      </c>
      <c r="DQI1" s="15" t="s">
        <v>3400</v>
      </c>
      <c r="DQJ1" s="15" t="s">
        <v>3401</v>
      </c>
      <c r="DQK1" s="15" t="s">
        <v>3402</v>
      </c>
      <c r="DQL1" s="15" t="s">
        <v>3403</v>
      </c>
      <c r="DQM1" s="15" t="s">
        <v>3404</v>
      </c>
      <c r="DQN1" s="15" t="s">
        <v>3405</v>
      </c>
      <c r="DQO1" s="15" t="s">
        <v>3406</v>
      </c>
      <c r="DQP1" s="15" t="s">
        <v>3407</v>
      </c>
      <c r="DQQ1" s="15" t="s">
        <v>3408</v>
      </c>
      <c r="DQR1" s="15" t="s">
        <v>3409</v>
      </c>
      <c r="DQS1" s="15" t="s">
        <v>3410</v>
      </c>
      <c r="DQT1" s="15" t="s">
        <v>3411</v>
      </c>
      <c r="DQU1" s="15" t="s">
        <v>3412</v>
      </c>
      <c r="DQV1" s="15" t="s">
        <v>3413</v>
      </c>
      <c r="DQW1" s="15" t="s">
        <v>3414</v>
      </c>
      <c r="DQX1" s="15" t="s">
        <v>3415</v>
      </c>
      <c r="DQY1" s="15" t="s">
        <v>3416</v>
      </c>
      <c r="DQZ1" s="15" t="s">
        <v>3417</v>
      </c>
      <c r="DRA1" s="15" t="s">
        <v>3418</v>
      </c>
      <c r="DRB1" s="15" t="s">
        <v>3419</v>
      </c>
      <c r="DRC1" s="15" t="s">
        <v>3420</v>
      </c>
      <c r="DRD1" s="15" t="s">
        <v>3421</v>
      </c>
      <c r="DRE1" s="15" t="s">
        <v>3422</v>
      </c>
      <c r="DRF1" s="15" t="s">
        <v>3423</v>
      </c>
      <c r="DRG1" s="15" t="s">
        <v>3424</v>
      </c>
      <c r="DRH1" s="15" t="s">
        <v>3425</v>
      </c>
      <c r="DRI1" s="15" t="s">
        <v>3426</v>
      </c>
      <c r="DRJ1" s="15" t="s">
        <v>3427</v>
      </c>
      <c r="DRK1" s="15" t="s">
        <v>3428</v>
      </c>
      <c r="DRL1" s="15" t="s">
        <v>3429</v>
      </c>
      <c r="DRM1" s="15" t="s">
        <v>3430</v>
      </c>
      <c r="DRN1" s="15" t="s">
        <v>3431</v>
      </c>
      <c r="DRO1" s="15" t="s">
        <v>3432</v>
      </c>
      <c r="DRP1" s="15" t="s">
        <v>3433</v>
      </c>
      <c r="DRQ1" s="15" t="s">
        <v>3434</v>
      </c>
      <c r="DRR1" s="15" t="s">
        <v>3435</v>
      </c>
      <c r="DRS1" s="15" t="s">
        <v>3436</v>
      </c>
      <c r="DRT1" s="15" t="s">
        <v>3437</v>
      </c>
      <c r="DRU1" s="15" t="s">
        <v>3438</v>
      </c>
      <c r="DRV1" s="15" t="s">
        <v>3439</v>
      </c>
      <c r="DRW1" s="15" t="s">
        <v>3440</v>
      </c>
      <c r="DRX1" s="15" t="s">
        <v>3441</v>
      </c>
      <c r="DRY1" s="15" t="s">
        <v>3442</v>
      </c>
      <c r="DRZ1" s="15" t="s">
        <v>3443</v>
      </c>
      <c r="DSA1" s="15" t="s">
        <v>3444</v>
      </c>
      <c r="DSB1" s="15" t="s">
        <v>3445</v>
      </c>
      <c r="DSC1" s="15" t="s">
        <v>3446</v>
      </c>
      <c r="DSD1" s="15" t="s">
        <v>3447</v>
      </c>
      <c r="DSE1" s="15" t="s">
        <v>3448</v>
      </c>
      <c r="DSF1" s="15" t="s">
        <v>3449</v>
      </c>
      <c r="DSG1" s="15" t="s">
        <v>3450</v>
      </c>
      <c r="DSH1" s="15" t="s">
        <v>3451</v>
      </c>
      <c r="DSI1" s="15" t="s">
        <v>3452</v>
      </c>
      <c r="DSJ1" s="15" t="s">
        <v>3453</v>
      </c>
      <c r="DSK1" s="15" t="s">
        <v>3454</v>
      </c>
      <c r="DSL1" s="15" t="s">
        <v>3455</v>
      </c>
      <c r="DSM1" s="15" t="s">
        <v>3456</v>
      </c>
      <c r="DSN1" s="15" t="s">
        <v>3457</v>
      </c>
      <c r="DSO1" s="15" t="s">
        <v>3458</v>
      </c>
      <c r="DSP1" s="15" t="s">
        <v>3459</v>
      </c>
      <c r="DSQ1" s="15" t="s">
        <v>3460</v>
      </c>
      <c r="DSR1" s="15" t="s">
        <v>3461</v>
      </c>
      <c r="DSS1" s="15" t="s">
        <v>3462</v>
      </c>
      <c r="DST1" s="15" t="s">
        <v>3463</v>
      </c>
      <c r="DSU1" s="15" t="s">
        <v>3464</v>
      </c>
      <c r="DSV1" s="15" t="s">
        <v>3465</v>
      </c>
      <c r="DSW1" s="15" t="s">
        <v>3466</v>
      </c>
      <c r="DSX1" s="15" t="s">
        <v>3467</v>
      </c>
      <c r="DSY1" s="15" t="s">
        <v>3468</v>
      </c>
      <c r="DSZ1" s="15" t="s">
        <v>3469</v>
      </c>
      <c r="DTA1" s="15" t="s">
        <v>3470</v>
      </c>
      <c r="DTB1" s="15" t="s">
        <v>3471</v>
      </c>
      <c r="DTC1" s="15" t="s">
        <v>3472</v>
      </c>
      <c r="DTD1" s="15" t="s">
        <v>3473</v>
      </c>
      <c r="DTE1" s="15" t="s">
        <v>3474</v>
      </c>
      <c r="DTF1" s="15" t="s">
        <v>3475</v>
      </c>
      <c r="DTG1" s="15" t="s">
        <v>3476</v>
      </c>
      <c r="DTH1" s="15" t="s">
        <v>3477</v>
      </c>
      <c r="DTI1" s="15" t="s">
        <v>3478</v>
      </c>
      <c r="DTJ1" s="15" t="s">
        <v>3479</v>
      </c>
      <c r="DTK1" s="15" t="s">
        <v>3480</v>
      </c>
      <c r="DTL1" s="15" t="s">
        <v>3481</v>
      </c>
      <c r="DTM1" s="15" t="s">
        <v>3482</v>
      </c>
      <c r="DTN1" s="15" t="s">
        <v>3483</v>
      </c>
      <c r="DTO1" s="15" t="s">
        <v>3484</v>
      </c>
      <c r="DTP1" s="15" t="s">
        <v>3485</v>
      </c>
      <c r="DTQ1" s="15" t="s">
        <v>3486</v>
      </c>
      <c r="DTR1" s="15" t="s">
        <v>3487</v>
      </c>
      <c r="DTS1" s="15" t="s">
        <v>3488</v>
      </c>
      <c r="DTT1" s="15" t="s">
        <v>3489</v>
      </c>
      <c r="DTU1" s="15" t="s">
        <v>3490</v>
      </c>
      <c r="DTV1" s="15" t="s">
        <v>3491</v>
      </c>
      <c r="DTW1" s="15" t="s">
        <v>3492</v>
      </c>
      <c r="DTX1" s="15" t="s">
        <v>3493</v>
      </c>
      <c r="DTY1" s="15" t="s">
        <v>3494</v>
      </c>
      <c r="DTZ1" s="15" t="s">
        <v>3495</v>
      </c>
      <c r="DUA1" s="15" t="s">
        <v>3496</v>
      </c>
      <c r="DUB1" s="15" t="s">
        <v>3497</v>
      </c>
      <c r="DUC1" s="15" t="s">
        <v>3498</v>
      </c>
      <c r="DUD1" s="15" t="s">
        <v>3499</v>
      </c>
      <c r="DUE1" s="15" t="s">
        <v>3500</v>
      </c>
      <c r="DUF1" s="15" t="s">
        <v>3501</v>
      </c>
      <c r="DUG1" s="15" t="s">
        <v>3502</v>
      </c>
      <c r="DUH1" s="15" t="s">
        <v>3503</v>
      </c>
      <c r="DUI1" s="15" t="s">
        <v>3504</v>
      </c>
      <c r="DUJ1" s="15" t="s">
        <v>3505</v>
      </c>
      <c r="DUK1" s="15" t="s">
        <v>3506</v>
      </c>
      <c r="DUL1" s="15" t="s">
        <v>3507</v>
      </c>
      <c r="DUM1" s="15" t="s">
        <v>3508</v>
      </c>
      <c r="DUN1" s="15" t="s">
        <v>3509</v>
      </c>
      <c r="DUO1" s="15" t="s">
        <v>3510</v>
      </c>
      <c r="DUP1" s="15" t="s">
        <v>3511</v>
      </c>
      <c r="DUQ1" s="15" t="s">
        <v>3512</v>
      </c>
      <c r="DUR1" s="15" t="s">
        <v>3513</v>
      </c>
      <c r="DUS1" s="15" t="s">
        <v>3514</v>
      </c>
      <c r="DUT1" s="15" t="s">
        <v>3515</v>
      </c>
      <c r="DUU1" s="15" t="s">
        <v>3516</v>
      </c>
      <c r="DUV1" s="15" t="s">
        <v>3517</v>
      </c>
      <c r="DUW1" s="15" t="s">
        <v>3518</v>
      </c>
      <c r="DUX1" s="15" t="s">
        <v>3519</v>
      </c>
      <c r="DUY1" s="15" t="s">
        <v>3520</v>
      </c>
      <c r="DUZ1" s="15" t="s">
        <v>3521</v>
      </c>
      <c r="DVA1" s="15" t="s">
        <v>3522</v>
      </c>
      <c r="DVB1" s="15" t="s">
        <v>3523</v>
      </c>
      <c r="DVC1" s="15" t="s">
        <v>3524</v>
      </c>
      <c r="DVD1" s="15" t="s">
        <v>3525</v>
      </c>
      <c r="DVE1" s="15" t="s">
        <v>3526</v>
      </c>
      <c r="DVF1" s="15" t="s">
        <v>3527</v>
      </c>
      <c r="DVG1" s="15" t="s">
        <v>3528</v>
      </c>
      <c r="DVH1" s="15" t="s">
        <v>3529</v>
      </c>
      <c r="DVI1" s="15" t="s">
        <v>3530</v>
      </c>
      <c r="DVJ1" s="15" t="s">
        <v>3531</v>
      </c>
      <c r="DVK1" s="15" t="s">
        <v>3532</v>
      </c>
      <c r="DVL1" s="15" t="s">
        <v>3533</v>
      </c>
      <c r="DVM1" s="15" t="s">
        <v>3534</v>
      </c>
      <c r="DVN1" s="15" t="s">
        <v>3535</v>
      </c>
      <c r="DVO1" s="15" t="s">
        <v>3536</v>
      </c>
      <c r="DVP1" s="15" t="s">
        <v>3537</v>
      </c>
      <c r="DVQ1" s="15" t="s">
        <v>3538</v>
      </c>
      <c r="DVR1" s="15" t="s">
        <v>3539</v>
      </c>
      <c r="DVS1" s="15" t="s">
        <v>3540</v>
      </c>
      <c r="DVT1" s="15" t="s">
        <v>3541</v>
      </c>
      <c r="DVU1" s="15" t="s">
        <v>3542</v>
      </c>
      <c r="DVV1" s="15" t="s">
        <v>3543</v>
      </c>
      <c r="DVW1" s="15" t="s">
        <v>3544</v>
      </c>
      <c r="DVX1" s="15" t="s">
        <v>3545</v>
      </c>
      <c r="DVY1" s="15" t="s">
        <v>3546</v>
      </c>
      <c r="DVZ1" s="15" t="s">
        <v>3547</v>
      </c>
      <c r="DWA1" s="15" t="s">
        <v>3548</v>
      </c>
      <c r="DWB1" s="15" t="s">
        <v>3549</v>
      </c>
      <c r="DWC1" s="15" t="s">
        <v>3550</v>
      </c>
      <c r="DWD1" s="15" t="s">
        <v>3551</v>
      </c>
      <c r="DWE1" s="15" t="s">
        <v>3552</v>
      </c>
      <c r="DWF1" s="15" t="s">
        <v>3553</v>
      </c>
      <c r="DWG1" s="15" t="s">
        <v>3554</v>
      </c>
      <c r="DWH1" s="15" t="s">
        <v>3555</v>
      </c>
      <c r="DWI1" s="15" t="s">
        <v>3556</v>
      </c>
      <c r="DWJ1" s="15" t="s">
        <v>3557</v>
      </c>
      <c r="DWK1" s="15" t="s">
        <v>3558</v>
      </c>
      <c r="DWL1" s="15" t="s">
        <v>3559</v>
      </c>
      <c r="DWM1" s="15" t="s">
        <v>3560</v>
      </c>
      <c r="DWN1" s="15" t="s">
        <v>3561</v>
      </c>
      <c r="DWO1" s="15" t="s">
        <v>3562</v>
      </c>
      <c r="DWP1" s="15" t="s">
        <v>3563</v>
      </c>
      <c r="DWQ1" s="15" t="s">
        <v>3564</v>
      </c>
      <c r="DWR1" s="15" t="s">
        <v>3565</v>
      </c>
      <c r="DWS1" s="15" t="s">
        <v>3566</v>
      </c>
      <c r="DWT1" s="15" t="s">
        <v>3567</v>
      </c>
      <c r="DWU1" s="15" t="s">
        <v>3568</v>
      </c>
      <c r="DWV1" s="15" t="s">
        <v>3569</v>
      </c>
      <c r="DWW1" s="15" t="s">
        <v>3570</v>
      </c>
      <c r="DWX1" s="15" t="s">
        <v>3571</v>
      </c>
      <c r="DWY1" s="15" t="s">
        <v>3572</v>
      </c>
      <c r="DWZ1" s="15" t="s">
        <v>3573</v>
      </c>
      <c r="DXA1" s="15" t="s">
        <v>3574</v>
      </c>
      <c r="DXB1" s="15" t="s">
        <v>3575</v>
      </c>
      <c r="DXC1" s="15" t="s">
        <v>3576</v>
      </c>
      <c r="DXD1" s="15" t="s">
        <v>3577</v>
      </c>
      <c r="DXE1" s="15" t="s">
        <v>3578</v>
      </c>
      <c r="DXF1" s="15" t="s">
        <v>3579</v>
      </c>
      <c r="DXG1" s="15" t="s">
        <v>3580</v>
      </c>
      <c r="DXH1" s="15" t="s">
        <v>3581</v>
      </c>
      <c r="DXI1" s="15" t="s">
        <v>3582</v>
      </c>
      <c r="DXJ1" s="15" t="s">
        <v>3583</v>
      </c>
      <c r="DXK1" s="15" t="s">
        <v>3584</v>
      </c>
      <c r="DXL1" s="15" t="s">
        <v>3585</v>
      </c>
      <c r="DXM1" s="15" t="s">
        <v>3586</v>
      </c>
      <c r="DXN1" s="15" t="s">
        <v>3587</v>
      </c>
      <c r="DXO1" s="15" t="s">
        <v>3588</v>
      </c>
      <c r="DXP1" s="15" t="s">
        <v>3589</v>
      </c>
      <c r="DXQ1" s="15" t="s">
        <v>3590</v>
      </c>
      <c r="DXR1" s="15" t="s">
        <v>3591</v>
      </c>
      <c r="DXS1" s="15" t="s">
        <v>3592</v>
      </c>
      <c r="DXT1" s="15" t="s">
        <v>3593</v>
      </c>
      <c r="DXU1" s="15" t="s">
        <v>3594</v>
      </c>
      <c r="DXV1" s="15" t="s">
        <v>3595</v>
      </c>
      <c r="DXW1" s="15" t="s">
        <v>3596</v>
      </c>
      <c r="DXX1" s="15" t="s">
        <v>3597</v>
      </c>
      <c r="DXY1" s="15" t="s">
        <v>3598</v>
      </c>
      <c r="DXZ1" s="15" t="s">
        <v>3599</v>
      </c>
      <c r="DYA1" s="15" t="s">
        <v>3600</v>
      </c>
      <c r="DYB1" s="15" t="s">
        <v>3601</v>
      </c>
      <c r="DYC1" s="15" t="s">
        <v>3602</v>
      </c>
      <c r="DYD1" s="15" t="s">
        <v>3603</v>
      </c>
      <c r="DYE1" s="15" t="s">
        <v>3604</v>
      </c>
      <c r="DYF1" s="15" t="s">
        <v>3605</v>
      </c>
      <c r="DYG1" s="15" t="s">
        <v>3606</v>
      </c>
      <c r="DYH1" s="15" t="s">
        <v>3607</v>
      </c>
      <c r="DYI1" s="15" t="s">
        <v>3608</v>
      </c>
      <c r="DYJ1" s="15" t="s">
        <v>3609</v>
      </c>
      <c r="DYK1" s="15" t="s">
        <v>3610</v>
      </c>
      <c r="DYL1" s="15" t="s">
        <v>3611</v>
      </c>
      <c r="DYM1" s="15" t="s">
        <v>3612</v>
      </c>
      <c r="DYN1" s="15" t="s">
        <v>3613</v>
      </c>
      <c r="DYO1" s="15" t="s">
        <v>3614</v>
      </c>
      <c r="DYP1" s="15" t="s">
        <v>3615</v>
      </c>
      <c r="DYQ1" s="15" t="s">
        <v>3616</v>
      </c>
      <c r="DYR1" s="15" t="s">
        <v>3617</v>
      </c>
      <c r="DYS1" s="15" t="s">
        <v>3618</v>
      </c>
      <c r="DYT1" s="15" t="s">
        <v>3619</v>
      </c>
      <c r="DYU1" s="15" t="s">
        <v>3620</v>
      </c>
      <c r="DYV1" s="15" t="s">
        <v>3621</v>
      </c>
      <c r="DYW1" s="15" t="s">
        <v>3622</v>
      </c>
      <c r="DYX1" s="15" t="s">
        <v>3623</v>
      </c>
      <c r="DYY1" s="15" t="s">
        <v>3624</v>
      </c>
      <c r="DYZ1" s="15" t="s">
        <v>3625</v>
      </c>
      <c r="DZA1" s="15" t="s">
        <v>3626</v>
      </c>
      <c r="DZB1" s="15" t="s">
        <v>3627</v>
      </c>
      <c r="DZC1" s="15" t="s">
        <v>3628</v>
      </c>
      <c r="DZD1" s="15" t="s">
        <v>3629</v>
      </c>
      <c r="DZE1" s="15" t="s">
        <v>3630</v>
      </c>
      <c r="DZF1" s="15" t="s">
        <v>3631</v>
      </c>
      <c r="DZG1" s="15" t="s">
        <v>3632</v>
      </c>
      <c r="DZH1" s="15" t="s">
        <v>3633</v>
      </c>
      <c r="DZI1" s="15" t="s">
        <v>3634</v>
      </c>
      <c r="DZJ1" s="15" t="s">
        <v>3635</v>
      </c>
      <c r="DZK1" s="15" t="s">
        <v>3636</v>
      </c>
      <c r="DZL1" s="15" t="s">
        <v>3637</v>
      </c>
      <c r="DZM1" s="15" t="s">
        <v>3638</v>
      </c>
      <c r="DZN1" s="15" t="s">
        <v>3639</v>
      </c>
      <c r="DZO1" s="15" t="s">
        <v>3640</v>
      </c>
      <c r="DZP1" s="15" t="s">
        <v>3641</v>
      </c>
      <c r="DZQ1" s="15" t="s">
        <v>3642</v>
      </c>
      <c r="DZR1" s="15" t="s">
        <v>3643</v>
      </c>
      <c r="DZS1" s="15" t="s">
        <v>3644</v>
      </c>
      <c r="DZT1" s="15" t="s">
        <v>3645</v>
      </c>
      <c r="DZU1" s="15" t="s">
        <v>3646</v>
      </c>
      <c r="DZV1" s="15" t="s">
        <v>3647</v>
      </c>
      <c r="DZW1" s="15" t="s">
        <v>3648</v>
      </c>
      <c r="DZX1" s="15" t="s">
        <v>3649</v>
      </c>
      <c r="DZY1" s="15" t="s">
        <v>3650</v>
      </c>
      <c r="DZZ1" s="15" t="s">
        <v>3651</v>
      </c>
      <c r="EAA1" s="15" t="s">
        <v>3652</v>
      </c>
      <c r="EAB1" s="15" t="s">
        <v>3653</v>
      </c>
      <c r="EAC1" s="15" t="s">
        <v>3654</v>
      </c>
      <c r="EAD1" s="15" t="s">
        <v>3655</v>
      </c>
      <c r="EAE1" s="15" t="s">
        <v>3656</v>
      </c>
      <c r="EAF1" s="15" t="s">
        <v>3657</v>
      </c>
      <c r="EAG1" s="15" t="s">
        <v>3658</v>
      </c>
      <c r="EAH1" s="15" t="s">
        <v>3659</v>
      </c>
      <c r="EAI1" s="15" t="s">
        <v>3660</v>
      </c>
      <c r="EAJ1" s="15" t="s">
        <v>3661</v>
      </c>
      <c r="EAK1" s="15" t="s">
        <v>3662</v>
      </c>
      <c r="EAL1" s="15" t="s">
        <v>3663</v>
      </c>
      <c r="EAM1" s="15" t="s">
        <v>3664</v>
      </c>
      <c r="EAN1" s="15" t="s">
        <v>3665</v>
      </c>
      <c r="EAO1" s="15" t="s">
        <v>3666</v>
      </c>
      <c r="EAP1" s="15" t="s">
        <v>3667</v>
      </c>
      <c r="EAQ1" s="15" t="s">
        <v>3668</v>
      </c>
      <c r="EAR1" s="15" t="s">
        <v>3669</v>
      </c>
      <c r="EAS1" s="15" t="s">
        <v>3670</v>
      </c>
      <c r="EAT1" s="15" t="s">
        <v>3671</v>
      </c>
      <c r="EAU1" s="15" t="s">
        <v>3672</v>
      </c>
      <c r="EAV1" s="15" t="s">
        <v>3673</v>
      </c>
      <c r="EAW1" s="15" t="s">
        <v>3674</v>
      </c>
      <c r="EAX1" s="15" t="s">
        <v>3675</v>
      </c>
      <c r="EAY1" s="15" t="s">
        <v>3676</v>
      </c>
      <c r="EAZ1" s="15" t="s">
        <v>3677</v>
      </c>
      <c r="EBA1" s="15" t="s">
        <v>3678</v>
      </c>
      <c r="EBB1" s="15" t="s">
        <v>3679</v>
      </c>
      <c r="EBC1" s="15" t="s">
        <v>3680</v>
      </c>
      <c r="EBD1" s="15" t="s">
        <v>3681</v>
      </c>
      <c r="EBE1" s="15" t="s">
        <v>3682</v>
      </c>
      <c r="EBF1" s="15" t="s">
        <v>3683</v>
      </c>
      <c r="EBG1" s="15" t="s">
        <v>3684</v>
      </c>
      <c r="EBH1" s="15" t="s">
        <v>3685</v>
      </c>
      <c r="EBI1" s="15" t="s">
        <v>3686</v>
      </c>
      <c r="EBJ1" s="15" t="s">
        <v>3687</v>
      </c>
      <c r="EBK1" s="15" t="s">
        <v>3688</v>
      </c>
      <c r="EBL1" s="15" t="s">
        <v>3689</v>
      </c>
      <c r="EBM1" s="15" t="s">
        <v>3690</v>
      </c>
      <c r="EBN1" s="15" t="s">
        <v>3691</v>
      </c>
      <c r="EBO1" s="15" t="s">
        <v>3692</v>
      </c>
      <c r="EBP1" s="15" t="s">
        <v>3693</v>
      </c>
      <c r="EBQ1" s="15" t="s">
        <v>3694</v>
      </c>
      <c r="EBR1" s="15" t="s">
        <v>3695</v>
      </c>
      <c r="EBS1" s="15" t="s">
        <v>3696</v>
      </c>
      <c r="EBT1" s="15" t="s">
        <v>3697</v>
      </c>
      <c r="EBU1" s="15" t="s">
        <v>3698</v>
      </c>
      <c r="EBV1" s="15" t="s">
        <v>3699</v>
      </c>
      <c r="EBW1" s="15" t="s">
        <v>3700</v>
      </c>
      <c r="EBX1" s="15" t="s">
        <v>3701</v>
      </c>
      <c r="EBY1" s="15" t="s">
        <v>3702</v>
      </c>
      <c r="EBZ1" s="15" t="s">
        <v>3703</v>
      </c>
      <c r="ECA1" s="15" t="s">
        <v>3704</v>
      </c>
      <c r="ECB1" s="15" t="s">
        <v>3705</v>
      </c>
      <c r="ECC1" s="15" t="s">
        <v>3706</v>
      </c>
      <c r="ECD1" s="15" t="s">
        <v>3707</v>
      </c>
      <c r="ECE1" s="15" t="s">
        <v>3708</v>
      </c>
      <c r="ECF1" s="15" t="s">
        <v>3709</v>
      </c>
      <c r="ECG1" s="15" t="s">
        <v>3710</v>
      </c>
      <c r="ECH1" s="15" t="s">
        <v>3711</v>
      </c>
      <c r="ECI1" s="15" t="s">
        <v>3712</v>
      </c>
      <c r="ECJ1" s="15" t="s">
        <v>3713</v>
      </c>
      <c r="ECK1" s="15" t="s">
        <v>3714</v>
      </c>
      <c r="ECL1" s="15" t="s">
        <v>3715</v>
      </c>
      <c r="ECM1" s="15" t="s">
        <v>3716</v>
      </c>
      <c r="ECN1" s="15" t="s">
        <v>3717</v>
      </c>
      <c r="ECO1" s="15" t="s">
        <v>3718</v>
      </c>
      <c r="ECP1" s="15" t="s">
        <v>3719</v>
      </c>
      <c r="ECQ1" s="15" t="s">
        <v>3720</v>
      </c>
      <c r="ECR1" s="15" t="s">
        <v>3721</v>
      </c>
      <c r="ECS1" s="15" t="s">
        <v>3722</v>
      </c>
      <c r="ECT1" s="15" t="s">
        <v>3723</v>
      </c>
      <c r="ECU1" s="15" t="s">
        <v>3724</v>
      </c>
      <c r="ECV1" s="15" t="s">
        <v>3725</v>
      </c>
      <c r="ECW1" s="15" t="s">
        <v>3726</v>
      </c>
      <c r="ECX1" s="15" t="s">
        <v>3727</v>
      </c>
      <c r="ECY1" s="15" t="s">
        <v>3728</v>
      </c>
      <c r="ECZ1" s="15" t="s">
        <v>3729</v>
      </c>
      <c r="EDA1" s="15" t="s">
        <v>3730</v>
      </c>
      <c r="EDB1" s="15" t="s">
        <v>3731</v>
      </c>
      <c r="EDC1" s="15" t="s">
        <v>3732</v>
      </c>
      <c r="EDD1" s="15" t="s">
        <v>3733</v>
      </c>
      <c r="EDE1" s="15" t="s">
        <v>3734</v>
      </c>
      <c r="EDF1" s="15" t="s">
        <v>3735</v>
      </c>
      <c r="EDG1" s="15" t="s">
        <v>3736</v>
      </c>
      <c r="EDH1" s="15" t="s">
        <v>3737</v>
      </c>
      <c r="EDI1" s="15" t="s">
        <v>3738</v>
      </c>
      <c r="EDJ1" s="15" t="s">
        <v>3739</v>
      </c>
      <c r="EDK1" s="15" t="s">
        <v>3740</v>
      </c>
      <c r="EDL1" s="15" t="s">
        <v>3741</v>
      </c>
      <c r="EDM1" s="15" t="s">
        <v>3742</v>
      </c>
      <c r="EDN1" s="15" t="s">
        <v>3743</v>
      </c>
      <c r="EDO1" s="15" t="s">
        <v>3744</v>
      </c>
      <c r="EDP1" s="15" t="s">
        <v>3745</v>
      </c>
      <c r="EDQ1" s="15" t="s">
        <v>3746</v>
      </c>
      <c r="EDR1" s="15" t="s">
        <v>3747</v>
      </c>
      <c r="EDS1" s="15" t="s">
        <v>3748</v>
      </c>
      <c r="EDT1" s="15" t="s">
        <v>3749</v>
      </c>
      <c r="EDU1" s="15" t="s">
        <v>3750</v>
      </c>
      <c r="EDV1" s="15" t="s">
        <v>3751</v>
      </c>
      <c r="EDW1" s="15" t="s">
        <v>3752</v>
      </c>
      <c r="EDX1" s="15" t="s">
        <v>3753</v>
      </c>
      <c r="EDY1" s="15" t="s">
        <v>3754</v>
      </c>
      <c r="EDZ1" s="15" t="s">
        <v>3755</v>
      </c>
      <c r="EEA1" s="15" t="s">
        <v>3756</v>
      </c>
      <c r="EEB1" s="15" t="s">
        <v>3757</v>
      </c>
      <c r="EEC1" s="15" t="s">
        <v>3758</v>
      </c>
      <c r="EED1" s="15" t="s">
        <v>3759</v>
      </c>
      <c r="EEE1" s="15" t="s">
        <v>3760</v>
      </c>
      <c r="EEF1" s="15" t="s">
        <v>3761</v>
      </c>
      <c r="EEG1" s="15" t="s">
        <v>3762</v>
      </c>
      <c r="EEH1" s="15" t="s">
        <v>3763</v>
      </c>
      <c r="EEI1" s="15" t="s">
        <v>3764</v>
      </c>
      <c r="EEJ1" s="15" t="s">
        <v>3765</v>
      </c>
      <c r="EEK1" s="15" t="s">
        <v>3766</v>
      </c>
      <c r="EEL1" s="15" t="s">
        <v>3767</v>
      </c>
      <c r="EEM1" s="15" t="s">
        <v>3768</v>
      </c>
      <c r="EEN1" s="15" t="s">
        <v>3769</v>
      </c>
      <c r="EEO1" s="15" t="s">
        <v>3770</v>
      </c>
      <c r="EEP1" s="15" t="s">
        <v>3771</v>
      </c>
      <c r="EEQ1" s="15" t="s">
        <v>3772</v>
      </c>
      <c r="EER1" s="15" t="s">
        <v>3773</v>
      </c>
      <c r="EES1" s="15" t="s">
        <v>3774</v>
      </c>
      <c r="EET1" s="15" t="s">
        <v>3775</v>
      </c>
      <c r="EEU1" s="15" t="s">
        <v>3776</v>
      </c>
      <c r="EEV1" s="15" t="s">
        <v>3777</v>
      </c>
      <c r="EEW1" s="15" t="s">
        <v>3778</v>
      </c>
      <c r="EEX1" s="15" t="s">
        <v>3779</v>
      </c>
      <c r="EEY1" s="15" t="s">
        <v>3780</v>
      </c>
      <c r="EEZ1" s="15" t="s">
        <v>3781</v>
      </c>
      <c r="EFA1" s="15" t="s">
        <v>3782</v>
      </c>
      <c r="EFB1" s="15" t="s">
        <v>3783</v>
      </c>
      <c r="EFC1" s="15" t="s">
        <v>3784</v>
      </c>
      <c r="EFD1" s="15" t="s">
        <v>3785</v>
      </c>
      <c r="EFE1" s="15" t="s">
        <v>3786</v>
      </c>
      <c r="EFF1" s="15" t="s">
        <v>3787</v>
      </c>
      <c r="EFG1" s="15" t="s">
        <v>3788</v>
      </c>
      <c r="EFH1" s="15" t="s">
        <v>3789</v>
      </c>
      <c r="EFI1" s="15" t="s">
        <v>3790</v>
      </c>
      <c r="EFJ1" s="15" t="s">
        <v>3791</v>
      </c>
      <c r="EFK1" s="15" t="s">
        <v>3792</v>
      </c>
      <c r="EFL1" s="15" t="s">
        <v>3793</v>
      </c>
      <c r="EFM1" s="15" t="s">
        <v>3794</v>
      </c>
      <c r="EFN1" s="15" t="s">
        <v>3795</v>
      </c>
      <c r="EFO1" s="15" t="s">
        <v>3796</v>
      </c>
      <c r="EFP1" s="15" t="s">
        <v>3797</v>
      </c>
      <c r="EFQ1" s="15" t="s">
        <v>3798</v>
      </c>
      <c r="EFR1" s="15" t="s">
        <v>3799</v>
      </c>
      <c r="EFS1" s="15" t="s">
        <v>3800</v>
      </c>
      <c r="EFT1" s="15" t="s">
        <v>3801</v>
      </c>
      <c r="EFU1" s="15" t="s">
        <v>3802</v>
      </c>
      <c r="EFV1" s="15" t="s">
        <v>3803</v>
      </c>
      <c r="EFW1" s="15" t="s">
        <v>3804</v>
      </c>
      <c r="EFX1" s="15" t="s">
        <v>3805</v>
      </c>
      <c r="EFY1" s="15" t="s">
        <v>3806</v>
      </c>
      <c r="EFZ1" s="15" t="s">
        <v>3807</v>
      </c>
      <c r="EGA1" s="15" t="s">
        <v>3808</v>
      </c>
      <c r="EGB1" s="15" t="s">
        <v>3809</v>
      </c>
      <c r="EGC1" s="15" t="s">
        <v>3810</v>
      </c>
      <c r="EGD1" s="15" t="s">
        <v>3811</v>
      </c>
      <c r="EGE1" s="15" t="s">
        <v>3812</v>
      </c>
      <c r="EGF1" s="15" t="s">
        <v>3813</v>
      </c>
      <c r="EGG1" s="15" t="s">
        <v>3814</v>
      </c>
      <c r="EGH1" s="15" t="s">
        <v>3815</v>
      </c>
      <c r="EGI1" s="15" t="s">
        <v>3816</v>
      </c>
      <c r="EGJ1" s="15" t="s">
        <v>3817</v>
      </c>
      <c r="EGK1" s="15" t="s">
        <v>3818</v>
      </c>
      <c r="EGL1" s="15" t="s">
        <v>3819</v>
      </c>
      <c r="EGM1" s="15" t="s">
        <v>3820</v>
      </c>
      <c r="EGN1" s="15" t="s">
        <v>3821</v>
      </c>
      <c r="EGO1" s="15" t="s">
        <v>3822</v>
      </c>
      <c r="EGP1" s="15" t="s">
        <v>3823</v>
      </c>
      <c r="EGQ1" s="15" t="s">
        <v>3824</v>
      </c>
      <c r="EGR1" s="15" t="s">
        <v>3825</v>
      </c>
      <c r="EGS1" s="15" t="s">
        <v>3826</v>
      </c>
      <c r="EGT1" s="15" t="s">
        <v>3827</v>
      </c>
      <c r="EGU1" s="15" t="s">
        <v>3828</v>
      </c>
      <c r="EGV1" s="15" t="s">
        <v>3829</v>
      </c>
      <c r="EGW1" s="15" t="s">
        <v>3830</v>
      </c>
      <c r="EGX1" s="15" t="s">
        <v>3831</v>
      </c>
      <c r="EGY1" s="15" t="s">
        <v>3832</v>
      </c>
      <c r="EGZ1" s="15" t="s">
        <v>3833</v>
      </c>
      <c r="EHA1" s="15" t="s">
        <v>3834</v>
      </c>
      <c r="EHB1" s="15" t="s">
        <v>3835</v>
      </c>
      <c r="EHC1" s="15" t="s">
        <v>3836</v>
      </c>
      <c r="EHD1" s="15" t="s">
        <v>3837</v>
      </c>
      <c r="EHE1" s="15" t="s">
        <v>3838</v>
      </c>
      <c r="EHF1" s="15" t="s">
        <v>3839</v>
      </c>
      <c r="EHG1" s="15" t="s">
        <v>3840</v>
      </c>
      <c r="EHH1" s="15" t="s">
        <v>3841</v>
      </c>
      <c r="EHI1" s="15" t="s">
        <v>3842</v>
      </c>
      <c r="EHJ1" s="15" t="s">
        <v>3843</v>
      </c>
      <c r="EHK1" s="15" t="s">
        <v>3844</v>
      </c>
      <c r="EHL1" s="15" t="s">
        <v>3845</v>
      </c>
      <c r="EHM1" s="15" t="s">
        <v>3846</v>
      </c>
      <c r="EHN1" s="15" t="s">
        <v>3847</v>
      </c>
      <c r="EHO1" s="15" t="s">
        <v>3848</v>
      </c>
      <c r="EHP1" s="15" t="s">
        <v>3849</v>
      </c>
      <c r="EHQ1" s="15" t="s">
        <v>3850</v>
      </c>
      <c r="EHR1" s="15" t="s">
        <v>3851</v>
      </c>
      <c r="EHS1" s="15" t="s">
        <v>3852</v>
      </c>
      <c r="EHT1" s="15" t="s">
        <v>3853</v>
      </c>
      <c r="EHU1" s="15" t="s">
        <v>3854</v>
      </c>
      <c r="EHV1" s="15" t="s">
        <v>3855</v>
      </c>
      <c r="EHW1" s="15" t="s">
        <v>3856</v>
      </c>
      <c r="EHX1" s="15" t="s">
        <v>3857</v>
      </c>
      <c r="EHY1" s="15" t="s">
        <v>3858</v>
      </c>
      <c r="EHZ1" s="15" t="s">
        <v>3859</v>
      </c>
      <c r="EIA1" s="15" t="s">
        <v>3860</v>
      </c>
      <c r="EIB1" s="15" t="s">
        <v>3861</v>
      </c>
      <c r="EIC1" s="15" t="s">
        <v>3862</v>
      </c>
      <c r="EID1" s="15" t="s">
        <v>3863</v>
      </c>
      <c r="EIE1" s="15" t="s">
        <v>3864</v>
      </c>
      <c r="EIF1" s="15" t="s">
        <v>3865</v>
      </c>
      <c r="EIG1" s="15" t="s">
        <v>3866</v>
      </c>
      <c r="EIH1" s="15" t="s">
        <v>3867</v>
      </c>
      <c r="EII1" s="15" t="s">
        <v>3868</v>
      </c>
      <c r="EIJ1" s="15" t="s">
        <v>3869</v>
      </c>
      <c r="EIK1" s="15" t="s">
        <v>3870</v>
      </c>
      <c r="EIL1" s="15" t="s">
        <v>3871</v>
      </c>
      <c r="EIM1" s="15" t="s">
        <v>3872</v>
      </c>
      <c r="EIN1" s="15" t="s">
        <v>3873</v>
      </c>
      <c r="EIO1" s="15" t="s">
        <v>3874</v>
      </c>
      <c r="EIP1" s="15" t="s">
        <v>3875</v>
      </c>
      <c r="EIQ1" s="15" t="s">
        <v>3876</v>
      </c>
      <c r="EIR1" s="15" t="s">
        <v>3877</v>
      </c>
      <c r="EIS1" s="15" t="s">
        <v>3878</v>
      </c>
      <c r="EIT1" s="15" t="s">
        <v>3879</v>
      </c>
      <c r="EIU1" s="15" t="s">
        <v>3880</v>
      </c>
      <c r="EIV1" s="15" t="s">
        <v>3881</v>
      </c>
      <c r="EIW1" s="15" t="s">
        <v>3882</v>
      </c>
      <c r="EIX1" s="15" t="s">
        <v>3883</v>
      </c>
      <c r="EIY1" s="15" t="s">
        <v>3884</v>
      </c>
      <c r="EIZ1" s="15" t="s">
        <v>3885</v>
      </c>
      <c r="EJA1" s="15" t="s">
        <v>3886</v>
      </c>
      <c r="EJB1" s="15" t="s">
        <v>3887</v>
      </c>
      <c r="EJC1" s="15" t="s">
        <v>3888</v>
      </c>
      <c r="EJD1" s="15" t="s">
        <v>3889</v>
      </c>
      <c r="EJE1" s="15" t="s">
        <v>3890</v>
      </c>
      <c r="EJF1" s="15" t="s">
        <v>3891</v>
      </c>
      <c r="EJG1" s="15" t="s">
        <v>3892</v>
      </c>
      <c r="EJH1" s="15" t="s">
        <v>3893</v>
      </c>
      <c r="EJI1" s="15" t="s">
        <v>3894</v>
      </c>
      <c r="EJJ1" s="15" t="s">
        <v>3895</v>
      </c>
      <c r="EJK1" s="15" t="s">
        <v>3896</v>
      </c>
      <c r="EJL1" s="15" t="s">
        <v>3897</v>
      </c>
      <c r="EJM1" s="15" t="s">
        <v>3898</v>
      </c>
      <c r="EJN1" s="15" t="s">
        <v>3899</v>
      </c>
      <c r="EJO1" s="15" t="s">
        <v>3900</v>
      </c>
      <c r="EJP1" s="15" t="s">
        <v>3901</v>
      </c>
      <c r="EJQ1" s="15" t="s">
        <v>3902</v>
      </c>
      <c r="EJR1" s="15" t="s">
        <v>3903</v>
      </c>
      <c r="EJS1" s="15" t="s">
        <v>3904</v>
      </c>
      <c r="EJT1" s="15" t="s">
        <v>3905</v>
      </c>
      <c r="EJU1" s="15" t="s">
        <v>3906</v>
      </c>
      <c r="EJV1" s="15" t="s">
        <v>3907</v>
      </c>
      <c r="EJW1" s="15" t="s">
        <v>3908</v>
      </c>
      <c r="EJX1" s="15" t="s">
        <v>3909</v>
      </c>
      <c r="EJY1" s="15" t="s">
        <v>3910</v>
      </c>
      <c r="EJZ1" s="15" t="s">
        <v>3911</v>
      </c>
      <c r="EKA1" s="15" t="s">
        <v>3912</v>
      </c>
      <c r="EKB1" s="15" t="s">
        <v>3913</v>
      </c>
      <c r="EKC1" s="15" t="s">
        <v>3914</v>
      </c>
      <c r="EKD1" s="15" t="s">
        <v>3915</v>
      </c>
      <c r="EKE1" s="15" t="s">
        <v>3916</v>
      </c>
      <c r="EKF1" s="15" t="s">
        <v>3917</v>
      </c>
      <c r="EKG1" s="15" t="s">
        <v>3918</v>
      </c>
      <c r="EKH1" s="15" t="s">
        <v>3919</v>
      </c>
      <c r="EKI1" s="15" t="s">
        <v>3920</v>
      </c>
      <c r="EKJ1" s="15" t="s">
        <v>3921</v>
      </c>
      <c r="EKK1" s="15" t="s">
        <v>3922</v>
      </c>
      <c r="EKL1" s="15" t="s">
        <v>3923</v>
      </c>
      <c r="EKM1" s="15" t="s">
        <v>3924</v>
      </c>
      <c r="EKN1" s="15" t="s">
        <v>3925</v>
      </c>
      <c r="EKO1" s="15" t="s">
        <v>3926</v>
      </c>
      <c r="EKP1" s="15" t="s">
        <v>3927</v>
      </c>
      <c r="EKQ1" s="15" t="s">
        <v>3928</v>
      </c>
      <c r="EKR1" s="15" t="s">
        <v>3929</v>
      </c>
      <c r="EKS1" s="15" t="s">
        <v>3930</v>
      </c>
      <c r="EKT1" s="15" t="s">
        <v>3931</v>
      </c>
      <c r="EKU1" s="15" t="s">
        <v>3932</v>
      </c>
      <c r="EKV1" s="15" t="s">
        <v>3933</v>
      </c>
      <c r="EKW1" s="15" t="s">
        <v>3934</v>
      </c>
      <c r="EKX1" s="15" t="s">
        <v>3935</v>
      </c>
      <c r="EKY1" s="15" t="s">
        <v>3936</v>
      </c>
      <c r="EKZ1" s="15" t="s">
        <v>3937</v>
      </c>
      <c r="ELA1" s="15" t="s">
        <v>3938</v>
      </c>
      <c r="ELB1" s="15" t="s">
        <v>3939</v>
      </c>
      <c r="ELC1" s="15" t="s">
        <v>3940</v>
      </c>
      <c r="ELD1" s="15" t="s">
        <v>3941</v>
      </c>
      <c r="ELE1" s="15" t="s">
        <v>3942</v>
      </c>
      <c r="ELF1" s="15" t="s">
        <v>3943</v>
      </c>
      <c r="ELG1" s="15" t="s">
        <v>3944</v>
      </c>
      <c r="ELH1" s="15" t="s">
        <v>3945</v>
      </c>
      <c r="ELI1" s="15" t="s">
        <v>3946</v>
      </c>
      <c r="ELJ1" s="15" t="s">
        <v>3947</v>
      </c>
      <c r="ELK1" s="15" t="s">
        <v>3948</v>
      </c>
      <c r="ELL1" s="15" t="s">
        <v>3949</v>
      </c>
      <c r="ELM1" s="15" t="s">
        <v>3950</v>
      </c>
      <c r="ELN1" s="15" t="s">
        <v>3951</v>
      </c>
      <c r="ELO1" s="15" t="s">
        <v>3952</v>
      </c>
      <c r="ELP1" s="15" t="s">
        <v>3953</v>
      </c>
      <c r="ELQ1" s="15" t="s">
        <v>3954</v>
      </c>
      <c r="ELR1" s="15" t="s">
        <v>3955</v>
      </c>
      <c r="ELS1" s="15" t="s">
        <v>3956</v>
      </c>
      <c r="ELT1" s="15" t="s">
        <v>3957</v>
      </c>
      <c r="ELU1" s="15" t="s">
        <v>3958</v>
      </c>
      <c r="ELV1" s="15" t="s">
        <v>3959</v>
      </c>
      <c r="ELW1" s="15" t="s">
        <v>3960</v>
      </c>
      <c r="ELX1" s="15" t="s">
        <v>3961</v>
      </c>
      <c r="ELY1" s="15" t="s">
        <v>3962</v>
      </c>
      <c r="ELZ1" s="15" t="s">
        <v>3963</v>
      </c>
      <c r="EMA1" s="15" t="s">
        <v>3964</v>
      </c>
      <c r="EMB1" s="15" t="s">
        <v>3965</v>
      </c>
      <c r="EMC1" s="15" t="s">
        <v>3966</v>
      </c>
      <c r="EMD1" s="15" t="s">
        <v>3967</v>
      </c>
      <c r="EME1" s="15" t="s">
        <v>3968</v>
      </c>
      <c r="EMF1" s="15" t="s">
        <v>3969</v>
      </c>
      <c r="EMG1" s="15" t="s">
        <v>3970</v>
      </c>
      <c r="EMH1" s="15" t="s">
        <v>3971</v>
      </c>
      <c r="EMI1" s="15" t="s">
        <v>3972</v>
      </c>
      <c r="EMJ1" s="15" t="s">
        <v>3973</v>
      </c>
      <c r="EMK1" s="15" t="s">
        <v>3974</v>
      </c>
      <c r="EML1" s="15" t="s">
        <v>3975</v>
      </c>
      <c r="EMM1" s="15" t="s">
        <v>3976</v>
      </c>
      <c r="EMN1" s="15" t="s">
        <v>3977</v>
      </c>
      <c r="EMO1" s="15" t="s">
        <v>3978</v>
      </c>
      <c r="EMP1" s="15" t="s">
        <v>3979</v>
      </c>
      <c r="EMQ1" s="15" t="s">
        <v>3980</v>
      </c>
      <c r="EMR1" s="15" t="s">
        <v>3981</v>
      </c>
      <c r="EMS1" s="15" t="s">
        <v>3982</v>
      </c>
      <c r="EMT1" s="15" t="s">
        <v>3983</v>
      </c>
      <c r="EMU1" s="15" t="s">
        <v>3984</v>
      </c>
      <c r="EMV1" s="15" t="s">
        <v>3985</v>
      </c>
      <c r="EMW1" s="15" t="s">
        <v>3986</v>
      </c>
      <c r="EMX1" s="15" t="s">
        <v>3987</v>
      </c>
      <c r="EMY1" s="15" t="s">
        <v>3988</v>
      </c>
      <c r="EMZ1" s="15" t="s">
        <v>3989</v>
      </c>
      <c r="ENA1" s="15" t="s">
        <v>3990</v>
      </c>
      <c r="ENB1" s="15" t="s">
        <v>3991</v>
      </c>
      <c r="ENC1" s="15" t="s">
        <v>3992</v>
      </c>
      <c r="END1" s="15" t="s">
        <v>3993</v>
      </c>
      <c r="ENE1" s="15" t="s">
        <v>3994</v>
      </c>
      <c r="ENF1" s="15" t="s">
        <v>3995</v>
      </c>
      <c r="ENG1" s="15" t="s">
        <v>3996</v>
      </c>
      <c r="ENH1" s="15" t="s">
        <v>3997</v>
      </c>
      <c r="ENI1" s="15" t="s">
        <v>3998</v>
      </c>
      <c r="ENJ1" s="15" t="s">
        <v>3999</v>
      </c>
      <c r="ENK1" s="15" t="s">
        <v>4000</v>
      </c>
      <c r="ENL1" s="15" t="s">
        <v>4001</v>
      </c>
      <c r="ENM1" s="15" t="s">
        <v>4002</v>
      </c>
      <c r="ENN1" s="15" t="s">
        <v>4003</v>
      </c>
      <c r="ENO1" s="15" t="s">
        <v>4004</v>
      </c>
      <c r="ENP1" s="15" t="s">
        <v>4005</v>
      </c>
      <c r="ENQ1" s="15" t="s">
        <v>4006</v>
      </c>
      <c r="ENR1" s="15" t="s">
        <v>4007</v>
      </c>
      <c r="ENS1" s="15" t="s">
        <v>4008</v>
      </c>
      <c r="ENT1" s="15" t="s">
        <v>4009</v>
      </c>
      <c r="ENU1" s="15" t="s">
        <v>4010</v>
      </c>
      <c r="ENV1" s="15" t="s">
        <v>4011</v>
      </c>
      <c r="ENW1" s="15" t="s">
        <v>4012</v>
      </c>
      <c r="ENX1" s="15" t="s">
        <v>4013</v>
      </c>
      <c r="ENY1" s="15" t="s">
        <v>4014</v>
      </c>
      <c r="ENZ1" s="15" t="s">
        <v>4015</v>
      </c>
      <c r="EOA1" s="15" t="s">
        <v>4016</v>
      </c>
      <c r="EOB1" s="15" t="s">
        <v>4017</v>
      </c>
      <c r="EOC1" s="15" t="s">
        <v>4018</v>
      </c>
      <c r="EOD1" s="15" t="s">
        <v>4019</v>
      </c>
      <c r="EOE1" s="15" t="s">
        <v>4020</v>
      </c>
      <c r="EOF1" s="15" t="s">
        <v>4021</v>
      </c>
      <c r="EOG1" s="15" t="s">
        <v>4022</v>
      </c>
      <c r="EOH1" s="15" t="s">
        <v>4023</v>
      </c>
      <c r="EOI1" s="15" t="s">
        <v>4024</v>
      </c>
      <c r="EOJ1" s="15" t="s">
        <v>4025</v>
      </c>
      <c r="EOK1" s="15" t="s">
        <v>4026</v>
      </c>
      <c r="EOL1" s="15" t="s">
        <v>4027</v>
      </c>
      <c r="EOM1" s="15" t="s">
        <v>4028</v>
      </c>
      <c r="EON1" s="15" t="s">
        <v>4029</v>
      </c>
      <c r="EOO1" s="15" t="s">
        <v>4030</v>
      </c>
      <c r="EOP1" s="15" t="s">
        <v>4031</v>
      </c>
      <c r="EOQ1" s="15" t="s">
        <v>4032</v>
      </c>
      <c r="EOR1" s="15" t="s">
        <v>4033</v>
      </c>
      <c r="EOS1" s="15" t="s">
        <v>4034</v>
      </c>
      <c r="EOT1" s="15" t="s">
        <v>4035</v>
      </c>
      <c r="EOU1" s="15" t="s">
        <v>4036</v>
      </c>
      <c r="EOV1" s="15" t="s">
        <v>4037</v>
      </c>
      <c r="EOW1" s="15" t="s">
        <v>4038</v>
      </c>
      <c r="EOX1" s="15" t="s">
        <v>4039</v>
      </c>
      <c r="EOY1" s="15" t="s">
        <v>4040</v>
      </c>
      <c r="EOZ1" s="15" t="s">
        <v>4041</v>
      </c>
      <c r="EPA1" s="15" t="s">
        <v>4042</v>
      </c>
      <c r="EPB1" s="15" t="s">
        <v>4043</v>
      </c>
      <c r="EPC1" s="15" t="s">
        <v>4044</v>
      </c>
      <c r="EPD1" s="15" t="s">
        <v>4045</v>
      </c>
      <c r="EPE1" s="15" t="s">
        <v>4046</v>
      </c>
      <c r="EPF1" s="15" t="s">
        <v>4047</v>
      </c>
      <c r="EPG1" s="15" t="s">
        <v>4048</v>
      </c>
      <c r="EPH1" s="15" t="s">
        <v>4049</v>
      </c>
      <c r="EPI1" s="15" t="s">
        <v>4050</v>
      </c>
      <c r="EPJ1" s="15" t="s">
        <v>4051</v>
      </c>
      <c r="EPK1" s="15" t="s">
        <v>4052</v>
      </c>
      <c r="EPL1" s="15" t="s">
        <v>4053</v>
      </c>
      <c r="EPM1" s="15" t="s">
        <v>4054</v>
      </c>
      <c r="EPN1" s="15" t="s">
        <v>4055</v>
      </c>
      <c r="EPO1" s="15" t="s">
        <v>4056</v>
      </c>
      <c r="EPP1" s="15" t="s">
        <v>4057</v>
      </c>
      <c r="EPQ1" s="15" t="s">
        <v>4058</v>
      </c>
      <c r="EPR1" s="15" t="s">
        <v>4059</v>
      </c>
      <c r="EPS1" s="15" t="s">
        <v>4060</v>
      </c>
      <c r="EPT1" s="15" t="s">
        <v>4061</v>
      </c>
      <c r="EPU1" s="15" t="s">
        <v>4062</v>
      </c>
      <c r="EPV1" s="15" t="s">
        <v>4063</v>
      </c>
      <c r="EPW1" s="15" t="s">
        <v>4064</v>
      </c>
      <c r="EPX1" s="15" t="s">
        <v>4065</v>
      </c>
      <c r="EPY1" s="15" t="s">
        <v>4066</v>
      </c>
      <c r="EPZ1" s="15" t="s">
        <v>4067</v>
      </c>
      <c r="EQA1" s="15" t="s">
        <v>4068</v>
      </c>
      <c r="EQB1" s="15" t="s">
        <v>4069</v>
      </c>
      <c r="EQC1" s="15" t="s">
        <v>4070</v>
      </c>
      <c r="EQD1" s="15" t="s">
        <v>4071</v>
      </c>
      <c r="EQE1" s="15" t="s">
        <v>4072</v>
      </c>
      <c r="EQF1" s="15" t="s">
        <v>4073</v>
      </c>
      <c r="EQG1" s="15" t="s">
        <v>4074</v>
      </c>
      <c r="EQH1" s="15" t="s">
        <v>4075</v>
      </c>
      <c r="EQI1" s="15" t="s">
        <v>4076</v>
      </c>
      <c r="EQJ1" s="15" t="s">
        <v>4077</v>
      </c>
      <c r="EQK1" s="15" t="s">
        <v>4078</v>
      </c>
      <c r="EQL1" s="15" t="s">
        <v>4079</v>
      </c>
      <c r="EQM1" s="15" t="s">
        <v>4080</v>
      </c>
      <c r="EQN1" s="15" t="s">
        <v>4081</v>
      </c>
      <c r="EQO1" s="15" t="s">
        <v>4082</v>
      </c>
      <c r="EQP1" s="15" t="s">
        <v>4083</v>
      </c>
      <c r="EQQ1" s="15" t="s">
        <v>4084</v>
      </c>
      <c r="EQR1" s="15" t="s">
        <v>4085</v>
      </c>
      <c r="EQS1" s="15" t="s">
        <v>4086</v>
      </c>
      <c r="EQT1" s="15" t="s">
        <v>4087</v>
      </c>
      <c r="EQU1" s="15" t="s">
        <v>4088</v>
      </c>
      <c r="EQV1" s="15" t="s">
        <v>4089</v>
      </c>
      <c r="EQW1" s="15" t="s">
        <v>4090</v>
      </c>
      <c r="EQX1" s="15" t="s">
        <v>4091</v>
      </c>
      <c r="EQY1" s="15" t="s">
        <v>4092</v>
      </c>
      <c r="EQZ1" s="15" t="s">
        <v>4093</v>
      </c>
      <c r="ERA1" s="15" t="s">
        <v>4094</v>
      </c>
      <c r="ERB1" s="15" t="s">
        <v>4095</v>
      </c>
      <c r="ERC1" s="15" t="s">
        <v>4096</v>
      </c>
      <c r="ERD1" s="15" t="s">
        <v>4097</v>
      </c>
      <c r="ERE1" s="15" t="s">
        <v>4098</v>
      </c>
      <c r="ERF1" s="15" t="s">
        <v>4099</v>
      </c>
      <c r="ERG1" s="15" t="s">
        <v>4100</v>
      </c>
      <c r="ERH1" s="15" t="s">
        <v>4101</v>
      </c>
      <c r="ERI1" s="15" t="s">
        <v>4102</v>
      </c>
      <c r="ERJ1" s="15" t="s">
        <v>4103</v>
      </c>
      <c r="ERK1" s="15" t="s">
        <v>4104</v>
      </c>
      <c r="ERL1" s="15" t="s">
        <v>4105</v>
      </c>
      <c r="ERM1" s="15" t="s">
        <v>4106</v>
      </c>
      <c r="ERN1" s="15" t="s">
        <v>4107</v>
      </c>
      <c r="ERO1" s="15" t="s">
        <v>4108</v>
      </c>
      <c r="ERP1" s="15" t="s">
        <v>4109</v>
      </c>
      <c r="ERQ1" s="15" t="s">
        <v>4110</v>
      </c>
      <c r="ERR1" s="15" t="s">
        <v>4111</v>
      </c>
      <c r="ERS1" s="15" t="s">
        <v>4112</v>
      </c>
      <c r="ERT1" s="15" t="s">
        <v>4113</v>
      </c>
      <c r="ERU1" s="15" t="s">
        <v>4114</v>
      </c>
      <c r="ERV1" s="15" t="s">
        <v>4115</v>
      </c>
      <c r="ERW1" s="15" t="s">
        <v>4116</v>
      </c>
      <c r="ERX1" s="15" t="s">
        <v>4117</v>
      </c>
      <c r="ERY1" s="15" t="s">
        <v>4118</v>
      </c>
      <c r="ERZ1" s="15" t="s">
        <v>4119</v>
      </c>
      <c r="ESA1" s="15" t="s">
        <v>4120</v>
      </c>
      <c r="ESB1" s="15" t="s">
        <v>4121</v>
      </c>
      <c r="ESC1" s="15" t="s">
        <v>4122</v>
      </c>
      <c r="ESD1" s="15" t="s">
        <v>4123</v>
      </c>
      <c r="ESE1" s="15" t="s">
        <v>4124</v>
      </c>
      <c r="ESF1" s="15" t="s">
        <v>4125</v>
      </c>
      <c r="ESG1" s="15" t="s">
        <v>4126</v>
      </c>
      <c r="ESH1" s="15" t="s">
        <v>4127</v>
      </c>
      <c r="ESI1" s="15" t="s">
        <v>4128</v>
      </c>
      <c r="ESJ1" s="15" t="s">
        <v>4129</v>
      </c>
      <c r="ESK1" s="15" t="s">
        <v>4130</v>
      </c>
      <c r="ESL1" s="15" t="s">
        <v>4131</v>
      </c>
      <c r="ESM1" s="15" t="s">
        <v>4132</v>
      </c>
      <c r="ESN1" s="15" t="s">
        <v>4133</v>
      </c>
      <c r="ESO1" s="15" t="s">
        <v>4134</v>
      </c>
      <c r="ESP1" s="15" t="s">
        <v>4135</v>
      </c>
      <c r="ESQ1" s="15" t="s">
        <v>4136</v>
      </c>
      <c r="ESR1" s="15" t="s">
        <v>4137</v>
      </c>
      <c r="ESS1" s="15" t="s">
        <v>4138</v>
      </c>
      <c r="EST1" s="15" t="s">
        <v>4139</v>
      </c>
      <c r="ESU1" s="15" t="s">
        <v>4140</v>
      </c>
      <c r="ESV1" s="15" t="s">
        <v>4141</v>
      </c>
      <c r="ESW1" s="15" t="s">
        <v>4142</v>
      </c>
      <c r="ESX1" s="15" t="s">
        <v>4143</v>
      </c>
      <c r="ESY1" s="15" t="s">
        <v>4144</v>
      </c>
      <c r="ESZ1" s="15" t="s">
        <v>4145</v>
      </c>
      <c r="ETA1" s="15" t="s">
        <v>4146</v>
      </c>
      <c r="ETB1" s="15" t="s">
        <v>4147</v>
      </c>
      <c r="ETC1" s="15" t="s">
        <v>4148</v>
      </c>
      <c r="ETD1" s="15" t="s">
        <v>4149</v>
      </c>
      <c r="ETE1" s="15" t="s">
        <v>4150</v>
      </c>
      <c r="ETF1" s="15" t="s">
        <v>4151</v>
      </c>
      <c r="ETG1" s="15" t="s">
        <v>4152</v>
      </c>
      <c r="ETH1" s="15" t="s">
        <v>4153</v>
      </c>
      <c r="ETI1" s="15" t="s">
        <v>4154</v>
      </c>
      <c r="ETJ1" s="15" t="s">
        <v>4155</v>
      </c>
      <c r="ETK1" s="15" t="s">
        <v>4156</v>
      </c>
      <c r="ETL1" s="15" t="s">
        <v>4157</v>
      </c>
      <c r="ETM1" s="15" t="s">
        <v>4158</v>
      </c>
      <c r="ETN1" s="15" t="s">
        <v>4159</v>
      </c>
      <c r="ETO1" s="15" t="s">
        <v>4160</v>
      </c>
      <c r="ETP1" s="15" t="s">
        <v>4161</v>
      </c>
      <c r="ETQ1" s="15" t="s">
        <v>4162</v>
      </c>
      <c r="ETR1" s="15" t="s">
        <v>4163</v>
      </c>
      <c r="ETS1" s="15" t="s">
        <v>4164</v>
      </c>
      <c r="ETT1" s="15" t="s">
        <v>4165</v>
      </c>
      <c r="ETU1" s="15" t="s">
        <v>4166</v>
      </c>
      <c r="ETV1" s="15" t="s">
        <v>4167</v>
      </c>
      <c r="ETW1" s="15" t="s">
        <v>4168</v>
      </c>
      <c r="ETX1" s="15" t="s">
        <v>4169</v>
      </c>
      <c r="ETY1" s="15" t="s">
        <v>4170</v>
      </c>
      <c r="ETZ1" s="15" t="s">
        <v>4171</v>
      </c>
      <c r="EUA1" s="15" t="s">
        <v>4172</v>
      </c>
      <c r="EUB1" s="15" t="s">
        <v>4173</v>
      </c>
      <c r="EUC1" s="15" t="s">
        <v>4174</v>
      </c>
      <c r="EUD1" s="15" t="s">
        <v>4175</v>
      </c>
      <c r="EUE1" s="15" t="s">
        <v>4176</v>
      </c>
      <c r="EUF1" s="15" t="s">
        <v>4177</v>
      </c>
      <c r="EUG1" s="15" t="s">
        <v>4178</v>
      </c>
      <c r="EUH1" s="15" t="s">
        <v>4179</v>
      </c>
      <c r="EUI1" s="15" t="s">
        <v>4180</v>
      </c>
      <c r="EUJ1" s="15" t="s">
        <v>4181</v>
      </c>
      <c r="EUK1" s="15" t="s">
        <v>4182</v>
      </c>
      <c r="EUL1" s="15" t="s">
        <v>4183</v>
      </c>
      <c r="EUM1" s="15" t="s">
        <v>4184</v>
      </c>
      <c r="EUN1" s="15" t="s">
        <v>4185</v>
      </c>
      <c r="EUO1" s="15" t="s">
        <v>4186</v>
      </c>
      <c r="EUP1" s="15" t="s">
        <v>4187</v>
      </c>
      <c r="EUQ1" s="15" t="s">
        <v>4188</v>
      </c>
      <c r="EUR1" s="15" t="s">
        <v>4189</v>
      </c>
      <c r="EUS1" s="15" t="s">
        <v>4190</v>
      </c>
      <c r="EUT1" s="15" t="s">
        <v>4191</v>
      </c>
      <c r="EUU1" s="15" t="s">
        <v>4192</v>
      </c>
      <c r="EUV1" s="15" t="s">
        <v>4193</v>
      </c>
      <c r="EUW1" s="15" t="s">
        <v>4194</v>
      </c>
      <c r="EUX1" s="15" t="s">
        <v>4195</v>
      </c>
      <c r="EUY1" s="15" t="s">
        <v>4196</v>
      </c>
      <c r="EUZ1" s="15" t="s">
        <v>4197</v>
      </c>
      <c r="EVA1" s="15" t="s">
        <v>4198</v>
      </c>
      <c r="EVB1" s="15" t="s">
        <v>4199</v>
      </c>
      <c r="EVC1" s="15" t="s">
        <v>4200</v>
      </c>
      <c r="EVD1" s="15" t="s">
        <v>4201</v>
      </c>
      <c r="EVE1" s="15" t="s">
        <v>4202</v>
      </c>
      <c r="EVF1" s="15" t="s">
        <v>4203</v>
      </c>
      <c r="EVG1" s="15" t="s">
        <v>4204</v>
      </c>
      <c r="EVH1" s="15" t="s">
        <v>4205</v>
      </c>
      <c r="EVI1" s="15" t="s">
        <v>4206</v>
      </c>
      <c r="EVJ1" s="15" t="s">
        <v>4207</v>
      </c>
      <c r="EVK1" s="15" t="s">
        <v>4208</v>
      </c>
      <c r="EVL1" s="15" t="s">
        <v>4209</v>
      </c>
      <c r="EVM1" s="15" t="s">
        <v>4210</v>
      </c>
      <c r="EVN1" s="15" t="s">
        <v>4211</v>
      </c>
      <c r="EVO1" s="15" t="s">
        <v>4212</v>
      </c>
      <c r="EVP1" s="15" t="s">
        <v>4213</v>
      </c>
      <c r="EVQ1" s="15" t="s">
        <v>4214</v>
      </c>
      <c r="EVR1" s="15" t="s">
        <v>4215</v>
      </c>
      <c r="EVS1" s="15" t="s">
        <v>4216</v>
      </c>
      <c r="EVT1" s="15" t="s">
        <v>4217</v>
      </c>
      <c r="EVU1" s="15" t="s">
        <v>4218</v>
      </c>
      <c r="EVV1" s="15" t="s">
        <v>4219</v>
      </c>
      <c r="EVW1" s="15" t="s">
        <v>4220</v>
      </c>
      <c r="EVX1" s="15" t="s">
        <v>4221</v>
      </c>
      <c r="EVY1" s="15" t="s">
        <v>4222</v>
      </c>
      <c r="EVZ1" s="15" t="s">
        <v>4223</v>
      </c>
      <c r="EWA1" s="15" t="s">
        <v>4224</v>
      </c>
      <c r="EWB1" s="15" t="s">
        <v>4225</v>
      </c>
      <c r="EWC1" s="15" t="s">
        <v>4226</v>
      </c>
      <c r="EWD1" s="15" t="s">
        <v>4227</v>
      </c>
      <c r="EWE1" s="15" t="s">
        <v>4228</v>
      </c>
      <c r="EWF1" s="15" t="s">
        <v>4229</v>
      </c>
      <c r="EWG1" s="15" t="s">
        <v>4230</v>
      </c>
      <c r="EWH1" s="15" t="s">
        <v>4231</v>
      </c>
      <c r="EWI1" s="15" t="s">
        <v>4232</v>
      </c>
      <c r="EWJ1" s="15" t="s">
        <v>4233</v>
      </c>
      <c r="EWK1" s="15" t="s">
        <v>4234</v>
      </c>
      <c r="EWL1" s="15" t="s">
        <v>4235</v>
      </c>
      <c r="EWM1" s="15" t="s">
        <v>4236</v>
      </c>
      <c r="EWN1" s="15" t="s">
        <v>4237</v>
      </c>
      <c r="EWO1" s="15" t="s">
        <v>4238</v>
      </c>
      <c r="EWP1" s="15" t="s">
        <v>4239</v>
      </c>
      <c r="EWQ1" s="15" t="s">
        <v>4240</v>
      </c>
      <c r="EWR1" s="15" t="s">
        <v>4241</v>
      </c>
      <c r="EWS1" s="15" t="s">
        <v>4242</v>
      </c>
      <c r="EWT1" s="15" t="s">
        <v>4243</v>
      </c>
      <c r="EWU1" s="15" t="s">
        <v>4244</v>
      </c>
      <c r="EWV1" s="15" t="s">
        <v>4245</v>
      </c>
      <c r="EWW1" s="15" t="s">
        <v>4246</v>
      </c>
      <c r="EWX1" s="15" t="s">
        <v>4247</v>
      </c>
      <c r="EWY1" s="15" t="s">
        <v>4248</v>
      </c>
      <c r="EWZ1" s="15" t="s">
        <v>4249</v>
      </c>
      <c r="EXA1" s="15" t="s">
        <v>4250</v>
      </c>
      <c r="EXB1" s="15" t="s">
        <v>4251</v>
      </c>
      <c r="EXC1" s="15" t="s">
        <v>4252</v>
      </c>
      <c r="EXD1" s="15" t="s">
        <v>4253</v>
      </c>
      <c r="EXE1" s="15" t="s">
        <v>4254</v>
      </c>
      <c r="EXF1" s="15" t="s">
        <v>4255</v>
      </c>
      <c r="EXG1" s="15" t="s">
        <v>4256</v>
      </c>
      <c r="EXH1" s="15" t="s">
        <v>4257</v>
      </c>
      <c r="EXI1" s="15" t="s">
        <v>4258</v>
      </c>
      <c r="EXJ1" s="15" t="s">
        <v>4259</v>
      </c>
      <c r="EXK1" s="15" t="s">
        <v>4260</v>
      </c>
      <c r="EXL1" s="15" t="s">
        <v>4261</v>
      </c>
      <c r="EXM1" s="15" t="s">
        <v>4262</v>
      </c>
      <c r="EXN1" s="15" t="s">
        <v>4263</v>
      </c>
      <c r="EXO1" s="15" t="s">
        <v>4264</v>
      </c>
      <c r="EXP1" s="15" t="s">
        <v>4265</v>
      </c>
      <c r="EXQ1" s="15" t="s">
        <v>4266</v>
      </c>
      <c r="EXR1" s="15" t="s">
        <v>4267</v>
      </c>
      <c r="EXS1" s="15" t="s">
        <v>4268</v>
      </c>
      <c r="EXT1" s="15" t="s">
        <v>4269</v>
      </c>
      <c r="EXU1" s="15" t="s">
        <v>4270</v>
      </c>
      <c r="EXV1" s="15" t="s">
        <v>4271</v>
      </c>
      <c r="EXW1" s="15" t="s">
        <v>4272</v>
      </c>
      <c r="EXX1" s="15" t="s">
        <v>4273</v>
      </c>
      <c r="EXY1" s="15" t="s">
        <v>4274</v>
      </c>
      <c r="EXZ1" s="15" t="s">
        <v>4275</v>
      </c>
      <c r="EYA1" s="15" t="s">
        <v>4276</v>
      </c>
      <c r="EYB1" s="15" t="s">
        <v>4277</v>
      </c>
      <c r="EYC1" s="15" t="s">
        <v>4278</v>
      </c>
      <c r="EYD1" s="15" t="s">
        <v>4279</v>
      </c>
      <c r="EYE1" s="15" t="s">
        <v>4280</v>
      </c>
      <c r="EYF1" s="15" t="s">
        <v>4281</v>
      </c>
      <c r="EYG1" s="15" t="s">
        <v>4282</v>
      </c>
      <c r="EYH1" s="15" t="s">
        <v>4283</v>
      </c>
      <c r="EYI1" s="15" t="s">
        <v>4284</v>
      </c>
      <c r="EYJ1" s="15" t="s">
        <v>4285</v>
      </c>
      <c r="EYK1" s="15" t="s">
        <v>4286</v>
      </c>
      <c r="EYL1" s="15" t="s">
        <v>4287</v>
      </c>
      <c r="EYM1" s="15" t="s">
        <v>4288</v>
      </c>
      <c r="EYN1" s="15" t="s">
        <v>4289</v>
      </c>
      <c r="EYO1" s="15" t="s">
        <v>4290</v>
      </c>
      <c r="EYP1" s="15" t="s">
        <v>4291</v>
      </c>
      <c r="EYQ1" s="15" t="s">
        <v>4292</v>
      </c>
      <c r="EYR1" s="15" t="s">
        <v>4293</v>
      </c>
      <c r="EYS1" s="15" t="s">
        <v>4294</v>
      </c>
      <c r="EYT1" s="15" t="s">
        <v>4295</v>
      </c>
      <c r="EYU1" s="15" t="s">
        <v>4296</v>
      </c>
      <c r="EYV1" s="15" t="s">
        <v>4297</v>
      </c>
      <c r="EYW1" s="15" t="s">
        <v>4298</v>
      </c>
      <c r="EYX1" s="15" t="s">
        <v>4299</v>
      </c>
      <c r="EYY1" s="15" t="s">
        <v>4300</v>
      </c>
      <c r="EYZ1" s="15" t="s">
        <v>4301</v>
      </c>
      <c r="EZA1" s="15" t="s">
        <v>4302</v>
      </c>
      <c r="EZB1" s="15" t="s">
        <v>4303</v>
      </c>
      <c r="EZC1" s="15" t="s">
        <v>4304</v>
      </c>
      <c r="EZD1" s="15" t="s">
        <v>4305</v>
      </c>
      <c r="EZE1" s="15" t="s">
        <v>4306</v>
      </c>
      <c r="EZF1" s="15" t="s">
        <v>4307</v>
      </c>
      <c r="EZG1" s="15" t="s">
        <v>4308</v>
      </c>
      <c r="EZH1" s="15" t="s">
        <v>4309</v>
      </c>
      <c r="EZI1" s="15" t="s">
        <v>4310</v>
      </c>
      <c r="EZJ1" s="15" t="s">
        <v>4311</v>
      </c>
      <c r="EZK1" s="15" t="s">
        <v>4312</v>
      </c>
      <c r="EZL1" s="15" t="s">
        <v>4313</v>
      </c>
      <c r="EZM1" s="15" t="s">
        <v>4314</v>
      </c>
      <c r="EZN1" s="15" t="s">
        <v>4315</v>
      </c>
      <c r="EZO1" s="15" t="s">
        <v>4316</v>
      </c>
      <c r="EZP1" s="15" t="s">
        <v>4317</v>
      </c>
      <c r="EZQ1" s="15" t="s">
        <v>4318</v>
      </c>
      <c r="EZR1" s="15" t="s">
        <v>4319</v>
      </c>
      <c r="EZS1" s="15" t="s">
        <v>4320</v>
      </c>
      <c r="EZT1" s="15" t="s">
        <v>4321</v>
      </c>
      <c r="EZU1" s="15" t="s">
        <v>4322</v>
      </c>
      <c r="EZV1" s="15" t="s">
        <v>4323</v>
      </c>
      <c r="EZW1" s="15" t="s">
        <v>4324</v>
      </c>
      <c r="EZX1" s="15" t="s">
        <v>4325</v>
      </c>
      <c r="EZY1" s="15" t="s">
        <v>4326</v>
      </c>
      <c r="EZZ1" s="15" t="s">
        <v>4327</v>
      </c>
      <c r="FAA1" s="15" t="s">
        <v>4328</v>
      </c>
      <c r="FAB1" s="15" t="s">
        <v>4329</v>
      </c>
      <c r="FAC1" s="15" t="s">
        <v>4330</v>
      </c>
      <c r="FAD1" s="15" t="s">
        <v>4331</v>
      </c>
      <c r="FAE1" s="15" t="s">
        <v>4332</v>
      </c>
      <c r="FAF1" s="15" t="s">
        <v>4333</v>
      </c>
      <c r="FAG1" s="15" t="s">
        <v>4334</v>
      </c>
      <c r="FAH1" s="15" t="s">
        <v>4335</v>
      </c>
      <c r="FAI1" s="15" t="s">
        <v>4336</v>
      </c>
      <c r="FAJ1" s="15" t="s">
        <v>4337</v>
      </c>
      <c r="FAK1" s="15" t="s">
        <v>4338</v>
      </c>
      <c r="FAL1" s="15" t="s">
        <v>4339</v>
      </c>
      <c r="FAM1" s="15" t="s">
        <v>4340</v>
      </c>
      <c r="FAN1" s="15" t="s">
        <v>4341</v>
      </c>
      <c r="FAO1" s="15" t="s">
        <v>4342</v>
      </c>
      <c r="FAP1" s="15" t="s">
        <v>4343</v>
      </c>
      <c r="FAQ1" s="15" t="s">
        <v>4344</v>
      </c>
      <c r="FAR1" s="15" t="s">
        <v>4345</v>
      </c>
      <c r="FAS1" s="15" t="s">
        <v>4346</v>
      </c>
      <c r="FAT1" s="15" t="s">
        <v>4347</v>
      </c>
      <c r="FAU1" s="15" t="s">
        <v>4348</v>
      </c>
      <c r="FAV1" s="15" t="s">
        <v>4349</v>
      </c>
      <c r="FAW1" s="15" t="s">
        <v>4350</v>
      </c>
      <c r="FAX1" s="15" t="s">
        <v>4351</v>
      </c>
      <c r="FAY1" s="15" t="s">
        <v>4352</v>
      </c>
      <c r="FAZ1" s="15" t="s">
        <v>4353</v>
      </c>
      <c r="FBA1" s="15" t="s">
        <v>4354</v>
      </c>
      <c r="FBB1" s="15" t="s">
        <v>4355</v>
      </c>
      <c r="FBC1" s="15" t="s">
        <v>4356</v>
      </c>
      <c r="FBD1" s="15" t="s">
        <v>4357</v>
      </c>
      <c r="FBE1" s="15" t="s">
        <v>4358</v>
      </c>
      <c r="FBF1" s="15" t="s">
        <v>4359</v>
      </c>
      <c r="FBG1" s="15" t="s">
        <v>4360</v>
      </c>
      <c r="FBH1" s="15" t="s">
        <v>4361</v>
      </c>
      <c r="FBI1" s="15" t="s">
        <v>4362</v>
      </c>
      <c r="FBJ1" s="15" t="s">
        <v>4363</v>
      </c>
      <c r="FBK1" s="15" t="s">
        <v>4364</v>
      </c>
      <c r="FBL1" s="15" t="s">
        <v>4365</v>
      </c>
      <c r="FBM1" s="15" t="s">
        <v>4366</v>
      </c>
      <c r="FBN1" s="15" t="s">
        <v>4367</v>
      </c>
      <c r="FBO1" s="15" t="s">
        <v>4368</v>
      </c>
      <c r="FBP1" s="15" t="s">
        <v>4369</v>
      </c>
      <c r="FBQ1" s="15" t="s">
        <v>4370</v>
      </c>
      <c r="FBR1" s="15" t="s">
        <v>4371</v>
      </c>
      <c r="FBS1" s="15" t="s">
        <v>4372</v>
      </c>
      <c r="FBT1" s="15" t="s">
        <v>4373</v>
      </c>
      <c r="FBU1" s="15" t="s">
        <v>4374</v>
      </c>
      <c r="FBV1" s="15" t="s">
        <v>4375</v>
      </c>
      <c r="FBW1" s="15" t="s">
        <v>4376</v>
      </c>
      <c r="FBX1" s="15" t="s">
        <v>4377</v>
      </c>
      <c r="FBY1" s="15" t="s">
        <v>4378</v>
      </c>
      <c r="FBZ1" s="15" t="s">
        <v>4379</v>
      </c>
      <c r="FCA1" s="15" t="s">
        <v>4380</v>
      </c>
      <c r="FCB1" s="15" t="s">
        <v>4381</v>
      </c>
      <c r="FCC1" s="15" t="s">
        <v>4382</v>
      </c>
      <c r="FCD1" s="15" t="s">
        <v>4383</v>
      </c>
      <c r="FCE1" s="15" t="s">
        <v>4384</v>
      </c>
      <c r="FCF1" s="15" t="s">
        <v>4385</v>
      </c>
      <c r="FCG1" s="15" t="s">
        <v>4386</v>
      </c>
      <c r="FCH1" s="15" t="s">
        <v>4387</v>
      </c>
      <c r="FCI1" s="15" t="s">
        <v>4388</v>
      </c>
      <c r="FCJ1" s="15" t="s">
        <v>4389</v>
      </c>
      <c r="FCK1" s="15" t="s">
        <v>4390</v>
      </c>
      <c r="FCL1" s="15" t="s">
        <v>4391</v>
      </c>
      <c r="FCM1" s="15" t="s">
        <v>4392</v>
      </c>
      <c r="FCN1" s="15" t="s">
        <v>4393</v>
      </c>
      <c r="FCO1" s="15" t="s">
        <v>4394</v>
      </c>
      <c r="FCP1" s="15" t="s">
        <v>4395</v>
      </c>
      <c r="FCQ1" s="15" t="s">
        <v>4396</v>
      </c>
      <c r="FCR1" s="15" t="s">
        <v>4397</v>
      </c>
      <c r="FCS1" s="15" t="s">
        <v>4398</v>
      </c>
      <c r="FCT1" s="15" t="s">
        <v>4399</v>
      </c>
      <c r="FCU1" s="15" t="s">
        <v>4400</v>
      </c>
      <c r="FCV1" s="15" t="s">
        <v>4401</v>
      </c>
      <c r="FCW1" s="15" t="s">
        <v>4402</v>
      </c>
      <c r="FCX1" s="15" t="s">
        <v>4403</v>
      </c>
      <c r="FCY1" s="15" t="s">
        <v>4404</v>
      </c>
      <c r="FCZ1" s="15" t="s">
        <v>4405</v>
      </c>
      <c r="FDA1" s="15" t="s">
        <v>4406</v>
      </c>
      <c r="FDB1" s="15" t="s">
        <v>4407</v>
      </c>
      <c r="FDC1" s="15" t="s">
        <v>4408</v>
      </c>
      <c r="FDD1" s="15" t="s">
        <v>4409</v>
      </c>
      <c r="FDE1" s="15" t="s">
        <v>4410</v>
      </c>
      <c r="FDF1" s="15" t="s">
        <v>4411</v>
      </c>
      <c r="FDG1" s="15" t="s">
        <v>4412</v>
      </c>
      <c r="FDH1" s="15" t="s">
        <v>4413</v>
      </c>
      <c r="FDI1" s="15" t="s">
        <v>4414</v>
      </c>
      <c r="FDJ1" s="15" t="s">
        <v>4415</v>
      </c>
      <c r="FDK1" s="15" t="s">
        <v>4416</v>
      </c>
      <c r="FDL1" s="15" t="s">
        <v>4417</v>
      </c>
      <c r="FDM1" s="15" t="s">
        <v>4418</v>
      </c>
      <c r="FDN1" s="15" t="s">
        <v>4419</v>
      </c>
      <c r="FDO1" s="15" t="s">
        <v>4420</v>
      </c>
      <c r="FDP1" s="15" t="s">
        <v>4421</v>
      </c>
      <c r="FDQ1" s="15" t="s">
        <v>4422</v>
      </c>
      <c r="FDR1" s="15" t="s">
        <v>4423</v>
      </c>
      <c r="FDS1" s="15" t="s">
        <v>4424</v>
      </c>
      <c r="FDT1" s="15" t="s">
        <v>4425</v>
      </c>
      <c r="FDU1" s="15" t="s">
        <v>4426</v>
      </c>
      <c r="FDV1" s="15" t="s">
        <v>4427</v>
      </c>
      <c r="FDW1" s="15" t="s">
        <v>4428</v>
      </c>
      <c r="FDX1" s="15" t="s">
        <v>4429</v>
      </c>
      <c r="FDY1" s="15" t="s">
        <v>4430</v>
      </c>
      <c r="FDZ1" s="15" t="s">
        <v>4431</v>
      </c>
      <c r="FEA1" s="15" t="s">
        <v>4432</v>
      </c>
      <c r="FEB1" s="15" t="s">
        <v>4433</v>
      </c>
      <c r="FEC1" s="15" t="s">
        <v>4434</v>
      </c>
      <c r="FED1" s="15" t="s">
        <v>4435</v>
      </c>
      <c r="FEE1" s="15" t="s">
        <v>4436</v>
      </c>
      <c r="FEF1" s="15" t="s">
        <v>4437</v>
      </c>
      <c r="FEG1" s="15" t="s">
        <v>4438</v>
      </c>
      <c r="FEH1" s="15" t="s">
        <v>4439</v>
      </c>
      <c r="FEI1" s="15" t="s">
        <v>4440</v>
      </c>
      <c r="FEJ1" s="15" t="s">
        <v>4441</v>
      </c>
      <c r="FEK1" s="15" t="s">
        <v>4442</v>
      </c>
      <c r="FEL1" s="15" t="s">
        <v>4443</v>
      </c>
      <c r="FEM1" s="15" t="s">
        <v>4444</v>
      </c>
      <c r="FEN1" s="15" t="s">
        <v>4445</v>
      </c>
      <c r="FEO1" s="15" t="s">
        <v>4446</v>
      </c>
      <c r="FEP1" s="15" t="s">
        <v>4447</v>
      </c>
      <c r="FEQ1" s="15" t="s">
        <v>4448</v>
      </c>
      <c r="FER1" s="15" t="s">
        <v>4449</v>
      </c>
      <c r="FES1" s="15" t="s">
        <v>4450</v>
      </c>
      <c r="FET1" s="15" t="s">
        <v>4451</v>
      </c>
      <c r="FEU1" s="15" t="s">
        <v>4452</v>
      </c>
      <c r="FEV1" s="15" t="s">
        <v>4453</v>
      </c>
      <c r="FEW1" s="15" t="s">
        <v>4454</v>
      </c>
      <c r="FEX1" s="15" t="s">
        <v>4455</v>
      </c>
      <c r="FEY1" s="15" t="s">
        <v>4456</v>
      </c>
      <c r="FEZ1" s="15" t="s">
        <v>4457</v>
      </c>
      <c r="FFA1" s="15" t="s">
        <v>4458</v>
      </c>
      <c r="FFB1" s="15" t="s">
        <v>4459</v>
      </c>
      <c r="FFC1" s="15" t="s">
        <v>4460</v>
      </c>
      <c r="FFD1" s="15" t="s">
        <v>4461</v>
      </c>
      <c r="FFE1" s="15" t="s">
        <v>4462</v>
      </c>
      <c r="FFF1" s="15" t="s">
        <v>4463</v>
      </c>
      <c r="FFG1" s="15" t="s">
        <v>4464</v>
      </c>
      <c r="FFH1" s="15" t="s">
        <v>4465</v>
      </c>
      <c r="FFI1" s="15" t="s">
        <v>4466</v>
      </c>
      <c r="FFJ1" s="15" t="s">
        <v>4467</v>
      </c>
      <c r="FFK1" s="15" t="s">
        <v>4468</v>
      </c>
      <c r="FFL1" s="15" t="s">
        <v>4469</v>
      </c>
      <c r="FFM1" s="15" t="s">
        <v>4470</v>
      </c>
      <c r="FFN1" s="15" t="s">
        <v>4471</v>
      </c>
      <c r="FFO1" s="15" t="s">
        <v>4472</v>
      </c>
      <c r="FFP1" s="15" t="s">
        <v>4473</v>
      </c>
      <c r="FFQ1" s="15" t="s">
        <v>4474</v>
      </c>
      <c r="FFR1" s="15" t="s">
        <v>4475</v>
      </c>
      <c r="FFS1" s="15" t="s">
        <v>4476</v>
      </c>
      <c r="FFT1" s="15" t="s">
        <v>4477</v>
      </c>
      <c r="FFU1" s="15" t="s">
        <v>4478</v>
      </c>
      <c r="FFV1" s="15" t="s">
        <v>4479</v>
      </c>
      <c r="FFW1" s="15" t="s">
        <v>4480</v>
      </c>
      <c r="FFX1" s="15" t="s">
        <v>4481</v>
      </c>
      <c r="FFY1" s="15" t="s">
        <v>4482</v>
      </c>
      <c r="FFZ1" s="15" t="s">
        <v>4483</v>
      </c>
      <c r="FGA1" s="15" t="s">
        <v>4484</v>
      </c>
      <c r="FGB1" s="15" t="s">
        <v>4485</v>
      </c>
      <c r="FGC1" s="15" t="s">
        <v>4486</v>
      </c>
      <c r="FGD1" s="15" t="s">
        <v>4487</v>
      </c>
      <c r="FGE1" s="15" t="s">
        <v>4488</v>
      </c>
      <c r="FGF1" s="15" t="s">
        <v>4489</v>
      </c>
      <c r="FGG1" s="15" t="s">
        <v>4490</v>
      </c>
      <c r="FGH1" s="15" t="s">
        <v>4491</v>
      </c>
      <c r="FGI1" s="15" t="s">
        <v>4492</v>
      </c>
      <c r="FGJ1" s="15" t="s">
        <v>4493</v>
      </c>
      <c r="FGK1" s="15" t="s">
        <v>4494</v>
      </c>
      <c r="FGL1" s="15" t="s">
        <v>4495</v>
      </c>
      <c r="FGM1" s="15" t="s">
        <v>4496</v>
      </c>
      <c r="FGN1" s="15" t="s">
        <v>4497</v>
      </c>
      <c r="FGO1" s="15" t="s">
        <v>4498</v>
      </c>
      <c r="FGP1" s="15" t="s">
        <v>4499</v>
      </c>
      <c r="FGQ1" s="15" t="s">
        <v>4500</v>
      </c>
      <c r="FGR1" s="15" t="s">
        <v>4501</v>
      </c>
      <c r="FGS1" s="15" t="s">
        <v>4502</v>
      </c>
      <c r="FGT1" s="15" t="s">
        <v>4503</v>
      </c>
      <c r="FGU1" s="15" t="s">
        <v>4504</v>
      </c>
      <c r="FGV1" s="15" t="s">
        <v>4505</v>
      </c>
      <c r="FGW1" s="15" t="s">
        <v>4506</v>
      </c>
      <c r="FGX1" s="15" t="s">
        <v>4507</v>
      </c>
      <c r="FGY1" s="15" t="s">
        <v>4508</v>
      </c>
      <c r="FGZ1" s="15" t="s">
        <v>4509</v>
      </c>
      <c r="FHA1" s="15" t="s">
        <v>4510</v>
      </c>
      <c r="FHB1" s="15" t="s">
        <v>4511</v>
      </c>
      <c r="FHC1" s="15" t="s">
        <v>4512</v>
      </c>
      <c r="FHD1" s="15" t="s">
        <v>4513</v>
      </c>
      <c r="FHE1" s="15" t="s">
        <v>4514</v>
      </c>
      <c r="FHF1" s="15" t="s">
        <v>4515</v>
      </c>
      <c r="FHG1" s="15" t="s">
        <v>4516</v>
      </c>
      <c r="FHH1" s="15" t="s">
        <v>4517</v>
      </c>
      <c r="FHI1" s="15" t="s">
        <v>4518</v>
      </c>
      <c r="FHJ1" s="15" t="s">
        <v>4519</v>
      </c>
      <c r="FHK1" s="15" t="s">
        <v>4520</v>
      </c>
      <c r="FHL1" s="15" t="s">
        <v>4521</v>
      </c>
      <c r="FHM1" s="15" t="s">
        <v>4522</v>
      </c>
      <c r="FHN1" s="15" t="s">
        <v>4523</v>
      </c>
      <c r="FHO1" s="15" t="s">
        <v>4524</v>
      </c>
      <c r="FHP1" s="15" t="s">
        <v>4525</v>
      </c>
      <c r="FHQ1" s="15" t="s">
        <v>4526</v>
      </c>
      <c r="FHR1" s="15" t="s">
        <v>4527</v>
      </c>
      <c r="FHS1" s="15" t="s">
        <v>4528</v>
      </c>
      <c r="FHT1" s="15" t="s">
        <v>4529</v>
      </c>
      <c r="FHU1" s="15" t="s">
        <v>4530</v>
      </c>
      <c r="FHV1" s="15" t="s">
        <v>4531</v>
      </c>
      <c r="FHW1" s="15" t="s">
        <v>4532</v>
      </c>
      <c r="FHX1" s="15" t="s">
        <v>4533</v>
      </c>
      <c r="FHY1" s="15" t="s">
        <v>4534</v>
      </c>
      <c r="FHZ1" s="15" t="s">
        <v>4535</v>
      </c>
      <c r="FIA1" s="15" t="s">
        <v>4536</v>
      </c>
      <c r="FIB1" s="15" t="s">
        <v>4537</v>
      </c>
      <c r="FIC1" s="15" t="s">
        <v>4538</v>
      </c>
      <c r="FID1" s="15" t="s">
        <v>4539</v>
      </c>
      <c r="FIE1" s="15" t="s">
        <v>4540</v>
      </c>
      <c r="FIF1" s="15" t="s">
        <v>4541</v>
      </c>
      <c r="FIG1" s="15" t="s">
        <v>4542</v>
      </c>
      <c r="FIH1" s="15" t="s">
        <v>4543</v>
      </c>
      <c r="FII1" s="15" t="s">
        <v>4544</v>
      </c>
      <c r="FIJ1" s="15" t="s">
        <v>4545</v>
      </c>
      <c r="FIK1" s="15" t="s">
        <v>4546</v>
      </c>
      <c r="FIL1" s="15" t="s">
        <v>4547</v>
      </c>
      <c r="FIM1" s="15" t="s">
        <v>4548</v>
      </c>
      <c r="FIN1" s="15" t="s">
        <v>4549</v>
      </c>
      <c r="FIO1" s="15" t="s">
        <v>4550</v>
      </c>
      <c r="FIP1" s="15" t="s">
        <v>4551</v>
      </c>
      <c r="FIQ1" s="15" t="s">
        <v>4552</v>
      </c>
      <c r="FIR1" s="15" t="s">
        <v>4553</v>
      </c>
      <c r="FIS1" s="15" t="s">
        <v>4554</v>
      </c>
      <c r="FIT1" s="15" t="s">
        <v>4555</v>
      </c>
      <c r="FIU1" s="15" t="s">
        <v>4556</v>
      </c>
      <c r="FIV1" s="15" t="s">
        <v>4557</v>
      </c>
      <c r="FIW1" s="15" t="s">
        <v>4558</v>
      </c>
      <c r="FIX1" s="15" t="s">
        <v>4559</v>
      </c>
      <c r="FIY1" s="15" t="s">
        <v>4560</v>
      </c>
      <c r="FIZ1" s="15" t="s">
        <v>4561</v>
      </c>
      <c r="FJA1" s="15" t="s">
        <v>4562</v>
      </c>
      <c r="FJB1" s="15" t="s">
        <v>4563</v>
      </c>
      <c r="FJC1" s="15" t="s">
        <v>4564</v>
      </c>
      <c r="FJD1" s="15" t="s">
        <v>4565</v>
      </c>
      <c r="FJE1" s="15" t="s">
        <v>4566</v>
      </c>
      <c r="FJF1" s="15" t="s">
        <v>4567</v>
      </c>
      <c r="FJG1" s="15" t="s">
        <v>4568</v>
      </c>
      <c r="FJH1" s="15" t="s">
        <v>4569</v>
      </c>
      <c r="FJI1" s="15" t="s">
        <v>4570</v>
      </c>
      <c r="FJJ1" s="15" t="s">
        <v>4571</v>
      </c>
      <c r="FJK1" s="15" t="s">
        <v>4572</v>
      </c>
      <c r="FJL1" s="15" t="s">
        <v>4573</v>
      </c>
      <c r="FJM1" s="15" t="s">
        <v>4574</v>
      </c>
      <c r="FJN1" s="15" t="s">
        <v>4575</v>
      </c>
      <c r="FJO1" s="15" t="s">
        <v>4576</v>
      </c>
      <c r="FJP1" s="15" t="s">
        <v>4577</v>
      </c>
      <c r="FJQ1" s="15" t="s">
        <v>4578</v>
      </c>
      <c r="FJR1" s="15" t="s">
        <v>4579</v>
      </c>
      <c r="FJS1" s="15" t="s">
        <v>4580</v>
      </c>
      <c r="FJT1" s="15" t="s">
        <v>4581</v>
      </c>
      <c r="FJU1" s="15" t="s">
        <v>4582</v>
      </c>
      <c r="FJV1" s="15" t="s">
        <v>4583</v>
      </c>
      <c r="FJW1" s="15" t="s">
        <v>4584</v>
      </c>
      <c r="FJX1" s="15" t="s">
        <v>4585</v>
      </c>
      <c r="FJY1" s="15" t="s">
        <v>4586</v>
      </c>
      <c r="FJZ1" s="15" t="s">
        <v>4587</v>
      </c>
      <c r="FKA1" s="15" t="s">
        <v>4588</v>
      </c>
      <c r="FKB1" s="15" t="s">
        <v>4589</v>
      </c>
      <c r="FKC1" s="15" t="s">
        <v>4590</v>
      </c>
      <c r="FKD1" s="15" t="s">
        <v>4591</v>
      </c>
      <c r="FKE1" s="15" t="s">
        <v>4592</v>
      </c>
      <c r="FKF1" s="15" t="s">
        <v>4593</v>
      </c>
      <c r="FKG1" s="15" t="s">
        <v>4594</v>
      </c>
      <c r="FKH1" s="15" t="s">
        <v>4595</v>
      </c>
      <c r="FKI1" s="15" t="s">
        <v>4596</v>
      </c>
      <c r="FKJ1" s="15" t="s">
        <v>4597</v>
      </c>
      <c r="FKK1" s="15" t="s">
        <v>4598</v>
      </c>
      <c r="FKL1" s="15" t="s">
        <v>4599</v>
      </c>
      <c r="FKM1" s="15" t="s">
        <v>4600</v>
      </c>
      <c r="FKN1" s="15" t="s">
        <v>4601</v>
      </c>
      <c r="FKO1" s="15" t="s">
        <v>4602</v>
      </c>
      <c r="FKP1" s="15" t="s">
        <v>4603</v>
      </c>
      <c r="FKQ1" s="15" t="s">
        <v>4604</v>
      </c>
      <c r="FKR1" s="15" t="s">
        <v>4605</v>
      </c>
      <c r="FKS1" s="15" t="s">
        <v>4606</v>
      </c>
      <c r="FKT1" s="15" t="s">
        <v>4607</v>
      </c>
      <c r="FKU1" s="15" t="s">
        <v>4608</v>
      </c>
      <c r="FKV1" s="15" t="s">
        <v>4609</v>
      </c>
      <c r="FKW1" s="15" t="s">
        <v>4610</v>
      </c>
      <c r="FKX1" s="15" t="s">
        <v>4611</v>
      </c>
      <c r="FKY1" s="15" t="s">
        <v>4612</v>
      </c>
      <c r="FKZ1" s="15" t="s">
        <v>4613</v>
      </c>
      <c r="FLA1" s="15" t="s">
        <v>4614</v>
      </c>
      <c r="FLB1" s="15" t="s">
        <v>4615</v>
      </c>
      <c r="FLC1" s="15" t="s">
        <v>4616</v>
      </c>
      <c r="FLD1" s="15" t="s">
        <v>4617</v>
      </c>
      <c r="FLE1" s="15" t="s">
        <v>4618</v>
      </c>
      <c r="FLF1" s="15" t="s">
        <v>4619</v>
      </c>
      <c r="FLG1" s="15" t="s">
        <v>4620</v>
      </c>
      <c r="FLH1" s="15" t="s">
        <v>4621</v>
      </c>
      <c r="FLI1" s="15" t="s">
        <v>4622</v>
      </c>
      <c r="FLJ1" s="15" t="s">
        <v>4623</v>
      </c>
      <c r="FLK1" s="15" t="s">
        <v>4624</v>
      </c>
      <c r="FLL1" s="15" t="s">
        <v>4625</v>
      </c>
      <c r="FLM1" s="15" t="s">
        <v>4626</v>
      </c>
      <c r="FLN1" s="15" t="s">
        <v>4627</v>
      </c>
      <c r="FLO1" s="15" t="s">
        <v>4628</v>
      </c>
      <c r="FLP1" s="15" t="s">
        <v>4629</v>
      </c>
      <c r="FLQ1" s="15" t="s">
        <v>4630</v>
      </c>
      <c r="FLR1" s="15" t="s">
        <v>4631</v>
      </c>
      <c r="FLS1" s="15" t="s">
        <v>4632</v>
      </c>
      <c r="FLT1" s="15" t="s">
        <v>4633</v>
      </c>
      <c r="FLU1" s="15" t="s">
        <v>4634</v>
      </c>
      <c r="FLV1" s="15" t="s">
        <v>4635</v>
      </c>
      <c r="FLW1" s="15" t="s">
        <v>4636</v>
      </c>
      <c r="FLX1" s="15" t="s">
        <v>4637</v>
      </c>
      <c r="FLY1" s="15" t="s">
        <v>4638</v>
      </c>
      <c r="FLZ1" s="15" t="s">
        <v>4639</v>
      </c>
      <c r="FMA1" s="15" t="s">
        <v>4640</v>
      </c>
      <c r="FMB1" s="15" t="s">
        <v>4641</v>
      </c>
      <c r="FMC1" s="15" t="s">
        <v>4642</v>
      </c>
      <c r="FMD1" s="15" t="s">
        <v>4643</v>
      </c>
      <c r="FME1" s="15" t="s">
        <v>4644</v>
      </c>
      <c r="FMF1" s="15" t="s">
        <v>4645</v>
      </c>
      <c r="FMG1" s="15" t="s">
        <v>4646</v>
      </c>
      <c r="FMH1" s="15" t="s">
        <v>4647</v>
      </c>
      <c r="FMI1" s="15" t="s">
        <v>4648</v>
      </c>
      <c r="FMJ1" s="15" t="s">
        <v>4649</v>
      </c>
      <c r="FMK1" s="15" t="s">
        <v>4650</v>
      </c>
      <c r="FML1" s="15" t="s">
        <v>4651</v>
      </c>
      <c r="FMM1" s="15" t="s">
        <v>4652</v>
      </c>
      <c r="FMN1" s="15" t="s">
        <v>4653</v>
      </c>
      <c r="FMO1" s="15" t="s">
        <v>4654</v>
      </c>
      <c r="FMP1" s="15" t="s">
        <v>4655</v>
      </c>
      <c r="FMQ1" s="15" t="s">
        <v>4656</v>
      </c>
      <c r="FMR1" s="15" t="s">
        <v>4657</v>
      </c>
      <c r="FMS1" s="15" t="s">
        <v>4658</v>
      </c>
      <c r="FMT1" s="15" t="s">
        <v>4659</v>
      </c>
      <c r="FMU1" s="15" t="s">
        <v>4660</v>
      </c>
      <c r="FMV1" s="15" t="s">
        <v>4661</v>
      </c>
      <c r="FMW1" s="15" t="s">
        <v>4662</v>
      </c>
      <c r="FMX1" s="15" t="s">
        <v>4663</v>
      </c>
      <c r="FMY1" s="15" t="s">
        <v>4664</v>
      </c>
      <c r="FMZ1" s="15" t="s">
        <v>4665</v>
      </c>
      <c r="FNA1" s="15" t="s">
        <v>4666</v>
      </c>
      <c r="FNB1" s="15" t="s">
        <v>4667</v>
      </c>
      <c r="FNC1" s="15" t="s">
        <v>4668</v>
      </c>
      <c r="FND1" s="15" t="s">
        <v>4669</v>
      </c>
      <c r="FNE1" s="15" t="s">
        <v>4670</v>
      </c>
      <c r="FNF1" s="15" t="s">
        <v>4671</v>
      </c>
      <c r="FNG1" s="15" t="s">
        <v>4672</v>
      </c>
      <c r="FNH1" s="15" t="s">
        <v>4673</v>
      </c>
      <c r="FNI1" s="15" t="s">
        <v>4674</v>
      </c>
      <c r="FNJ1" s="15" t="s">
        <v>4675</v>
      </c>
      <c r="FNK1" s="15" t="s">
        <v>4676</v>
      </c>
      <c r="FNL1" s="15" t="s">
        <v>4677</v>
      </c>
      <c r="FNM1" s="15" t="s">
        <v>4678</v>
      </c>
      <c r="FNN1" s="15" t="s">
        <v>4679</v>
      </c>
      <c r="FNO1" s="15" t="s">
        <v>4680</v>
      </c>
      <c r="FNP1" s="15" t="s">
        <v>4681</v>
      </c>
      <c r="FNQ1" s="15" t="s">
        <v>4682</v>
      </c>
      <c r="FNR1" s="15" t="s">
        <v>4683</v>
      </c>
      <c r="FNS1" s="15" t="s">
        <v>4684</v>
      </c>
      <c r="FNT1" s="15" t="s">
        <v>4685</v>
      </c>
      <c r="FNU1" s="15" t="s">
        <v>4686</v>
      </c>
      <c r="FNV1" s="15" t="s">
        <v>4687</v>
      </c>
      <c r="FNW1" s="15" t="s">
        <v>4688</v>
      </c>
      <c r="FNX1" s="15" t="s">
        <v>4689</v>
      </c>
      <c r="FNY1" s="15" t="s">
        <v>4690</v>
      </c>
      <c r="FNZ1" s="15" t="s">
        <v>4691</v>
      </c>
      <c r="FOA1" s="15" t="s">
        <v>4692</v>
      </c>
      <c r="FOB1" s="15" t="s">
        <v>4693</v>
      </c>
      <c r="FOC1" s="15" t="s">
        <v>4694</v>
      </c>
      <c r="FOD1" s="15" t="s">
        <v>4695</v>
      </c>
      <c r="FOE1" s="15" t="s">
        <v>4696</v>
      </c>
      <c r="FOF1" s="15" t="s">
        <v>4697</v>
      </c>
      <c r="FOG1" s="15" t="s">
        <v>4698</v>
      </c>
      <c r="FOH1" s="15" t="s">
        <v>4699</v>
      </c>
      <c r="FOI1" s="15" t="s">
        <v>4700</v>
      </c>
      <c r="FOJ1" s="15" t="s">
        <v>4701</v>
      </c>
      <c r="FOK1" s="15" t="s">
        <v>4702</v>
      </c>
      <c r="FOL1" s="15" t="s">
        <v>4703</v>
      </c>
      <c r="FOM1" s="15" t="s">
        <v>4704</v>
      </c>
      <c r="FON1" s="15" t="s">
        <v>4705</v>
      </c>
      <c r="FOO1" s="15" t="s">
        <v>4706</v>
      </c>
      <c r="FOP1" s="15" t="s">
        <v>4707</v>
      </c>
      <c r="FOQ1" s="15" t="s">
        <v>4708</v>
      </c>
      <c r="FOR1" s="15" t="s">
        <v>4709</v>
      </c>
      <c r="FOS1" s="15" t="s">
        <v>4710</v>
      </c>
      <c r="FOT1" s="15" t="s">
        <v>4711</v>
      </c>
      <c r="FOU1" s="15" t="s">
        <v>4712</v>
      </c>
      <c r="FOV1" s="15" t="s">
        <v>4713</v>
      </c>
      <c r="FOW1" s="15" t="s">
        <v>4714</v>
      </c>
      <c r="FOX1" s="15" t="s">
        <v>4715</v>
      </c>
      <c r="FOY1" s="15" t="s">
        <v>4716</v>
      </c>
      <c r="FOZ1" s="15" t="s">
        <v>4717</v>
      </c>
      <c r="FPA1" s="15" t="s">
        <v>4718</v>
      </c>
      <c r="FPB1" s="15" t="s">
        <v>4719</v>
      </c>
      <c r="FPC1" s="15" t="s">
        <v>4720</v>
      </c>
      <c r="FPD1" s="15" t="s">
        <v>4721</v>
      </c>
      <c r="FPE1" s="15" t="s">
        <v>4722</v>
      </c>
      <c r="FPF1" s="15" t="s">
        <v>4723</v>
      </c>
      <c r="FPG1" s="15" t="s">
        <v>4724</v>
      </c>
      <c r="FPH1" s="15" t="s">
        <v>4725</v>
      </c>
      <c r="FPI1" s="15" t="s">
        <v>4726</v>
      </c>
      <c r="FPJ1" s="15" t="s">
        <v>4727</v>
      </c>
      <c r="FPK1" s="15" t="s">
        <v>4728</v>
      </c>
      <c r="FPL1" s="15" t="s">
        <v>4729</v>
      </c>
      <c r="FPM1" s="15" t="s">
        <v>4730</v>
      </c>
      <c r="FPN1" s="15" t="s">
        <v>4731</v>
      </c>
      <c r="FPO1" s="15" t="s">
        <v>4732</v>
      </c>
      <c r="FPP1" s="15" t="s">
        <v>4733</v>
      </c>
      <c r="FPQ1" s="15" t="s">
        <v>4734</v>
      </c>
      <c r="FPR1" s="15" t="s">
        <v>4735</v>
      </c>
      <c r="FPS1" s="15" t="s">
        <v>4736</v>
      </c>
      <c r="FPT1" s="15" t="s">
        <v>4737</v>
      </c>
      <c r="FPU1" s="15" t="s">
        <v>4738</v>
      </c>
      <c r="FPV1" s="15" t="s">
        <v>4739</v>
      </c>
      <c r="FPW1" s="15" t="s">
        <v>4740</v>
      </c>
      <c r="FPX1" s="15" t="s">
        <v>4741</v>
      </c>
      <c r="FPY1" s="15" t="s">
        <v>4742</v>
      </c>
      <c r="FPZ1" s="15" t="s">
        <v>4743</v>
      </c>
      <c r="FQA1" s="15" t="s">
        <v>4744</v>
      </c>
      <c r="FQB1" s="15" t="s">
        <v>4745</v>
      </c>
      <c r="FQC1" s="15" t="s">
        <v>4746</v>
      </c>
      <c r="FQD1" s="15" t="s">
        <v>4747</v>
      </c>
      <c r="FQE1" s="15" t="s">
        <v>4748</v>
      </c>
      <c r="FQF1" s="15" t="s">
        <v>4749</v>
      </c>
      <c r="FQG1" s="15" t="s">
        <v>4750</v>
      </c>
      <c r="FQH1" s="15" t="s">
        <v>4751</v>
      </c>
      <c r="FQI1" s="15" t="s">
        <v>4752</v>
      </c>
      <c r="FQJ1" s="15" t="s">
        <v>4753</v>
      </c>
      <c r="FQK1" s="15" t="s">
        <v>4754</v>
      </c>
      <c r="FQL1" s="15" t="s">
        <v>4755</v>
      </c>
      <c r="FQM1" s="15" t="s">
        <v>4756</v>
      </c>
      <c r="FQN1" s="15" t="s">
        <v>4757</v>
      </c>
      <c r="FQO1" s="15" t="s">
        <v>4758</v>
      </c>
      <c r="FQP1" s="15" t="s">
        <v>4759</v>
      </c>
      <c r="FQQ1" s="15" t="s">
        <v>4760</v>
      </c>
      <c r="FQR1" s="15" t="s">
        <v>4761</v>
      </c>
      <c r="FQS1" s="15" t="s">
        <v>4762</v>
      </c>
      <c r="FQT1" s="15" t="s">
        <v>4763</v>
      </c>
      <c r="FQU1" s="15" t="s">
        <v>4764</v>
      </c>
      <c r="FQV1" s="15" t="s">
        <v>4765</v>
      </c>
      <c r="FQW1" s="15" t="s">
        <v>4766</v>
      </c>
      <c r="FQX1" s="15" t="s">
        <v>4767</v>
      </c>
      <c r="FQY1" s="15" t="s">
        <v>4768</v>
      </c>
      <c r="FQZ1" s="15" t="s">
        <v>4769</v>
      </c>
      <c r="FRA1" s="15" t="s">
        <v>4770</v>
      </c>
      <c r="FRB1" s="15" t="s">
        <v>4771</v>
      </c>
      <c r="FRC1" s="15" t="s">
        <v>4772</v>
      </c>
      <c r="FRD1" s="15" t="s">
        <v>4773</v>
      </c>
      <c r="FRE1" s="15" t="s">
        <v>4774</v>
      </c>
      <c r="FRF1" s="15" t="s">
        <v>4775</v>
      </c>
      <c r="FRG1" s="15" t="s">
        <v>4776</v>
      </c>
      <c r="FRH1" s="15" t="s">
        <v>4777</v>
      </c>
      <c r="FRI1" s="15" t="s">
        <v>4778</v>
      </c>
      <c r="FRJ1" s="15" t="s">
        <v>4779</v>
      </c>
      <c r="FRK1" s="15" t="s">
        <v>4780</v>
      </c>
      <c r="FRL1" s="15" t="s">
        <v>4781</v>
      </c>
      <c r="FRM1" s="15" t="s">
        <v>4782</v>
      </c>
      <c r="FRN1" s="15" t="s">
        <v>4783</v>
      </c>
      <c r="FRO1" s="15" t="s">
        <v>4784</v>
      </c>
      <c r="FRP1" s="15" t="s">
        <v>4785</v>
      </c>
      <c r="FRQ1" s="15" t="s">
        <v>4786</v>
      </c>
      <c r="FRR1" s="15" t="s">
        <v>4787</v>
      </c>
      <c r="FRS1" s="15" t="s">
        <v>4788</v>
      </c>
      <c r="FRT1" s="15" t="s">
        <v>4789</v>
      </c>
      <c r="FRU1" s="15" t="s">
        <v>4790</v>
      </c>
      <c r="FRV1" s="15" t="s">
        <v>4791</v>
      </c>
      <c r="FRW1" s="15" t="s">
        <v>4792</v>
      </c>
      <c r="FRX1" s="15" t="s">
        <v>4793</v>
      </c>
      <c r="FRY1" s="15" t="s">
        <v>4794</v>
      </c>
      <c r="FRZ1" s="15" t="s">
        <v>4795</v>
      </c>
      <c r="FSA1" s="15" t="s">
        <v>4796</v>
      </c>
      <c r="FSB1" s="15" t="s">
        <v>4797</v>
      </c>
      <c r="FSC1" s="15" t="s">
        <v>4798</v>
      </c>
      <c r="FSD1" s="15" t="s">
        <v>4799</v>
      </c>
      <c r="FSE1" s="15" t="s">
        <v>4800</v>
      </c>
      <c r="FSF1" s="15" t="s">
        <v>4801</v>
      </c>
      <c r="FSG1" s="15" t="s">
        <v>4802</v>
      </c>
      <c r="FSH1" s="15" t="s">
        <v>4803</v>
      </c>
      <c r="FSI1" s="15" t="s">
        <v>4804</v>
      </c>
      <c r="FSJ1" s="15" t="s">
        <v>4805</v>
      </c>
      <c r="FSK1" s="15" t="s">
        <v>4806</v>
      </c>
      <c r="FSL1" s="15" t="s">
        <v>4807</v>
      </c>
      <c r="FSM1" s="15" t="s">
        <v>4808</v>
      </c>
      <c r="FSN1" s="15" t="s">
        <v>4809</v>
      </c>
      <c r="FSO1" s="15" t="s">
        <v>4810</v>
      </c>
      <c r="FSP1" s="15" t="s">
        <v>4811</v>
      </c>
      <c r="FSQ1" s="15" t="s">
        <v>4812</v>
      </c>
      <c r="FSR1" s="15" t="s">
        <v>4813</v>
      </c>
      <c r="FSS1" s="15" t="s">
        <v>4814</v>
      </c>
      <c r="FST1" s="15" t="s">
        <v>4815</v>
      </c>
      <c r="FSU1" s="15" t="s">
        <v>4816</v>
      </c>
      <c r="FSV1" s="15" t="s">
        <v>4817</v>
      </c>
      <c r="FSW1" s="15" t="s">
        <v>4818</v>
      </c>
      <c r="FSX1" s="15" t="s">
        <v>4819</v>
      </c>
      <c r="FSY1" s="15" t="s">
        <v>4820</v>
      </c>
      <c r="FSZ1" s="15" t="s">
        <v>4821</v>
      </c>
      <c r="FTA1" s="15" t="s">
        <v>4822</v>
      </c>
      <c r="FTB1" s="15" t="s">
        <v>4823</v>
      </c>
      <c r="FTC1" s="15" t="s">
        <v>4824</v>
      </c>
      <c r="FTD1" s="15" t="s">
        <v>4825</v>
      </c>
      <c r="FTE1" s="15" t="s">
        <v>4826</v>
      </c>
      <c r="FTF1" s="15" t="s">
        <v>4827</v>
      </c>
      <c r="FTG1" s="15" t="s">
        <v>4828</v>
      </c>
      <c r="FTH1" s="15" t="s">
        <v>4829</v>
      </c>
      <c r="FTI1" s="15" t="s">
        <v>4830</v>
      </c>
      <c r="FTJ1" s="15" t="s">
        <v>4831</v>
      </c>
      <c r="FTK1" s="15" t="s">
        <v>4832</v>
      </c>
      <c r="FTL1" s="15" t="s">
        <v>4833</v>
      </c>
      <c r="FTM1" s="15" t="s">
        <v>4834</v>
      </c>
      <c r="FTN1" s="15" t="s">
        <v>4835</v>
      </c>
      <c r="FTO1" s="15" t="s">
        <v>4836</v>
      </c>
      <c r="FTP1" s="15" t="s">
        <v>4837</v>
      </c>
      <c r="FTQ1" s="15" t="s">
        <v>4838</v>
      </c>
      <c r="FTR1" s="15" t="s">
        <v>4839</v>
      </c>
      <c r="FTS1" s="15" t="s">
        <v>4840</v>
      </c>
      <c r="FTT1" s="15" t="s">
        <v>4841</v>
      </c>
      <c r="FTU1" s="15" t="s">
        <v>4842</v>
      </c>
      <c r="FTV1" s="15" t="s">
        <v>4843</v>
      </c>
      <c r="FTW1" s="15" t="s">
        <v>4844</v>
      </c>
      <c r="FTX1" s="15" t="s">
        <v>4845</v>
      </c>
      <c r="FTY1" s="15" t="s">
        <v>4846</v>
      </c>
      <c r="FTZ1" s="15" t="s">
        <v>4847</v>
      </c>
      <c r="FUA1" s="15" t="s">
        <v>4848</v>
      </c>
      <c r="FUB1" s="15" t="s">
        <v>4849</v>
      </c>
      <c r="FUC1" s="15" t="s">
        <v>4850</v>
      </c>
      <c r="FUD1" s="15" t="s">
        <v>4851</v>
      </c>
      <c r="FUE1" s="15" t="s">
        <v>4852</v>
      </c>
      <c r="FUF1" s="15" t="s">
        <v>4853</v>
      </c>
      <c r="FUG1" s="15" t="s">
        <v>4854</v>
      </c>
      <c r="FUH1" s="15" t="s">
        <v>4855</v>
      </c>
      <c r="FUI1" s="15" t="s">
        <v>4856</v>
      </c>
      <c r="FUJ1" s="15" t="s">
        <v>4857</v>
      </c>
      <c r="FUK1" s="15" t="s">
        <v>4858</v>
      </c>
      <c r="FUL1" s="15" t="s">
        <v>4859</v>
      </c>
      <c r="FUM1" s="15" t="s">
        <v>4860</v>
      </c>
      <c r="FUN1" s="15" t="s">
        <v>4861</v>
      </c>
      <c r="FUO1" s="15" t="s">
        <v>4862</v>
      </c>
      <c r="FUP1" s="15" t="s">
        <v>4863</v>
      </c>
      <c r="FUQ1" s="15" t="s">
        <v>4864</v>
      </c>
      <c r="FUR1" s="15" t="s">
        <v>4865</v>
      </c>
      <c r="FUS1" s="15" t="s">
        <v>4866</v>
      </c>
      <c r="FUT1" s="15" t="s">
        <v>4867</v>
      </c>
      <c r="FUU1" s="15" t="s">
        <v>4868</v>
      </c>
      <c r="FUV1" s="15" t="s">
        <v>4869</v>
      </c>
      <c r="FUW1" s="15" t="s">
        <v>4870</v>
      </c>
      <c r="FUX1" s="15" t="s">
        <v>4871</v>
      </c>
      <c r="FUY1" s="15" t="s">
        <v>4872</v>
      </c>
      <c r="FUZ1" s="15" t="s">
        <v>4873</v>
      </c>
      <c r="FVA1" s="15" t="s">
        <v>4874</v>
      </c>
      <c r="FVB1" s="15" t="s">
        <v>4875</v>
      </c>
      <c r="FVC1" s="15" t="s">
        <v>4876</v>
      </c>
      <c r="FVD1" s="15" t="s">
        <v>4877</v>
      </c>
      <c r="FVE1" s="15" t="s">
        <v>4878</v>
      </c>
      <c r="FVF1" s="15" t="s">
        <v>4879</v>
      </c>
      <c r="FVG1" s="15" t="s">
        <v>4880</v>
      </c>
      <c r="FVH1" s="15" t="s">
        <v>4881</v>
      </c>
      <c r="FVI1" s="15" t="s">
        <v>4882</v>
      </c>
      <c r="FVJ1" s="15" t="s">
        <v>4883</v>
      </c>
      <c r="FVK1" s="15" t="s">
        <v>4884</v>
      </c>
      <c r="FVL1" s="15" t="s">
        <v>4885</v>
      </c>
      <c r="FVM1" s="15" t="s">
        <v>4886</v>
      </c>
      <c r="FVN1" s="15" t="s">
        <v>4887</v>
      </c>
      <c r="FVO1" s="15" t="s">
        <v>4888</v>
      </c>
      <c r="FVP1" s="15" t="s">
        <v>4889</v>
      </c>
      <c r="FVQ1" s="15" t="s">
        <v>4890</v>
      </c>
      <c r="FVR1" s="15" t="s">
        <v>4891</v>
      </c>
      <c r="FVS1" s="15" t="s">
        <v>4892</v>
      </c>
      <c r="FVT1" s="15" t="s">
        <v>4893</v>
      </c>
      <c r="FVU1" s="15" t="s">
        <v>4894</v>
      </c>
      <c r="FVV1" s="15" t="s">
        <v>4895</v>
      </c>
      <c r="FVW1" s="15" t="s">
        <v>4896</v>
      </c>
      <c r="FVX1" s="15" t="s">
        <v>4897</v>
      </c>
      <c r="FVY1" s="15" t="s">
        <v>4898</v>
      </c>
      <c r="FVZ1" s="15" t="s">
        <v>4899</v>
      </c>
      <c r="FWA1" s="15" t="s">
        <v>4900</v>
      </c>
      <c r="FWB1" s="15" t="s">
        <v>4901</v>
      </c>
      <c r="FWC1" s="15" t="s">
        <v>4902</v>
      </c>
      <c r="FWD1" s="15" t="s">
        <v>4903</v>
      </c>
      <c r="FWE1" s="15" t="s">
        <v>4904</v>
      </c>
      <c r="FWF1" s="15" t="s">
        <v>4905</v>
      </c>
      <c r="FWG1" s="15" t="s">
        <v>4906</v>
      </c>
      <c r="FWH1" s="15" t="s">
        <v>4907</v>
      </c>
      <c r="FWI1" s="15" t="s">
        <v>4908</v>
      </c>
      <c r="FWJ1" s="15" t="s">
        <v>4909</v>
      </c>
      <c r="FWK1" s="15" t="s">
        <v>4910</v>
      </c>
      <c r="FWL1" s="15" t="s">
        <v>4911</v>
      </c>
      <c r="FWM1" s="15" t="s">
        <v>4912</v>
      </c>
      <c r="FWN1" s="15" t="s">
        <v>4913</v>
      </c>
      <c r="FWO1" s="15" t="s">
        <v>4914</v>
      </c>
      <c r="FWP1" s="15" t="s">
        <v>4915</v>
      </c>
      <c r="FWQ1" s="15" t="s">
        <v>4916</v>
      </c>
      <c r="FWR1" s="15" t="s">
        <v>4917</v>
      </c>
      <c r="FWS1" s="15" t="s">
        <v>4918</v>
      </c>
      <c r="FWT1" s="15" t="s">
        <v>4919</v>
      </c>
      <c r="FWU1" s="15" t="s">
        <v>4920</v>
      </c>
      <c r="FWV1" s="15" t="s">
        <v>4921</v>
      </c>
      <c r="FWW1" s="15" t="s">
        <v>4922</v>
      </c>
      <c r="FWX1" s="15" t="s">
        <v>4923</v>
      </c>
      <c r="FWY1" s="15" t="s">
        <v>4924</v>
      </c>
      <c r="FWZ1" s="15" t="s">
        <v>4925</v>
      </c>
      <c r="FXA1" s="15" t="s">
        <v>4926</v>
      </c>
      <c r="FXB1" s="15" t="s">
        <v>4927</v>
      </c>
      <c r="FXC1" s="15" t="s">
        <v>4928</v>
      </c>
      <c r="FXD1" s="15" t="s">
        <v>4929</v>
      </c>
      <c r="FXE1" s="15" t="s">
        <v>4930</v>
      </c>
      <c r="FXF1" s="15" t="s">
        <v>4931</v>
      </c>
      <c r="FXG1" s="15" t="s">
        <v>4932</v>
      </c>
      <c r="FXH1" s="15" t="s">
        <v>4933</v>
      </c>
      <c r="FXI1" s="15" t="s">
        <v>4934</v>
      </c>
      <c r="FXJ1" s="15" t="s">
        <v>4935</v>
      </c>
      <c r="FXK1" s="15" t="s">
        <v>4936</v>
      </c>
      <c r="FXL1" s="15" t="s">
        <v>4937</v>
      </c>
      <c r="FXM1" s="15" t="s">
        <v>4938</v>
      </c>
      <c r="FXN1" s="15" t="s">
        <v>4939</v>
      </c>
      <c r="FXO1" s="15" t="s">
        <v>4940</v>
      </c>
      <c r="FXP1" s="15" t="s">
        <v>4941</v>
      </c>
      <c r="FXQ1" s="15" t="s">
        <v>4942</v>
      </c>
      <c r="FXR1" s="15" t="s">
        <v>4943</v>
      </c>
      <c r="FXS1" s="15" t="s">
        <v>4944</v>
      </c>
      <c r="FXT1" s="15" t="s">
        <v>4945</v>
      </c>
      <c r="FXU1" s="15" t="s">
        <v>4946</v>
      </c>
      <c r="FXV1" s="15" t="s">
        <v>4947</v>
      </c>
      <c r="FXW1" s="15" t="s">
        <v>4948</v>
      </c>
      <c r="FXX1" s="15" t="s">
        <v>4949</v>
      </c>
      <c r="FXY1" s="15" t="s">
        <v>4950</v>
      </c>
      <c r="FXZ1" s="15" t="s">
        <v>4951</v>
      </c>
      <c r="FYA1" s="15" t="s">
        <v>4952</v>
      </c>
      <c r="FYB1" s="15" t="s">
        <v>4953</v>
      </c>
      <c r="FYC1" s="15" t="s">
        <v>4954</v>
      </c>
      <c r="FYD1" s="15" t="s">
        <v>4955</v>
      </c>
      <c r="FYE1" s="15" t="s">
        <v>4956</v>
      </c>
      <c r="FYF1" s="15" t="s">
        <v>4957</v>
      </c>
      <c r="FYG1" s="15" t="s">
        <v>4958</v>
      </c>
      <c r="FYH1" s="15" t="s">
        <v>4959</v>
      </c>
      <c r="FYI1" s="15" t="s">
        <v>4960</v>
      </c>
      <c r="FYJ1" s="15" t="s">
        <v>4961</v>
      </c>
      <c r="FYK1" s="15" t="s">
        <v>4962</v>
      </c>
      <c r="FYL1" s="15" t="s">
        <v>4963</v>
      </c>
      <c r="FYM1" s="15" t="s">
        <v>4964</v>
      </c>
      <c r="FYN1" s="15" t="s">
        <v>4965</v>
      </c>
      <c r="FYO1" s="15" t="s">
        <v>4966</v>
      </c>
      <c r="FYP1" s="15" t="s">
        <v>4967</v>
      </c>
      <c r="FYQ1" s="15" t="s">
        <v>4968</v>
      </c>
      <c r="FYR1" s="15" t="s">
        <v>4969</v>
      </c>
      <c r="FYS1" s="15" t="s">
        <v>4970</v>
      </c>
      <c r="FYT1" s="15" t="s">
        <v>4971</v>
      </c>
      <c r="FYU1" s="15" t="s">
        <v>4972</v>
      </c>
      <c r="FYV1" s="15" t="s">
        <v>4973</v>
      </c>
      <c r="FYW1" s="15" t="s">
        <v>4974</v>
      </c>
      <c r="FYX1" s="15" t="s">
        <v>4975</v>
      </c>
      <c r="FYY1" s="15" t="s">
        <v>4976</v>
      </c>
      <c r="FYZ1" s="15" t="s">
        <v>4977</v>
      </c>
      <c r="FZA1" s="15" t="s">
        <v>4978</v>
      </c>
      <c r="FZB1" s="15" t="s">
        <v>4979</v>
      </c>
      <c r="FZC1" s="15" t="s">
        <v>4980</v>
      </c>
      <c r="FZD1" s="15" t="s">
        <v>4981</v>
      </c>
      <c r="FZE1" s="15" t="s">
        <v>4982</v>
      </c>
      <c r="FZF1" s="15" t="s">
        <v>4983</v>
      </c>
      <c r="FZG1" s="15" t="s">
        <v>4984</v>
      </c>
      <c r="FZH1" s="15" t="s">
        <v>4985</v>
      </c>
      <c r="FZI1" s="15" t="s">
        <v>4986</v>
      </c>
      <c r="FZJ1" s="15" t="s">
        <v>4987</v>
      </c>
      <c r="FZK1" s="15" t="s">
        <v>4988</v>
      </c>
      <c r="FZL1" s="15" t="s">
        <v>4989</v>
      </c>
      <c r="FZM1" s="15" t="s">
        <v>4990</v>
      </c>
      <c r="FZN1" s="15" t="s">
        <v>4991</v>
      </c>
      <c r="FZO1" s="15" t="s">
        <v>4992</v>
      </c>
      <c r="FZP1" s="15" t="s">
        <v>4993</v>
      </c>
      <c r="FZQ1" s="15" t="s">
        <v>4994</v>
      </c>
      <c r="FZR1" s="15" t="s">
        <v>4995</v>
      </c>
      <c r="FZS1" s="15" t="s">
        <v>4996</v>
      </c>
      <c r="FZT1" s="15" t="s">
        <v>4997</v>
      </c>
      <c r="FZU1" s="15" t="s">
        <v>4998</v>
      </c>
      <c r="FZV1" s="15" t="s">
        <v>4999</v>
      </c>
      <c r="FZW1" s="15" t="s">
        <v>5000</v>
      </c>
      <c r="FZX1" s="15" t="s">
        <v>5001</v>
      </c>
      <c r="FZY1" s="15" t="s">
        <v>5002</v>
      </c>
      <c r="FZZ1" s="15" t="s">
        <v>5003</v>
      </c>
      <c r="GAA1" s="15" t="s">
        <v>5004</v>
      </c>
      <c r="GAB1" s="15" t="s">
        <v>5005</v>
      </c>
      <c r="GAC1" s="15" t="s">
        <v>5006</v>
      </c>
      <c r="GAD1" s="15" t="s">
        <v>5007</v>
      </c>
      <c r="GAE1" s="15" t="s">
        <v>5008</v>
      </c>
      <c r="GAF1" s="15" t="s">
        <v>5009</v>
      </c>
      <c r="GAG1" s="15" t="s">
        <v>5010</v>
      </c>
      <c r="GAH1" s="15" t="s">
        <v>5011</v>
      </c>
      <c r="GAI1" s="15" t="s">
        <v>5012</v>
      </c>
      <c r="GAJ1" s="15" t="s">
        <v>5013</v>
      </c>
      <c r="GAK1" s="15" t="s">
        <v>5014</v>
      </c>
      <c r="GAL1" s="15" t="s">
        <v>5015</v>
      </c>
      <c r="GAM1" s="15" t="s">
        <v>5016</v>
      </c>
      <c r="GAN1" s="15" t="s">
        <v>5017</v>
      </c>
      <c r="GAO1" s="15" t="s">
        <v>5018</v>
      </c>
      <c r="GAP1" s="15" t="s">
        <v>5019</v>
      </c>
      <c r="GAQ1" s="15" t="s">
        <v>5020</v>
      </c>
      <c r="GAR1" s="15" t="s">
        <v>5021</v>
      </c>
      <c r="GAS1" s="15" t="s">
        <v>5022</v>
      </c>
      <c r="GAT1" s="15" t="s">
        <v>5023</v>
      </c>
      <c r="GAU1" s="15" t="s">
        <v>5024</v>
      </c>
      <c r="GAV1" s="15" t="s">
        <v>5025</v>
      </c>
      <c r="GAW1" s="15" t="s">
        <v>5026</v>
      </c>
      <c r="GAX1" s="15" t="s">
        <v>5027</v>
      </c>
      <c r="GAY1" s="15" t="s">
        <v>5028</v>
      </c>
      <c r="GAZ1" s="15" t="s">
        <v>5029</v>
      </c>
      <c r="GBA1" s="15" t="s">
        <v>5030</v>
      </c>
      <c r="GBB1" s="15" t="s">
        <v>5031</v>
      </c>
      <c r="GBC1" s="15" t="s">
        <v>5032</v>
      </c>
      <c r="GBD1" s="15" t="s">
        <v>5033</v>
      </c>
      <c r="GBE1" s="15" t="s">
        <v>5034</v>
      </c>
      <c r="GBF1" s="15" t="s">
        <v>5035</v>
      </c>
      <c r="GBG1" s="15" t="s">
        <v>5036</v>
      </c>
      <c r="GBH1" s="15" t="s">
        <v>5037</v>
      </c>
      <c r="GBI1" s="15" t="s">
        <v>5038</v>
      </c>
      <c r="GBJ1" s="15" t="s">
        <v>5039</v>
      </c>
      <c r="GBK1" s="15" t="s">
        <v>5040</v>
      </c>
      <c r="GBL1" s="15" t="s">
        <v>5041</v>
      </c>
      <c r="GBM1" s="15" t="s">
        <v>5042</v>
      </c>
      <c r="GBN1" s="15" t="s">
        <v>5043</v>
      </c>
      <c r="GBO1" s="15" t="s">
        <v>5044</v>
      </c>
      <c r="GBP1" s="15" t="s">
        <v>5045</v>
      </c>
      <c r="GBQ1" s="15" t="s">
        <v>5046</v>
      </c>
      <c r="GBR1" s="15" t="s">
        <v>5047</v>
      </c>
      <c r="GBS1" s="15" t="s">
        <v>5048</v>
      </c>
      <c r="GBT1" s="15" t="s">
        <v>5049</v>
      </c>
      <c r="GBU1" s="15" t="s">
        <v>5050</v>
      </c>
      <c r="GBV1" s="15" t="s">
        <v>5051</v>
      </c>
      <c r="GBW1" s="15" t="s">
        <v>5052</v>
      </c>
      <c r="GBX1" s="15" t="s">
        <v>5053</v>
      </c>
      <c r="GBY1" s="15" t="s">
        <v>5054</v>
      </c>
      <c r="GBZ1" s="15" t="s">
        <v>5055</v>
      </c>
      <c r="GCA1" s="15" t="s">
        <v>5056</v>
      </c>
      <c r="GCB1" s="15" t="s">
        <v>5057</v>
      </c>
      <c r="GCC1" s="15" t="s">
        <v>5058</v>
      </c>
      <c r="GCD1" s="15" t="s">
        <v>5059</v>
      </c>
      <c r="GCE1" s="15" t="s">
        <v>5060</v>
      </c>
      <c r="GCF1" s="15" t="s">
        <v>5061</v>
      </c>
      <c r="GCG1" s="15" t="s">
        <v>5062</v>
      </c>
      <c r="GCH1" s="15" t="s">
        <v>5063</v>
      </c>
      <c r="GCI1" s="15" t="s">
        <v>5064</v>
      </c>
      <c r="GCJ1" s="15" t="s">
        <v>5065</v>
      </c>
      <c r="GCK1" s="15" t="s">
        <v>5066</v>
      </c>
      <c r="GCL1" s="15" t="s">
        <v>5067</v>
      </c>
      <c r="GCM1" s="15" t="s">
        <v>5068</v>
      </c>
      <c r="GCN1" s="15" t="s">
        <v>5069</v>
      </c>
      <c r="GCO1" s="15" t="s">
        <v>5070</v>
      </c>
      <c r="GCP1" s="15" t="s">
        <v>5071</v>
      </c>
      <c r="GCQ1" s="15" t="s">
        <v>5072</v>
      </c>
      <c r="GCR1" s="15" t="s">
        <v>5073</v>
      </c>
      <c r="GCS1" s="15" t="s">
        <v>5074</v>
      </c>
      <c r="GCT1" s="15" t="s">
        <v>5075</v>
      </c>
      <c r="GCU1" s="15" t="s">
        <v>5076</v>
      </c>
      <c r="GCV1" s="15" t="s">
        <v>5077</v>
      </c>
      <c r="GCW1" s="15" t="s">
        <v>5078</v>
      </c>
      <c r="GCX1" s="15" t="s">
        <v>5079</v>
      </c>
      <c r="GCY1" s="15" t="s">
        <v>5080</v>
      </c>
      <c r="GCZ1" s="15" t="s">
        <v>5081</v>
      </c>
      <c r="GDA1" s="15" t="s">
        <v>5082</v>
      </c>
      <c r="GDB1" s="15" t="s">
        <v>5083</v>
      </c>
      <c r="GDC1" s="15" t="s">
        <v>5084</v>
      </c>
      <c r="GDD1" s="15" t="s">
        <v>5085</v>
      </c>
      <c r="GDE1" s="15" t="s">
        <v>5086</v>
      </c>
      <c r="GDF1" s="15" t="s">
        <v>5087</v>
      </c>
      <c r="GDG1" s="15" t="s">
        <v>5088</v>
      </c>
      <c r="GDH1" s="15" t="s">
        <v>5089</v>
      </c>
      <c r="GDI1" s="15" t="s">
        <v>5090</v>
      </c>
      <c r="GDJ1" s="15" t="s">
        <v>5091</v>
      </c>
      <c r="GDK1" s="15" t="s">
        <v>5092</v>
      </c>
      <c r="GDL1" s="15" t="s">
        <v>5093</v>
      </c>
      <c r="GDM1" s="15" t="s">
        <v>5094</v>
      </c>
      <c r="GDN1" s="15" t="s">
        <v>5095</v>
      </c>
      <c r="GDO1" s="15" t="s">
        <v>5096</v>
      </c>
      <c r="GDP1" s="15" t="s">
        <v>5097</v>
      </c>
      <c r="GDQ1" s="15" t="s">
        <v>5098</v>
      </c>
      <c r="GDR1" s="15" t="s">
        <v>5099</v>
      </c>
      <c r="GDS1" s="15" t="s">
        <v>5100</v>
      </c>
      <c r="GDT1" s="15" t="s">
        <v>5101</v>
      </c>
      <c r="GDU1" s="15" t="s">
        <v>5102</v>
      </c>
      <c r="GDV1" s="15" t="s">
        <v>5103</v>
      </c>
      <c r="GDW1" s="15" t="s">
        <v>5104</v>
      </c>
      <c r="GDX1" s="15" t="s">
        <v>5105</v>
      </c>
      <c r="GDY1" s="15" t="s">
        <v>5106</v>
      </c>
      <c r="GDZ1" s="15" t="s">
        <v>5107</v>
      </c>
      <c r="GEA1" s="15" t="s">
        <v>5108</v>
      </c>
      <c r="GEB1" s="15" t="s">
        <v>5109</v>
      </c>
      <c r="GEC1" s="15" t="s">
        <v>5110</v>
      </c>
      <c r="GED1" s="15" t="s">
        <v>5111</v>
      </c>
      <c r="GEE1" s="15" t="s">
        <v>5112</v>
      </c>
      <c r="GEF1" s="15" t="s">
        <v>5113</v>
      </c>
      <c r="GEG1" s="15" t="s">
        <v>5114</v>
      </c>
      <c r="GEH1" s="15" t="s">
        <v>5115</v>
      </c>
      <c r="GEI1" s="15" t="s">
        <v>5116</v>
      </c>
      <c r="GEJ1" s="15" t="s">
        <v>5117</v>
      </c>
      <c r="GEK1" s="15" t="s">
        <v>5118</v>
      </c>
      <c r="GEL1" s="15" t="s">
        <v>5119</v>
      </c>
      <c r="GEM1" s="15" t="s">
        <v>5120</v>
      </c>
      <c r="GEN1" s="15" t="s">
        <v>5121</v>
      </c>
      <c r="GEO1" s="15" t="s">
        <v>5122</v>
      </c>
      <c r="GEP1" s="15" t="s">
        <v>5123</v>
      </c>
      <c r="GEQ1" s="15" t="s">
        <v>5124</v>
      </c>
      <c r="GER1" s="15" t="s">
        <v>5125</v>
      </c>
      <c r="GES1" s="15" t="s">
        <v>5126</v>
      </c>
      <c r="GET1" s="15" t="s">
        <v>5127</v>
      </c>
      <c r="GEU1" s="15" t="s">
        <v>5128</v>
      </c>
      <c r="GEV1" s="15" t="s">
        <v>5129</v>
      </c>
      <c r="GEW1" s="15" t="s">
        <v>5130</v>
      </c>
      <c r="GEX1" s="15" t="s">
        <v>5131</v>
      </c>
      <c r="GEY1" s="15" t="s">
        <v>5132</v>
      </c>
      <c r="GEZ1" s="15" t="s">
        <v>5133</v>
      </c>
      <c r="GFA1" s="15" t="s">
        <v>5134</v>
      </c>
      <c r="GFB1" s="15" t="s">
        <v>5135</v>
      </c>
      <c r="GFC1" s="15" t="s">
        <v>5136</v>
      </c>
      <c r="GFD1" s="15" t="s">
        <v>5137</v>
      </c>
      <c r="GFE1" s="15" t="s">
        <v>5138</v>
      </c>
      <c r="GFF1" s="15" t="s">
        <v>5139</v>
      </c>
      <c r="GFG1" s="15" t="s">
        <v>5140</v>
      </c>
      <c r="GFH1" s="15" t="s">
        <v>5141</v>
      </c>
      <c r="GFI1" s="15" t="s">
        <v>5142</v>
      </c>
      <c r="GFJ1" s="15" t="s">
        <v>5143</v>
      </c>
      <c r="GFK1" s="15" t="s">
        <v>5144</v>
      </c>
      <c r="GFL1" s="15" t="s">
        <v>5145</v>
      </c>
      <c r="GFM1" s="15" t="s">
        <v>5146</v>
      </c>
      <c r="GFN1" s="15" t="s">
        <v>5147</v>
      </c>
      <c r="GFO1" s="15" t="s">
        <v>5148</v>
      </c>
      <c r="GFP1" s="15" t="s">
        <v>5149</v>
      </c>
      <c r="GFQ1" s="15" t="s">
        <v>5150</v>
      </c>
      <c r="GFR1" s="15" t="s">
        <v>5151</v>
      </c>
      <c r="GFS1" s="15" t="s">
        <v>5152</v>
      </c>
      <c r="GFT1" s="15" t="s">
        <v>5153</v>
      </c>
      <c r="GFU1" s="15" t="s">
        <v>5154</v>
      </c>
      <c r="GFV1" s="15" t="s">
        <v>5155</v>
      </c>
      <c r="GFW1" s="15" t="s">
        <v>5156</v>
      </c>
      <c r="GFX1" s="15" t="s">
        <v>5157</v>
      </c>
      <c r="GFY1" s="15" t="s">
        <v>5158</v>
      </c>
      <c r="GFZ1" s="15" t="s">
        <v>5159</v>
      </c>
      <c r="GGA1" s="15" t="s">
        <v>5160</v>
      </c>
      <c r="GGB1" s="15" t="s">
        <v>5161</v>
      </c>
      <c r="GGC1" s="15" t="s">
        <v>5162</v>
      </c>
      <c r="GGD1" s="15" t="s">
        <v>5163</v>
      </c>
      <c r="GGE1" s="15" t="s">
        <v>5164</v>
      </c>
      <c r="GGF1" s="15" t="s">
        <v>5165</v>
      </c>
      <c r="GGG1" s="15" t="s">
        <v>5166</v>
      </c>
      <c r="GGH1" s="15" t="s">
        <v>5167</v>
      </c>
      <c r="GGI1" s="15" t="s">
        <v>5168</v>
      </c>
      <c r="GGJ1" s="15" t="s">
        <v>5169</v>
      </c>
      <c r="GGK1" s="15" t="s">
        <v>5170</v>
      </c>
      <c r="GGL1" s="15" t="s">
        <v>5171</v>
      </c>
      <c r="GGM1" s="15" t="s">
        <v>5172</v>
      </c>
      <c r="GGN1" s="15" t="s">
        <v>5173</v>
      </c>
      <c r="GGO1" s="15" t="s">
        <v>5174</v>
      </c>
      <c r="GGP1" s="15" t="s">
        <v>5175</v>
      </c>
      <c r="GGQ1" s="15" t="s">
        <v>5176</v>
      </c>
      <c r="GGR1" s="15" t="s">
        <v>5177</v>
      </c>
      <c r="GGS1" s="15" t="s">
        <v>5178</v>
      </c>
      <c r="GGT1" s="15" t="s">
        <v>5179</v>
      </c>
      <c r="GGU1" s="15" t="s">
        <v>5180</v>
      </c>
      <c r="GGV1" s="15" t="s">
        <v>5181</v>
      </c>
      <c r="GGW1" s="15" t="s">
        <v>5182</v>
      </c>
      <c r="GGX1" s="15" t="s">
        <v>5183</v>
      </c>
      <c r="GGY1" s="15" t="s">
        <v>5184</v>
      </c>
      <c r="GGZ1" s="15" t="s">
        <v>5185</v>
      </c>
      <c r="GHA1" s="15" t="s">
        <v>5186</v>
      </c>
      <c r="GHB1" s="15" t="s">
        <v>5187</v>
      </c>
      <c r="GHC1" s="15" t="s">
        <v>5188</v>
      </c>
      <c r="GHD1" s="15" t="s">
        <v>5189</v>
      </c>
      <c r="GHE1" s="15" t="s">
        <v>5190</v>
      </c>
      <c r="GHF1" s="15" t="s">
        <v>5191</v>
      </c>
      <c r="GHG1" s="15" t="s">
        <v>5192</v>
      </c>
      <c r="GHH1" s="15" t="s">
        <v>5193</v>
      </c>
      <c r="GHI1" s="15" t="s">
        <v>5194</v>
      </c>
      <c r="GHJ1" s="15" t="s">
        <v>5195</v>
      </c>
      <c r="GHK1" s="15" t="s">
        <v>5196</v>
      </c>
      <c r="GHL1" s="15" t="s">
        <v>5197</v>
      </c>
      <c r="GHM1" s="15" t="s">
        <v>5198</v>
      </c>
      <c r="GHN1" s="15" t="s">
        <v>5199</v>
      </c>
      <c r="GHO1" s="15" t="s">
        <v>5200</v>
      </c>
      <c r="GHP1" s="15" t="s">
        <v>5201</v>
      </c>
      <c r="GHQ1" s="15" t="s">
        <v>5202</v>
      </c>
      <c r="GHR1" s="15" t="s">
        <v>5203</v>
      </c>
      <c r="GHS1" s="15" t="s">
        <v>5204</v>
      </c>
      <c r="GHT1" s="15" t="s">
        <v>5205</v>
      </c>
      <c r="GHU1" s="15" t="s">
        <v>5206</v>
      </c>
      <c r="GHV1" s="15" t="s">
        <v>5207</v>
      </c>
      <c r="GHW1" s="15" t="s">
        <v>5208</v>
      </c>
      <c r="GHX1" s="15" t="s">
        <v>5209</v>
      </c>
      <c r="GHY1" s="15" t="s">
        <v>5210</v>
      </c>
      <c r="GHZ1" s="15" t="s">
        <v>5211</v>
      </c>
      <c r="GIA1" s="15" t="s">
        <v>5212</v>
      </c>
      <c r="GIB1" s="15" t="s">
        <v>5213</v>
      </c>
      <c r="GIC1" s="15" t="s">
        <v>5214</v>
      </c>
      <c r="GID1" s="15" t="s">
        <v>5215</v>
      </c>
      <c r="GIE1" s="15" t="s">
        <v>5216</v>
      </c>
      <c r="GIF1" s="15" t="s">
        <v>5217</v>
      </c>
      <c r="GIG1" s="15" t="s">
        <v>5218</v>
      </c>
      <c r="GIH1" s="15" t="s">
        <v>5219</v>
      </c>
      <c r="GII1" s="15" t="s">
        <v>5220</v>
      </c>
      <c r="GIJ1" s="15" t="s">
        <v>5221</v>
      </c>
      <c r="GIK1" s="15" t="s">
        <v>5222</v>
      </c>
      <c r="GIL1" s="15" t="s">
        <v>5223</v>
      </c>
      <c r="GIM1" s="15" t="s">
        <v>5224</v>
      </c>
      <c r="GIN1" s="15" t="s">
        <v>5225</v>
      </c>
      <c r="GIO1" s="15" t="s">
        <v>5226</v>
      </c>
      <c r="GIP1" s="15" t="s">
        <v>5227</v>
      </c>
      <c r="GIQ1" s="15" t="s">
        <v>5228</v>
      </c>
      <c r="GIR1" s="15" t="s">
        <v>5229</v>
      </c>
      <c r="GIS1" s="15" t="s">
        <v>5230</v>
      </c>
      <c r="GIT1" s="15" t="s">
        <v>5231</v>
      </c>
      <c r="GIU1" s="15" t="s">
        <v>5232</v>
      </c>
      <c r="GIV1" s="15" t="s">
        <v>5233</v>
      </c>
      <c r="GIW1" s="15" t="s">
        <v>5234</v>
      </c>
      <c r="GIX1" s="15" t="s">
        <v>5235</v>
      </c>
      <c r="GIY1" s="15" t="s">
        <v>5236</v>
      </c>
      <c r="GIZ1" s="15" t="s">
        <v>5237</v>
      </c>
      <c r="GJA1" s="15" t="s">
        <v>5238</v>
      </c>
      <c r="GJB1" s="15" t="s">
        <v>5239</v>
      </c>
      <c r="GJC1" s="15" t="s">
        <v>5240</v>
      </c>
      <c r="GJD1" s="15" t="s">
        <v>5241</v>
      </c>
      <c r="GJE1" s="15" t="s">
        <v>5242</v>
      </c>
      <c r="GJF1" s="15" t="s">
        <v>5243</v>
      </c>
      <c r="GJG1" s="15" t="s">
        <v>5244</v>
      </c>
      <c r="GJH1" s="15" t="s">
        <v>5245</v>
      </c>
      <c r="GJI1" s="15" t="s">
        <v>5246</v>
      </c>
      <c r="GJJ1" s="15" t="s">
        <v>5247</v>
      </c>
      <c r="GJK1" s="15" t="s">
        <v>5248</v>
      </c>
      <c r="GJL1" s="15" t="s">
        <v>5249</v>
      </c>
      <c r="GJM1" s="15" t="s">
        <v>5250</v>
      </c>
      <c r="GJN1" s="15" t="s">
        <v>5251</v>
      </c>
      <c r="GJO1" s="15" t="s">
        <v>5252</v>
      </c>
      <c r="GJP1" s="15" t="s">
        <v>5253</v>
      </c>
      <c r="GJQ1" s="15" t="s">
        <v>5254</v>
      </c>
      <c r="GJR1" s="15" t="s">
        <v>5255</v>
      </c>
      <c r="GJS1" s="15" t="s">
        <v>5256</v>
      </c>
      <c r="GJT1" s="15" t="s">
        <v>5257</v>
      </c>
      <c r="GJU1" s="15" t="s">
        <v>5258</v>
      </c>
      <c r="GJV1" s="15" t="s">
        <v>5259</v>
      </c>
      <c r="GJW1" s="15" t="s">
        <v>5260</v>
      </c>
      <c r="GJX1" s="15" t="s">
        <v>5261</v>
      </c>
      <c r="GJY1" s="15" t="s">
        <v>5262</v>
      </c>
      <c r="GJZ1" s="15" t="s">
        <v>5263</v>
      </c>
      <c r="GKA1" s="15" t="s">
        <v>5264</v>
      </c>
      <c r="GKB1" s="15" t="s">
        <v>5265</v>
      </c>
      <c r="GKC1" s="15" t="s">
        <v>5266</v>
      </c>
      <c r="GKD1" s="15" t="s">
        <v>5267</v>
      </c>
      <c r="GKE1" s="15" t="s">
        <v>5268</v>
      </c>
      <c r="GKF1" s="15" t="s">
        <v>5269</v>
      </c>
      <c r="GKG1" s="15" t="s">
        <v>5270</v>
      </c>
      <c r="GKH1" s="15" t="s">
        <v>5271</v>
      </c>
      <c r="GKI1" s="15" t="s">
        <v>5272</v>
      </c>
      <c r="GKJ1" s="15" t="s">
        <v>5273</v>
      </c>
      <c r="GKK1" s="15" t="s">
        <v>5274</v>
      </c>
      <c r="GKL1" s="15" t="s">
        <v>5275</v>
      </c>
      <c r="GKM1" s="15" t="s">
        <v>5276</v>
      </c>
      <c r="GKN1" s="15" t="s">
        <v>5277</v>
      </c>
      <c r="GKO1" s="15" t="s">
        <v>5278</v>
      </c>
      <c r="GKP1" s="15" t="s">
        <v>5279</v>
      </c>
      <c r="GKQ1" s="15" t="s">
        <v>5280</v>
      </c>
      <c r="GKR1" s="15" t="s">
        <v>5281</v>
      </c>
      <c r="GKS1" s="15" t="s">
        <v>5282</v>
      </c>
      <c r="GKT1" s="15" t="s">
        <v>5283</v>
      </c>
      <c r="GKU1" s="15" t="s">
        <v>5284</v>
      </c>
      <c r="GKV1" s="15" t="s">
        <v>5285</v>
      </c>
      <c r="GKW1" s="15" t="s">
        <v>5286</v>
      </c>
      <c r="GKX1" s="15" t="s">
        <v>5287</v>
      </c>
      <c r="GKY1" s="15" t="s">
        <v>5288</v>
      </c>
      <c r="GKZ1" s="15" t="s">
        <v>5289</v>
      </c>
      <c r="GLA1" s="15" t="s">
        <v>5290</v>
      </c>
      <c r="GLB1" s="15" t="s">
        <v>5291</v>
      </c>
      <c r="GLC1" s="15" t="s">
        <v>5292</v>
      </c>
      <c r="GLD1" s="15" t="s">
        <v>5293</v>
      </c>
      <c r="GLE1" s="15" t="s">
        <v>5294</v>
      </c>
      <c r="GLF1" s="15" t="s">
        <v>5295</v>
      </c>
      <c r="GLG1" s="15" t="s">
        <v>5296</v>
      </c>
      <c r="GLH1" s="15" t="s">
        <v>5297</v>
      </c>
      <c r="GLI1" s="15" t="s">
        <v>5298</v>
      </c>
      <c r="GLJ1" s="15" t="s">
        <v>5299</v>
      </c>
      <c r="GLK1" s="15" t="s">
        <v>5300</v>
      </c>
      <c r="GLL1" s="15" t="s">
        <v>5301</v>
      </c>
      <c r="GLM1" s="15" t="s">
        <v>5302</v>
      </c>
      <c r="GLN1" s="15" t="s">
        <v>5303</v>
      </c>
      <c r="GLO1" s="15" t="s">
        <v>5304</v>
      </c>
      <c r="GLP1" s="15" t="s">
        <v>5305</v>
      </c>
      <c r="GLQ1" s="15" t="s">
        <v>5306</v>
      </c>
      <c r="GLR1" s="15" t="s">
        <v>5307</v>
      </c>
      <c r="GLS1" s="15" t="s">
        <v>5308</v>
      </c>
      <c r="GLT1" s="15" t="s">
        <v>5309</v>
      </c>
      <c r="GLU1" s="15" t="s">
        <v>5310</v>
      </c>
      <c r="GLV1" s="15" t="s">
        <v>5311</v>
      </c>
      <c r="GLW1" s="15" t="s">
        <v>5312</v>
      </c>
      <c r="GLX1" s="15" t="s">
        <v>5313</v>
      </c>
      <c r="GLY1" s="15" t="s">
        <v>5314</v>
      </c>
      <c r="GLZ1" s="15" t="s">
        <v>5315</v>
      </c>
      <c r="GMA1" s="15" t="s">
        <v>5316</v>
      </c>
      <c r="GMB1" s="15" t="s">
        <v>5317</v>
      </c>
      <c r="GMC1" s="15" t="s">
        <v>5318</v>
      </c>
      <c r="GMD1" s="15" t="s">
        <v>5319</v>
      </c>
      <c r="GME1" s="15" t="s">
        <v>5320</v>
      </c>
      <c r="GMF1" s="15" t="s">
        <v>5321</v>
      </c>
      <c r="GMG1" s="15" t="s">
        <v>5322</v>
      </c>
      <c r="GMH1" s="15" t="s">
        <v>5323</v>
      </c>
      <c r="GMI1" s="15" t="s">
        <v>5324</v>
      </c>
      <c r="GMJ1" s="15" t="s">
        <v>5325</v>
      </c>
      <c r="GMK1" s="15" t="s">
        <v>5326</v>
      </c>
      <c r="GML1" s="15" t="s">
        <v>5327</v>
      </c>
      <c r="GMM1" s="15" t="s">
        <v>5328</v>
      </c>
      <c r="GMN1" s="15" t="s">
        <v>5329</v>
      </c>
      <c r="GMO1" s="15" t="s">
        <v>5330</v>
      </c>
      <c r="GMP1" s="15" t="s">
        <v>5331</v>
      </c>
      <c r="GMQ1" s="15" t="s">
        <v>5332</v>
      </c>
      <c r="GMR1" s="15" t="s">
        <v>5333</v>
      </c>
      <c r="GMS1" s="15" t="s">
        <v>5334</v>
      </c>
      <c r="GMT1" s="15" t="s">
        <v>5335</v>
      </c>
      <c r="GMU1" s="15" t="s">
        <v>5336</v>
      </c>
      <c r="GMV1" s="15" t="s">
        <v>5337</v>
      </c>
      <c r="GMW1" s="15" t="s">
        <v>5338</v>
      </c>
      <c r="GMX1" s="15" t="s">
        <v>5339</v>
      </c>
      <c r="GMY1" s="15" t="s">
        <v>5340</v>
      </c>
      <c r="GMZ1" s="15" t="s">
        <v>5341</v>
      </c>
      <c r="GNA1" s="15" t="s">
        <v>5342</v>
      </c>
      <c r="GNB1" s="15" t="s">
        <v>5343</v>
      </c>
      <c r="GNC1" s="15" t="s">
        <v>5344</v>
      </c>
      <c r="GND1" s="15" t="s">
        <v>5345</v>
      </c>
      <c r="GNE1" s="15" t="s">
        <v>5346</v>
      </c>
      <c r="GNF1" s="15" t="s">
        <v>5347</v>
      </c>
      <c r="GNG1" s="15" t="s">
        <v>5348</v>
      </c>
      <c r="GNH1" s="15" t="s">
        <v>5349</v>
      </c>
      <c r="GNI1" s="15" t="s">
        <v>5350</v>
      </c>
      <c r="GNJ1" s="15" t="s">
        <v>5351</v>
      </c>
      <c r="GNK1" s="15" t="s">
        <v>5352</v>
      </c>
      <c r="GNL1" s="15" t="s">
        <v>5353</v>
      </c>
      <c r="GNM1" s="15" t="s">
        <v>5354</v>
      </c>
      <c r="GNN1" s="15" t="s">
        <v>5355</v>
      </c>
      <c r="GNO1" s="15" t="s">
        <v>5356</v>
      </c>
      <c r="GNP1" s="15" t="s">
        <v>5357</v>
      </c>
      <c r="GNQ1" s="15" t="s">
        <v>5358</v>
      </c>
      <c r="GNR1" s="15" t="s">
        <v>5359</v>
      </c>
      <c r="GNS1" s="15" t="s">
        <v>5360</v>
      </c>
      <c r="GNT1" s="15" t="s">
        <v>5361</v>
      </c>
      <c r="GNU1" s="15" t="s">
        <v>5362</v>
      </c>
      <c r="GNV1" s="15" t="s">
        <v>5363</v>
      </c>
      <c r="GNW1" s="15" t="s">
        <v>5364</v>
      </c>
      <c r="GNX1" s="15" t="s">
        <v>5365</v>
      </c>
      <c r="GNY1" s="15" t="s">
        <v>5366</v>
      </c>
      <c r="GNZ1" s="15" t="s">
        <v>5367</v>
      </c>
      <c r="GOA1" s="15" t="s">
        <v>5368</v>
      </c>
      <c r="GOB1" s="15" t="s">
        <v>5369</v>
      </c>
      <c r="GOC1" s="15" t="s">
        <v>5370</v>
      </c>
      <c r="GOD1" s="15" t="s">
        <v>5371</v>
      </c>
      <c r="GOE1" s="15" t="s">
        <v>5372</v>
      </c>
      <c r="GOF1" s="15" t="s">
        <v>5373</v>
      </c>
      <c r="GOG1" s="15" t="s">
        <v>5374</v>
      </c>
      <c r="GOH1" s="15" t="s">
        <v>5375</v>
      </c>
      <c r="GOI1" s="15" t="s">
        <v>5376</v>
      </c>
      <c r="GOJ1" s="15" t="s">
        <v>5377</v>
      </c>
      <c r="GOK1" s="15" t="s">
        <v>5378</v>
      </c>
      <c r="GOL1" s="15" t="s">
        <v>5379</v>
      </c>
      <c r="GOM1" s="15" t="s">
        <v>5380</v>
      </c>
      <c r="GON1" s="15" t="s">
        <v>5381</v>
      </c>
      <c r="GOO1" s="15" t="s">
        <v>5382</v>
      </c>
      <c r="GOP1" s="15" t="s">
        <v>5383</v>
      </c>
      <c r="GOQ1" s="15" t="s">
        <v>5384</v>
      </c>
      <c r="GOR1" s="15" t="s">
        <v>5385</v>
      </c>
      <c r="GOS1" s="15" t="s">
        <v>5386</v>
      </c>
      <c r="GOT1" s="15" t="s">
        <v>5387</v>
      </c>
      <c r="GOU1" s="15" t="s">
        <v>5388</v>
      </c>
      <c r="GOV1" s="15" t="s">
        <v>5389</v>
      </c>
      <c r="GOW1" s="15" t="s">
        <v>5390</v>
      </c>
      <c r="GOX1" s="15" t="s">
        <v>5391</v>
      </c>
      <c r="GOY1" s="15" t="s">
        <v>5392</v>
      </c>
      <c r="GOZ1" s="15" t="s">
        <v>5393</v>
      </c>
      <c r="GPA1" s="15" t="s">
        <v>5394</v>
      </c>
      <c r="GPB1" s="15" t="s">
        <v>5395</v>
      </c>
      <c r="GPC1" s="15" t="s">
        <v>5396</v>
      </c>
      <c r="GPD1" s="15" t="s">
        <v>5397</v>
      </c>
      <c r="GPE1" s="15" t="s">
        <v>5398</v>
      </c>
      <c r="GPF1" s="15" t="s">
        <v>5399</v>
      </c>
      <c r="GPG1" s="15" t="s">
        <v>5400</v>
      </c>
      <c r="GPH1" s="15" t="s">
        <v>5401</v>
      </c>
      <c r="GPI1" s="15" t="s">
        <v>5402</v>
      </c>
      <c r="GPJ1" s="15" t="s">
        <v>5403</v>
      </c>
      <c r="GPK1" s="15" t="s">
        <v>5404</v>
      </c>
      <c r="GPL1" s="15" t="s">
        <v>5405</v>
      </c>
      <c r="GPM1" s="15" t="s">
        <v>5406</v>
      </c>
      <c r="GPN1" s="15" t="s">
        <v>5407</v>
      </c>
      <c r="GPO1" s="15" t="s">
        <v>5408</v>
      </c>
      <c r="GPP1" s="15" t="s">
        <v>5409</v>
      </c>
      <c r="GPQ1" s="15" t="s">
        <v>5410</v>
      </c>
      <c r="GPR1" s="15" t="s">
        <v>5411</v>
      </c>
      <c r="GPS1" s="15" t="s">
        <v>5412</v>
      </c>
      <c r="GPT1" s="15" t="s">
        <v>5413</v>
      </c>
      <c r="GPU1" s="15" t="s">
        <v>5414</v>
      </c>
      <c r="GPV1" s="15" t="s">
        <v>5415</v>
      </c>
      <c r="GPW1" s="15" t="s">
        <v>5416</v>
      </c>
      <c r="GPX1" s="15" t="s">
        <v>5417</v>
      </c>
      <c r="GPY1" s="15" t="s">
        <v>5418</v>
      </c>
      <c r="GPZ1" s="15" t="s">
        <v>5419</v>
      </c>
      <c r="GQA1" s="15" t="s">
        <v>5420</v>
      </c>
      <c r="GQB1" s="15" t="s">
        <v>5421</v>
      </c>
      <c r="GQC1" s="15" t="s">
        <v>5422</v>
      </c>
      <c r="GQD1" s="15" t="s">
        <v>5423</v>
      </c>
      <c r="GQE1" s="15" t="s">
        <v>5424</v>
      </c>
      <c r="GQF1" s="15" t="s">
        <v>5425</v>
      </c>
      <c r="GQG1" s="15" t="s">
        <v>5426</v>
      </c>
      <c r="GQH1" s="15" t="s">
        <v>5427</v>
      </c>
      <c r="GQI1" s="15" t="s">
        <v>5428</v>
      </c>
      <c r="GQJ1" s="15" t="s">
        <v>5429</v>
      </c>
      <c r="GQK1" s="15" t="s">
        <v>5430</v>
      </c>
      <c r="GQL1" s="15" t="s">
        <v>5431</v>
      </c>
      <c r="GQM1" s="15" t="s">
        <v>5432</v>
      </c>
      <c r="GQN1" s="15" t="s">
        <v>5433</v>
      </c>
      <c r="GQO1" s="15" t="s">
        <v>5434</v>
      </c>
      <c r="GQP1" s="15" t="s">
        <v>5435</v>
      </c>
      <c r="GQQ1" s="15" t="s">
        <v>5436</v>
      </c>
      <c r="GQR1" s="15" t="s">
        <v>5437</v>
      </c>
      <c r="GQS1" s="15" t="s">
        <v>5438</v>
      </c>
      <c r="GQT1" s="15" t="s">
        <v>5439</v>
      </c>
      <c r="GQU1" s="15" t="s">
        <v>5440</v>
      </c>
      <c r="GQV1" s="15" t="s">
        <v>5441</v>
      </c>
      <c r="GQW1" s="15" t="s">
        <v>5442</v>
      </c>
      <c r="GQX1" s="15" t="s">
        <v>5443</v>
      </c>
      <c r="GQY1" s="15" t="s">
        <v>5444</v>
      </c>
      <c r="GQZ1" s="15" t="s">
        <v>5445</v>
      </c>
      <c r="GRA1" s="15" t="s">
        <v>5446</v>
      </c>
      <c r="GRB1" s="15" t="s">
        <v>5447</v>
      </c>
      <c r="GRC1" s="15" t="s">
        <v>5448</v>
      </c>
      <c r="GRD1" s="15" t="s">
        <v>5449</v>
      </c>
      <c r="GRE1" s="15" t="s">
        <v>5450</v>
      </c>
      <c r="GRF1" s="15" t="s">
        <v>5451</v>
      </c>
      <c r="GRG1" s="15" t="s">
        <v>5452</v>
      </c>
      <c r="GRH1" s="15" t="s">
        <v>5453</v>
      </c>
      <c r="GRI1" s="15" t="s">
        <v>5454</v>
      </c>
      <c r="GRJ1" s="15" t="s">
        <v>5455</v>
      </c>
      <c r="GRK1" s="15" t="s">
        <v>5456</v>
      </c>
      <c r="GRL1" s="15" t="s">
        <v>5457</v>
      </c>
      <c r="GRM1" s="15" t="s">
        <v>5458</v>
      </c>
      <c r="GRN1" s="15" t="s">
        <v>5459</v>
      </c>
      <c r="GRO1" s="15" t="s">
        <v>5460</v>
      </c>
      <c r="GRP1" s="15" t="s">
        <v>5461</v>
      </c>
      <c r="GRQ1" s="15" t="s">
        <v>5462</v>
      </c>
      <c r="GRR1" s="15" t="s">
        <v>5463</v>
      </c>
      <c r="GRS1" s="15" t="s">
        <v>5464</v>
      </c>
      <c r="GRT1" s="15" t="s">
        <v>5465</v>
      </c>
      <c r="GRU1" s="15" t="s">
        <v>5466</v>
      </c>
      <c r="GRV1" s="15" t="s">
        <v>5467</v>
      </c>
      <c r="GRW1" s="15" t="s">
        <v>5468</v>
      </c>
      <c r="GRX1" s="15" t="s">
        <v>5469</v>
      </c>
      <c r="GRY1" s="15" t="s">
        <v>5470</v>
      </c>
      <c r="GRZ1" s="15" t="s">
        <v>5471</v>
      </c>
      <c r="GSA1" s="15" t="s">
        <v>5472</v>
      </c>
      <c r="GSB1" s="15" t="s">
        <v>5473</v>
      </c>
      <c r="GSC1" s="15" t="s">
        <v>5474</v>
      </c>
      <c r="GSD1" s="15" t="s">
        <v>5475</v>
      </c>
      <c r="GSE1" s="15" t="s">
        <v>5476</v>
      </c>
      <c r="GSF1" s="15" t="s">
        <v>5477</v>
      </c>
      <c r="GSG1" s="15" t="s">
        <v>5478</v>
      </c>
      <c r="GSH1" s="15" t="s">
        <v>5479</v>
      </c>
      <c r="GSI1" s="15" t="s">
        <v>5480</v>
      </c>
      <c r="GSJ1" s="15" t="s">
        <v>5481</v>
      </c>
      <c r="GSK1" s="15" t="s">
        <v>5482</v>
      </c>
      <c r="GSL1" s="15" t="s">
        <v>5483</v>
      </c>
      <c r="GSM1" s="15" t="s">
        <v>5484</v>
      </c>
      <c r="GSN1" s="15" t="s">
        <v>5485</v>
      </c>
      <c r="GSO1" s="15" t="s">
        <v>5486</v>
      </c>
      <c r="GSP1" s="15" t="s">
        <v>5487</v>
      </c>
      <c r="GSQ1" s="15" t="s">
        <v>5488</v>
      </c>
      <c r="GSR1" s="15" t="s">
        <v>5489</v>
      </c>
      <c r="GSS1" s="15" t="s">
        <v>5490</v>
      </c>
      <c r="GST1" s="15" t="s">
        <v>5491</v>
      </c>
      <c r="GSU1" s="15" t="s">
        <v>5492</v>
      </c>
      <c r="GSV1" s="15" t="s">
        <v>5493</v>
      </c>
      <c r="GSW1" s="15" t="s">
        <v>5494</v>
      </c>
      <c r="GSX1" s="15" t="s">
        <v>5495</v>
      </c>
      <c r="GSY1" s="15" t="s">
        <v>5496</v>
      </c>
      <c r="GSZ1" s="15" t="s">
        <v>5497</v>
      </c>
      <c r="GTA1" s="15" t="s">
        <v>5498</v>
      </c>
      <c r="GTB1" s="15" t="s">
        <v>5499</v>
      </c>
      <c r="GTC1" s="15" t="s">
        <v>5500</v>
      </c>
      <c r="GTD1" s="15" t="s">
        <v>5501</v>
      </c>
      <c r="GTE1" s="15" t="s">
        <v>5502</v>
      </c>
      <c r="GTF1" s="15" t="s">
        <v>5503</v>
      </c>
      <c r="GTG1" s="15" t="s">
        <v>5504</v>
      </c>
      <c r="GTH1" s="15" t="s">
        <v>5505</v>
      </c>
      <c r="GTI1" s="15" t="s">
        <v>5506</v>
      </c>
      <c r="GTJ1" s="15" t="s">
        <v>5507</v>
      </c>
      <c r="GTK1" s="15" t="s">
        <v>5508</v>
      </c>
      <c r="GTL1" s="15" t="s">
        <v>5509</v>
      </c>
      <c r="GTM1" s="15" t="s">
        <v>5510</v>
      </c>
      <c r="GTN1" s="15" t="s">
        <v>5511</v>
      </c>
      <c r="GTO1" s="15" t="s">
        <v>5512</v>
      </c>
      <c r="GTP1" s="15" t="s">
        <v>5513</v>
      </c>
      <c r="GTQ1" s="15" t="s">
        <v>5514</v>
      </c>
      <c r="GTR1" s="15" t="s">
        <v>5515</v>
      </c>
      <c r="GTS1" s="15" t="s">
        <v>5516</v>
      </c>
      <c r="GTT1" s="15" t="s">
        <v>5517</v>
      </c>
      <c r="GTU1" s="15" t="s">
        <v>5518</v>
      </c>
      <c r="GTV1" s="15" t="s">
        <v>5519</v>
      </c>
      <c r="GTW1" s="15" t="s">
        <v>5520</v>
      </c>
      <c r="GTX1" s="15" t="s">
        <v>5521</v>
      </c>
      <c r="GTY1" s="15" t="s">
        <v>5522</v>
      </c>
      <c r="GTZ1" s="15" t="s">
        <v>5523</v>
      </c>
      <c r="GUA1" s="15" t="s">
        <v>5524</v>
      </c>
      <c r="GUB1" s="15" t="s">
        <v>5525</v>
      </c>
      <c r="GUC1" s="15" t="s">
        <v>5526</v>
      </c>
      <c r="GUD1" s="15" t="s">
        <v>5527</v>
      </c>
      <c r="GUE1" s="15" t="s">
        <v>5528</v>
      </c>
      <c r="GUF1" s="15" t="s">
        <v>5529</v>
      </c>
      <c r="GUG1" s="15" t="s">
        <v>5530</v>
      </c>
      <c r="GUH1" s="15" t="s">
        <v>5531</v>
      </c>
      <c r="GUI1" s="15" t="s">
        <v>5532</v>
      </c>
      <c r="GUJ1" s="15" t="s">
        <v>5533</v>
      </c>
      <c r="GUK1" s="15" t="s">
        <v>5534</v>
      </c>
      <c r="GUL1" s="15" t="s">
        <v>5535</v>
      </c>
      <c r="GUM1" s="15" t="s">
        <v>5536</v>
      </c>
      <c r="GUN1" s="15" t="s">
        <v>5537</v>
      </c>
      <c r="GUO1" s="15" t="s">
        <v>5538</v>
      </c>
      <c r="GUP1" s="15" t="s">
        <v>5539</v>
      </c>
      <c r="GUQ1" s="15" t="s">
        <v>5540</v>
      </c>
      <c r="GUR1" s="15" t="s">
        <v>5541</v>
      </c>
      <c r="GUS1" s="15" t="s">
        <v>5542</v>
      </c>
      <c r="GUT1" s="15" t="s">
        <v>5543</v>
      </c>
      <c r="GUU1" s="15" t="s">
        <v>5544</v>
      </c>
      <c r="GUV1" s="15" t="s">
        <v>5545</v>
      </c>
      <c r="GUW1" s="15" t="s">
        <v>5546</v>
      </c>
      <c r="GUX1" s="15" t="s">
        <v>5547</v>
      </c>
      <c r="GUY1" s="15" t="s">
        <v>5548</v>
      </c>
      <c r="GUZ1" s="15" t="s">
        <v>5549</v>
      </c>
      <c r="GVA1" s="15" t="s">
        <v>5550</v>
      </c>
      <c r="GVB1" s="15" t="s">
        <v>5551</v>
      </c>
      <c r="GVC1" s="15" t="s">
        <v>5552</v>
      </c>
      <c r="GVD1" s="15" t="s">
        <v>5553</v>
      </c>
      <c r="GVE1" s="15" t="s">
        <v>5554</v>
      </c>
      <c r="GVF1" s="15" t="s">
        <v>5555</v>
      </c>
      <c r="GVG1" s="15" t="s">
        <v>5556</v>
      </c>
      <c r="GVH1" s="15" t="s">
        <v>5557</v>
      </c>
      <c r="GVI1" s="15" t="s">
        <v>5558</v>
      </c>
      <c r="GVJ1" s="15" t="s">
        <v>5559</v>
      </c>
      <c r="GVK1" s="15" t="s">
        <v>5560</v>
      </c>
      <c r="GVL1" s="15" t="s">
        <v>5561</v>
      </c>
      <c r="GVM1" s="15" t="s">
        <v>5562</v>
      </c>
      <c r="GVN1" s="15" t="s">
        <v>5563</v>
      </c>
      <c r="GVO1" s="15" t="s">
        <v>5564</v>
      </c>
      <c r="GVP1" s="15" t="s">
        <v>5565</v>
      </c>
      <c r="GVQ1" s="15" t="s">
        <v>5566</v>
      </c>
      <c r="GVR1" s="15" t="s">
        <v>5567</v>
      </c>
      <c r="GVS1" s="15" t="s">
        <v>5568</v>
      </c>
      <c r="GVT1" s="15" t="s">
        <v>5569</v>
      </c>
      <c r="GVU1" s="15" t="s">
        <v>5570</v>
      </c>
      <c r="GVV1" s="15" t="s">
        <v>5571</v>
      </c>
      <c r="GVW1" s="15" t="s">
        <v>5572</v>
      </c>
      <c r="GVX1" s="15" t="s">
        <v>5573</v>
      </c>
      <c r="GVY1" s="15" t="s">
        <v>5574</v>
      </c>
      <c r="GVZ1" s="15" t="s">
        <v>5575</v>
      </c>
      <c r="GWA1" s="15" t="s">
        <v>5576</v>
      </c>
      <c r="GWB1" s="15" t="s">
        <v>5577</v>
      </c>
      <c r="GWC1" s="15" t="s">
        <v>5578</v>
      </c>
      <c r="GWD1" s="15" t="s">
        <v>5579</v>
      </c>
      <c r="GWE1" s="15" t="s">
        <v>5580</v>
      </c>
      <c r="GWF1" s="15" t="s">
        <v>5581</v>
      </c>
      <c r="GWG1" s="15" t="s">
        <v>5582</v>
      </c>
      <c r="GWH1" s="15" t="s">
        <v>5583</v>
      </c>
      <c r="GWI1" s="15" t="s">
        <v>5584</v>
      </c>
      <c r="GWJ1" s="15" t="s">
        <v>5585</v>
      </c>
      <c r="GWK1" s="15" t="s">
        <v>5586</v>
      </c>
      <c r="GWL1" s="15" t="s">
        <v>5587</v>
      </c>
      <c r="GWM1" s="15" t="s">
        <v>5588</v>
      </c>
      <c r="GWN1" s="15" t="s">
        <v>5589</v>
      </c>
      <c r="GWO1" s="15" t="s">
        <v>5590</v>
      </c>
      <c r="GWP1" s="15" t="s">
        <v>5591</v>
      </c>
      <c r="GWQ1" s="15" t="s">
        <v>5592</v>
      </c>
      <c r="GWR1" s="15" t="s">
        <v>5593</v>
      </c>
      <c r="GWS1" s="15" t="s">
        <v>5594</v>
      </c>
      <c r="GWT1" s="15" t="s">
        <v>5595</v>
      </c>
      <c r="GWU1" s="15" t="s">
        <v>5596</v>
      </c>
      <c r="GWV1" s="15" t="s">
        <v>5597</v>
      </c>
      <c r="GWW1" s="15" t="s">
        <v>5598</v>
      </c>
      <c r="GWX1" s="15" t="s">
        <v>5599</v>
      </c>
      <c r="GWY1" s="15" t="s">
        <v>5600</v>
      </c>
      <c r="GWZ1" s="15" t="s">
        <v>5601</v>
      </c>
      <c r="GXA1" s="15" t="s">
        <v>5602</v>
      </c>
      <c r="GXB1" s="15" t="s">
        <v>5603</v>
      </c>
      <c r="GXC1" s="15" t="s">
        <v>5604</v>
      </c>
      <c r="GXD1" s="15" t="s">
        <v>5605</v>
      </c>
      <c r="GXE1" s="15" t="s">
        <v>5606</v>
      </c>
      <c r="GXF1" s="15" t="s">
        <v>5607</v>
      </c>
      <c r="GXG1" s="15" t="s">
        <v>5608</v>
      </c>
      <c r="GXH1" s="15" t="s">
        <v>5609</v>
      </c>
      <c r="GXI1" s="15" t="s">
        <v>5610</v>
      </c>
      <c r="GXJ1" s="15" t="s">
        <v>5611</v>
      </c>
      <c r="GXK1" s="15" t="s">
        <v>5612</v>
      </c>
      <c r="GXL1" s="15" t="s">
        <v>5613</v>
      </c>
      <c r="GXM1" s="15" t="s">
        <v>5614</v>
      </c>
      <c r="GXN1" s="15" t="s">
        <v>5615</v>
      </c>
      <c r="GXO1" s="15" t="s">
        <v>5616</v>
      </c>
      <c r="GXP1" s="15" t="s">
        <v>5617</v>
      </c>
      <c r="GXQ1" s="15" t="s">
        <v>5618</v>
      </c>
      <c r="GXR1" s="15" t="s">
        <v>5619</v>
      </c>
      <c r="GXS1" s="15" t="s">
        <v>5620</v>
      </c>
      <c r="GXT1" s="15" t="s">
        <v>5621</v>
      </c>
      <c r="GXU1" s="15" t="s">
        <v>5622</v>
      </c>
      <c r="GXV1" s="15" t="s">
        <v>5623</v>
      </c>
      <c r="GXW1" s="15" t="s">
        <v>5624</v>
      </c>
      <c r="GXX1" s="15" t="s">
        <v>5625</v>
      </c>
      <c r="GXY1" s="15" t="s">
        <v>5626</v>
      </c>
      <c r="GXZ1" s="15" t="s">
        <v>5627</v>
      </c>
      <c r="GYA1" s="15" t="s">
        <v>5628</v>
      </c>
      <c r="GYB1" s="15" t="s">
        <v>5629</v>
      </c>
      <c r="GYC1" s="15" t="s">
        <v>5630</v>
      </c>
      <c r="GYD1" s="15" t="s">
        <v>5631</v>
      </c>
      <c r="GYE1" s="15" t="s">
        <v>5632</v>
      </c>
      <c r="GYF1" s="15" t="s">
        <v>5633</v>
      </c>
      <c r="GYG1" s="15" t="s">
        <v>5634</v>
      </c>
      <c r="GYH1" s="15" t="s">
        <v>5635</v>
      </c>
      <c r="GYI1" s="15" t="s">
        <v>5636</v>
      </c>
      <c r="GYJ1" s="15" t="s">
        <v>5637</v>
      </c>
      <c r="GYK1" s="15" t="s">
        <v>5638</v>
      </c>
      <c r="GYL1" s="15" t="s">
        <v>5639</v>
      </c>
      <c r="GYM1" s="15" t="s">
        <v>5640</v>
      </c>
      <c r="GYN1" s="15" t="s">
        <v>5641</v>
      </c>
      <c r="GYO1" s="15" t="s">
        <v>5642</v>
      </c>
      <c r="GYP1" s="15" t="s">
        <v>5643</v>
      </c>
      <c r="GYQ1" s="15" t="s">
        <v>5644</v>
      </c>
      <c r="GYR1" s="15" t="s">
        <v>5645</v>
      </c>
      <c r="GYS1" s="15" t="s">
        <v>5646</v>
      </c>
      <c r="GYT1" s="15" t="s">
        <v>5647</v>
      </c>
      <c r="GYU1" s="15" t="s">
        <v>5648</v>
      </c>
      <c r="GYV1" s="15" t="s">
        <v>5649</v>
      </c>
      <c r="GYW1" s="15" t="s">
        <v>5650</v>
      </c>
      <c r="GYX1" s="15" t="s">
        <v>5651</v>
      </c>
      <c r="GYY1" s="15" t="s">
        <v>5652</v>
      </c>
      <c r="GYZ1" s="15" t="s">
        <v>5653</v>
      </c>
      <c r="GZA1" s="15" t="s">
        <v>5654</v>
      </c>
      <c r="GZB1" s="15" t="s">
        <v>5655</v>
      </c>
      <c r="GZC1" s="15" t="s">
        <v>5656</v>
      </c>
      <c r="GZD1" s="15" t="s">
        <v>5657</v>
      </c>
      <c r="GZE1" s="15" t="s">
        <v>5658</v>
      </c>
      <c r="GZF1" s="15" t="s">
        <v>5659</v>
      </c>
      <c r="GZG1" s="15" t="s">
        <v>5660</v>
      </c>
      <c r="GZH1" s="15" t="s">
        <v>5661</v>
      </c>
      <c r="GZI1" s="15" t="s">
        <v>5662</v>
      </c>
      <c r="GZJ1" s="15" t="s">
        <v>5663</v>
      </c>
      <c r="GZK1" s="15" t="s">
        <v>5664</v>
      </c>
      <c r="GZL1" s="15" t="s">
        <v>5665</v>
      </c>
      <c r="GZM1" s="15" t="s">
        <v>5666</v>
      </c>
      <c r="GZN1" s="15" t="s">
        <v>5667</v>
      </c>
      <c r="GZO1" s="15" t="s">
        <v>5668</v>
      </c>
      <c r="GZP1" s="15" t="s">
        <v>5669</v>
      </c>
      <c r="GZQ1" s="15" t="s">
        <v>5670</v>
      </c>
      <c r="GZR1" s="15" t="s">
        <v>5671</v>
      </c>
      <c r="GZS1" s="15" t="s">
        <v>5672</v>
      </c>
      <c r="GZT1" s="15" t="s">
        <v>5673</v>
      </c>
      <c r="GZU1" s="15" t="s">
        <v>5674</v>
      </c>
      <c r="GZV1" s="15" t="s">
        <v>5675</v>
      </c>
      <c r="GZW1" s="15" t="s">
        <v>5676</v>
      </c>
      <c r="GZX1" s="15" t="s">
        <v>5677</v>
      </c>
      <c r="GZY1" s="15" t="s">
        <v>5678</v>
      </c>
      <c r="GZZ1" s="15" t="s">
        <v>5679</v>
      </c>
      <c r="HAA1" s="15" t="s">
        <v>5680</v>
      </c>
      <c r="HAB1" s="15" t="s">
        <v>5681</v>
      </c>
      <c r="HAC1" s="15" t="s">
        <v>5682</v>
      </c>
      <c r="HAD1" s="15" t="s">
        <v>5683</v>
      </c>
      <c r="HAE1" s="15" t="s">
        <v>5684</v>
      </c>
      <c r="HAF1" s="15" t="s">
        <v>5685</v>
      </c>
      <c r="HAG1" s="15" t="s">
        <v>5686</v>
      </c>
      <c r="HAH1" s="15" t="s">
        <v>5687</v>
      </c>
      <c r="HAI1" s="15" t="s">
        <v>5688</v>
      </c>
      <c r="HAJ1" s="15" t="s">
        <v>5689</v>
      </c>
      <c r="HAK1" s="15" t="s">
        <v>5690</v>
      </c>
      <c r="HAL1" s="15" t="s">
        <v>5691</v>
      </c>
      <c r="HAM1" s="15" t="s">
        <v>5692</v>
      </c>
      <c r="HAN1" s="15" t="s">
        <v>5693</v>
      </c>
      <c r="HAO1" s="15" t="s">
        <v>5694</v>
      </c>
      <c r="HAP1" s="15" t="s">
        <v>5695</v>
      </c>
      <c r="HAQ1" s="15" t="s">
        <v>5696</v>
      </c>
      <c r="HAR1" s="15" t="s">
        <v>5697</v>
      </c>
      <c r="HAS1" s="15" t="s">
        <v>5698</v>
      </c>
      <c r="HAT1" s="15" t="s">
        <v>5699</v>
      </c>
      <c r="HAU1" s="15" t="s">
        <v>5700</v>
      </c>
      <c r="HAV1" s="15" t="s">
        <v>5701</v>
      </c>
      <c r="HAW1" s="15" t="s">
        <v>5702</v>
      </c>
      <c r="HAX1" s="15" t="s">
        <v>5703</v>
      </c>
      <c r="HAY1" s="15" t="s">
        <v>5704</v>
      </c>
      <c r="HAZ1" s="15" t="s">
        <v>5705</v>
      </c>
      <c r="HBA1" s="15" t="s">
        <v>5706</v>
      </c>
      <c r="HBB1" s="15" t="s">
        <v>5707</v>
      </c>
      <c r="HBC1" s="15" t="s">
        <v>5708</v>
      </c>
      <c r="HBD1" s="15" t="s">
        <v>5709</v>
      </c>
      <c r="HBE1" s="15" t="s">
        <v>5710</v>
      </c>
      <c r="HBF1" s="15" t="s">
        <v>5711</v>
      </c>
      <c r="HBG1" s="15" t="s">
        <v>5712</v>
      </c>
      <c r="HBH1" s="15" t="s">
        <v>5713</v>
      </c>
      <c r="HBI1" s="15" t="s">
        <v>5714</v>
      </c>
      <c r="HBJ1" s="15" t="s">
        <v>5715</v>
      </c>
      <c r="HBK1" s="15" t="s">
        <v>5716</v>
      </c>
      <c r="HBL1" s="15" t="s">
        <v>5717</v>
      </c>
      <c r="HBM1" s="15" t="s">
        <v>5718</v>
      </c>
      <c r="HBN1" s="15" t="s">
        <v>5719</v>
      </c>
      <c r="HBO1" s="15" t="s">
        <v>5720</v>
      </c>
      <c r="HBP1" s="15" t="s">
        <v>5721</v>
      </c>
      <c r="HBQ1" s="15" t="s">
        <v>5722</v>
      </c>
      <c r="HBR1" s="15" t="s">
        <v>5723</v>
      </c>
      <c r="HBS1" s="15" t="s">
        <v>5724</v>
      </c>
      <c r="HBT1" s="15" t="s">
        <v>5725</v>
      </c>
      <c r="HBU1" s="15" t="s">
        <v>5726</v>
      </c>
      <c r="HBV1" s="15" t="s">
        <v>5727</v>
      </c>
      <c r="HBW1" s="15" t="s">
        <v>5728</v>
      </c>
      <c r="HBX1" s="15" t="s">
        <v>5729</v>
      </c>
      <c r="HBY1" s="15" t="s">
        <v>5730</v>
      </c>
      <c r="HBZ1" s="15" t="s">
        <v>5731</v>
      </c>
      <c r="HCA1" s="15" t="s">
        <v>5732</v>
      </c>
      <c r="HCB1" s="15" t="s">
        <v>5733</v>
      </c>
      <c r="HCC1" s="15" t="s">
        <v>5734</v>
      </c>
      <c r="HCD1" s="15" t="s">
        <v>5735</v>
      </c>
      <c r="HCE1" s="15" t="s">
        <v>5736</v>
      </c>
      <c r="HCF1" s="15" t="s">
        <v>5737</v>
      </c>
      <c r="HCG1" s="15" t="s">
        <v>5738</v>
      </c>
      <c r="HCH1" s="15" t="s">
        <v>5739</v>
      </c>
      <c r="HCI1" s="15" t="s">
        <v>5740</v>
      </c>
      <c r="HCJ1" s="15" t="s">
        <v>5741</v>
      </c>
      <c r="HCK1" s="15" t="s">
        <v>5742</v>
      </c>
      <c r="HCL1" s="15" t="s">
        <v>5743</v>
      </c>
      <c r="HCM1" s="15" t="s">
        <v>5744</v>
      </c>
      <c r="HCN1" s="15" t="s">
        <v>5745</v>
      </c>
      <c r="HCO1" s="15" t="s">
        <v>5746</v>
      </c>
      <c r="HCP1" s="15" t="s">
        <v>5747</v>
      </c>
      <c r="HCQ1" s="15" t="s">
        <v>5748</v>
      </c>
      <c r="HCR1" s="15" t="s">
        <v>5749</v>
      </c>
      <c r="HCS1" s="15" t="s">
        <v>5750</v>
      </c>
      <c r="HCT1" s="15" t="s">
        <v>5751</v>
      </c>
      <c r="HCU1" s="15" t="s">
        <v>5752</v>
      </c>
      <c r="HCV1" s="15" t="s">
        <v>5753</v>
      </c>
      <c r="HCW1" s="15" t="s">
        <v>5754</v>
      </c>
      <c r="HCX1" s="15" t="s">
        <v>5755</v>
      </c>
      <c r="HCY1" s="15" t="s">
        <v>5756</v>
      </c>
      <c r="HCZ1" s="15" t="s">
        <v>5757</v>
      </c>
      <c r="HDA1" s="15" t="s">
        <v>5758</v>
      </c>
      <c r="HDB1" s="15" t="s">
        <v>5759</v>
      </c>
      <c r="HDC1" s="15" t="s">
        <v>5760</v>
      </c>
      <c r="HDD1" s="15" t="s">
        <v>5761</v>
      </c>
      <c r="HDE1" s="15" t="s">
        <v>5762</v>
      </c>
      <c r="HDF1" s="15" t="s">
        <v>5763</v>
      </c>
      <c r="HDG1" s="15" t="s">
        <v>5764</v>
      </c>
      <c r="HDH1" s="15" t="s">
        <v>5765</v>
      </c>
      <c r="HDI1" s="15" t="s">
        <v>5766</v>
      </c>
      <c r="HDJ1" s="15" t="s">
        <v>5767</v>
      </c>
      <c r="HDK1" s="15" t="s">
        <v>5768</v>
      </c>
      <c r="HDL1" s="15" t="s">
        <v>5769</v>
      </c>
      <c r="HDM1" s="15" t="s">
        <v>5770</v>
      </c>
      <c r="HDN1" s="15" t="s">
        <v>5771</v>
      </c>
      <c r="HDO1" s="15" t="s">
        <v>5772</v>
      </c>
      <c r="HDP1" s="15" t="s">
        <v>5773</v>
      </c>
      <c r="HDQ1" s="15" t="s">
        <v>5774</v>
      </c>
      <c r="HDR1" s="15" t="s">
        <v>5775</v>
      </c>
      <c r="HDS1" s="15" t="s">
        <v>5776</v>
      </c>
      <c r="HDT1" s="15" t="s">
        <v>5777</v>
      </c>
      <c r="HDU1" s="15" t="s">
        <v>5778</v>
      </c>
      <c r="HDV1" s="15" t="s">
        <v>5779</v>
      </c>
      <c r="HDW1" s="15" t="s">
        <v>5780</v>
      </c>
      <c r="HDX1" s="15" t="s">
        <v>5781</v>
      </c>
      <c r="HDY1" s="15" t="s">
        <v>5782</v>
      </c>
      <c r="HDZ1" s="15" t="s">
        <v>5783</v>
      </c>
      <c r="HEA1" s="15" t="s">
        <v>5784</v>
      </c>
      <c r="HEB1" s="15" t="s">
        <v>5785</v>
      </c>
      <c r="HEC1" s="15" t="s">
        <v>5786</v>
      </c>
      <c r="HED1" s="15" t="s">
        <v>5787</v>
      </c>
      <c r="HEE1" s="15" t="s">
        <v>5788</v>
      </c>
      <c r="HEF1" s="15" t="s">
        <v>5789</v>
      </c>
      <c r="HEG1" s="15" t="s">
        <v>5790</v>
      </c>
      <c r="HEH1" s="15" t="s">
        <v>5791</v>
      </c>
      <c r="HEI1" s="15" t="s">
        <v>5792</v>
      </c>
      <c r="HEJ1" s="15" t="s">
        <v>5793</v>
      </c>
      <c r="HEK1" s="15" t="s">
        <v>5794</v>
      </c>
      <c r="HEL1" s="15" t="s">
        <v>5795</v>
      </c>
      <c r="HEM1" s="15" t="s">
        <v>5796</v>
      </c>
      <c r="HEN1" s="15" t="s">
        <v>5797</v>
      </c>
      <c r="HEO1" s="15" t="s">
        <v>5798</v>
      </c>
      <c r="HEP1" s="15" t="s">
        <v>5799</v>
      </c>
      <c r="HEQ1" s="15" t="s">
        <v>5800</v>
      </c>
      <c r="HER1" s="15" t="s">
        <v>5801</v>
      </c>
      <c r="HES1" s="15" t="s">
        <v>5802</v>
      </c>
      <c r="HET1" s="15" t="s">
        <v>5803</v>
      </c>
      <c r="HEU1" s="15" t="s">
        <v>5804</v>
      </c>
      <c r="HEV1" s="15" t="s">
        <v>5805</v>
      </c>
      <c r="HEW1" s="15" t="s">
        <v>5806</v>
      </c>
      <c r="HEX1" s="15" t="s">
        <v>5807</v>
      </c>
      <c r="HEY1" s="15" t="s">
        <v>5808</v>
      </c>
      <c r="HEZ1" s="15" t="s">
        <v>5809</v>
      </c>
      <c r="HFA1" s="15" t="s">
        <v>5810</v>
      </c>
      <c r="HFB1" s="15" t="s">
        <v>5811</v>
      </c>
      <c r="HFC1" s="15" t="s">
        <v>5812</v>
      </c>
      <c r="HFD1" s="15" t="s">
        <v>5813</v>
      </c>
      <c r="HFE1" s="15" t="s">
        <v>5814</v>
      </c>
      <c r="HFF1" s="15" t="s">
        <v>5815</v>
      </c>
      <c r="HFG1" s="15" t="s">
        <v>5816</v>
      </c>
      <c r="HFH1" s="15" t="s">
        <v>5817</v>
      </c>
      <c r="HFI1" s="15" t="s">
        <v>5818</v>
      </c>
      <c r="HFJ1" s="15" t="s">
        <v>5819</v>
      </c>
      <c r="HFK1" s="15" t="s">
        <v>5820</v>
      </c>
      <c r="HFL1" s="15" t="s">
        <v>5821</v>
      </c>
      <c r="HFM1" s="15" t="s">
        <v>5822</v>
      </c>
      <c r="HFN1" s="15" t="s">
        <v>5823</v>
      </c>
      <c r="HFO1" s="15" t="s">
        <v>5824</v>
      </c>
      <c r="HFP1" s="15" t="s">
        <v>5825</v>
      </c>
      <c r="HFQ1" s="15" t="s">
        <v>5826</v>
      </c>
      <c r="HFR1" s="15" t="s">
        <v>5827</v>
      </c>
      <c r="HFS1" s="15" t="s">
        <v>5828</v>
      </c>
      <c r="HFT1" s="15" t="s">
        <v>5829</v>
      </c>
      <c r="HFU1" s="15" t="s">
        <v>5830</v>
      </c>
      <c r="HFV1" s="15" t="s">
        <v>5831</v>
      </c>
      <c r="HFW1" s="15" t="s">
        <v>5832</v>
      </c>
      <c r="HFX1" s="15" t="s">
        <v>5833</v>
      </c>
      <c r="HFY1" s="15" t="s">
        <v>5834</v>
      </c>
      <c r="HFZ1" s="15" t="s">
        <v>5835</v>
      </c>
      <c r="HGA1" s="15" t="s">
        <v>5836</v>
      </c>
      <c r="HGB1" s="15" t="s">
        <v>5837</v>
      </c>
      <c r="HGC1" s="15" t="s">
        <v>5838</v>
      </c>
      <c r="HGD1" s="15" t="s">
        <v>5839</v>
      </c>
      <c r="HGE1" s="15" t="s">
        <v>5840</v>
      </c>
      <c r="HGF1" s="15" t="s">
        <v>5841</v>
      </c>
      <c r="HGG1" s="15" t="s">
        <v>5842</v>
      </c>
      <c r="HGH1" s="15" t="s">
        <v>5843</v>
      </c>
      <c r="HGI1" s="15" t="s">
        <v>5844</v>
      </c>
      <c r="HGJ1" s="15" t="s">
        <v>5845</v>
      </c>
      <c r="HGK1" s="15" t="s">
        <v>5846</v>
      </c>
      <c r="HGL1" s="15" t="s">
        <v>5847</v>
      </c>
      <c r="HGM1" s="15" t="s">
        <v>5848</v>
      </c>
      <c r="HGN1" s="15" t="s">
        <v>5849</v>
      </c>
      <c r="HGO1" s="15" t="s">
        <v>5850</v>
      </c>
      <c r="HGP1" s="15" t="s">
        <v>5851</v>
      </c>
      <c r="HGQ1" s="15" t="s">
        <v>5852</v>
      </c>
      <c r="HGR1" s="15" t="s">
        <v>5853</v>
      </c>
      <c r="HGS1" s="15" t="s">
        <v>5854</v>
      </c>
      <c r="HGT1" s="15" t="s">
        <v>5855</v>
      </c>
      <c r="HGU1" s="15" t="s">
        <v>5856</v>
      </c>
      <c r="HGV1" s="15" t="s">
        <v>5857</v>
      </c>
      <c r="HGW1" s="15" t="s">
        <v>5858</v>
      </c>
      <c r="HGX1" s="15" t="s">
        <v>5859</v>
      </c>
      <c r="HGY1" s="15" t="s">
        <v>5860</v>
      </c>
      <c r="HGZ1" s="15" t="s">
        <v>5861</v>
      </c>
      <c r="HHA1" s="15" t="s">
        <v>5862</v>
      </c>
      <c r="HHB1" s="15" t="s">
        <v>5863</v>
      </c>
      <c r="HHC1" s="15" t="s">
        <v>5864</v>
      </c>
      <c r="HHD1" s="15" t="s">
        <v>5865</v>
      </c>
      <c r="HHE1" s="15" t="s">
        <v>5866</v>
      </c>
      <c r="HHF1" s="15" t="s">
        <v>5867</v>
      </c>
      <c r="HHG1" s="15" t="s">
        <v>5868</v>
      </c>
      <c r="HHH1" s="15" t="s">
        <v>5869</v>
      </c>
      <c r="HHI1" s="15" t="s">
        <v>5870</v>
      </c>
      <c r="HHJ1" s="15" t="s">
        <v>5871</v>
      </c>
      <c r="HHK1" s="15" t="s">
        <v>5872</v>
      </c>
      <c r="HHL1" s="15" t="s">
        <v>5873</v>
      </c>
      <c r="HHM1" s="15" t="s">
        <v>5874</v>
      </c>
      <c r="HHN1" s="15" t="s">
        <v>5875</v>
      </c>
      <c r="HHO1" s="15" t="s">
        <v>5876</v>
      </c>
      <c r="HHP1" s="15" t="s">
        <v>5877</v>
      </c>
      <c r="HHQ1" s="15" t="s">
        <v>5878</v>
      </c>
      <c r="HHR1" s="15" t="s">
        <v>5879</v>
      </c>
      <c r="HHS1" s="15" t="s">
        <v>5880</v>
      </c>
      <c r="HHT1" s="15" t="s">
        <v>5881</v>
      </c>
      <c r="HHU1" s="15" t="s">
        <v>5882</v>
      </c>
      <c r="HHV1" s="15" t="s">
        <v>5883</v>
      </c>
      <c r="HHW1" s="15" t="s">
        <v>5884</v>
      </c>
      <c r="HHX1" s="15" t="s">
        <v>5885</v>
      </c>
      <c r="HHY1" s="15" t="s">
        <v>5886</v>
      </c>
      <c r="HHZ1" s="15" t="s">
        <v>5887</v>
      </c>
      <c r="HIA1" s="15" t="s">
        <v>5888</v>
      </c>
      <c r="HIB1" s="15" t="s">
        <v>5889</v>
      </c>
      <c r="HIC1" s="15" t="s">
        <v>5890</v>
      </c>
      <c r="HID1" s="15" t="s">
        <v>5891</v>
      </c>
      <c r="HIE1" s="15" t="s">
        <v>5892</v>
      </c>
      <c r="HIF1" s="15" t="s">
        <v>5893</v>
      </c>
      <c r="HIG1" s="15" t="s">
        <v>5894</v>
      </c>
      <c r="HIH1" s="15" t="s">
        <v>5895</v>
      </c>
      <c r="HII1" s="15" t="s">
        <v>5896</v>
      </c>
      <c r="HIJ1" s="15" t="s">
        <v>5897</v>
      </c>
      <c r="HIK1" s="15" t="s">
        <v>5898</v>
      </c>
      <c r="HIL1" s="15" t="s">
        <v>5899</v>
      </c>
      <c r="HIM1" s="15" t="s">
        <v>5900</v>
      </c>
      <c r="HIN1" s="15" t="s">
        <v>5901</v>
      </c>
      <c r="HIO1" s="15" t="s">
        <v>5902</v>
      </c>
      <c r="HIP1" s="15" t="s">
        <v>5903</v>
      </c>
      <c r="HIQ1" s="15" t="s">
        <v>5904</v>
      </c>
      <c r="HIR1" s="15" t="s">
        <v>5905</v>
      </c>
      <c r="HIS1" s="15" t="s">
        <v>5906</v>
      </c>
      <c r="HIT1" s="15" t="s">
        <v>5907</v>
      </c>
      <c r="HIU1" s="15" t="s">
        <v>5908</v>
      </c>
      <c r="HIV1" s="15" t="s">
        <v>5909</v>
      </c>
      <c r="HIW1" s="15" t="s">
        <v>5910</v>
      </c>
      <c r="HIX1" s="15" t="s">
        <v>5911</v>
      </c>
      <c r="HIY1" s="15" t="s">
        <v>5912</v>
      </c>
      <c r="HIZ1" s="15" t="s">
        <v>5913</v>
      </c>
      <c r="HJA1" s="15" t="s">
        <v>5914</v>
      </c>
      <c r="HJB1" s="15" t="s">
        <v>5915</v>
      </c>
      <c r="HJC1" s="15" t="s">
        <v>5916</v>
      </c>
      <c r="HJD1" s="15" t="s">
        <v>5917</v>
      </c>
      <c r="HJE1" s="15" t="s">
        <v>5918</v>
      </c>
      <c r="HJF1" s="15" t="s">
        <v>5919</v>
      </c>
      <c r="HJG1" s="15" t="s">
        <v>5920</v>
      </c>
      <c r="HJH1" s="15" t="s">
        <v>5921</v>
      </c>
      <c r="HJI1" s="15" t="s">
        <v>5922</v>
      </c>
      <c r="HJJ1" s="15" t="s">
        <v>5923</v>
      </c>
      <c r="HJK1" s="15" t="s">
        <v>5924</v>
      </c>
      <c r="HJL1" s="15" t="s">
        <v>5925</v>
      </c>
      <c r="HJM1" s="15" t="s">
        <v>5926</v>
      </c>
      <c r="HJN1" s="15" t="s">
        <v>5927</v>
      </c>
      <c r="HJO1" s="15" t="s">
        <v>5928</v>
      </c>
      <c r="HJP1" s="15" t="s">
        <v>5929</v>
      </c>
      <c r="HJQ1" s="15" t="s">
        <v>5930</v>
      </c>
      <c r="HJR1" s="15" t="s">
        <v>5931</v>
      </c>
      <c r="HJS1" s="15" t="s">
        <v>5932</v>
      </c>
      <c r="HJT1" s="15" t="s">
        <v>5933</v>
      </c>
      <c r="HJU1" s="15" t="s">
        <v>5934</v>
      </c>
      <c r="HJV1" s="15" t="s">
        <v>5935</v>
      </c>
      <c r="HJW1" s="15" t="s">
        <v>5936</v>
      </c>
      <c r="HJX1" s="15" t="s">
        <v>5937</v>
      </c>
      <c r="HJY1" s="15" t="s">
        <v>5938</v>
      </c>
      <c r="HJZ1" s="15" t="s">
        <v>5939</v>
      </c>
      <c r="HKA1" s="15" t="s">
        <v>5940</v>
      </c>
      <c r="HKB1" s="15" t="s">
        <v>5941</v>
      </c>
      <c r="HKC1" s="15" t="s">
        <v>5942</v>
      </c>
      <c r="HKD1" s="15" t="s">
        <v>5943</v>
      </c>
      <c r="HKE1" s="15" t="s">
        <v>5944</v>
      </c>
      <c r="HKF1" s="15" t="s">
        <v>5945</v>
      </c>
      <c r="HKG1" s="15" t="s">
        <v>5946</v>
      </c>
      <c r="HKH1" s="15" t="s">
        <v>5947</v>
      </c>
      <c r="HKI1" s="15" t="s">
        <v>5948</v>
      </c>
      <c r="HKJ1" s="15" t="s">
        <v>5949</v>
      </c>
      <c r="HKK1" s="15" t="s">
        <v>5950</v>
      </c>
      <c r="HKL1" s="15" t="s">
        <v>5951</v>
      </c>
      <c r="HKM1" s="15" t="s">
        <v>5952</v>
      </c>
      <c r="HKN1" s="15" t="s">
        <v>5953</v>
      </c>
      <c r="HKO1" s="15" t="s">
        <v>5954</v>
      </c>
      <c r="HKP1" s="15" t="s">
        <v>5955</v>
      </c>
      <c r="HKQ1" s="15" t="s">
        <v>5956</v>
      </c>
      <c r="HKR1" s="15" t="s">
        <v>5957</v>
      </c>
      <c r="HKS1" s="15" t="s">
        <v>5958</v>
      </c>
      <c r="HKT1" s="15" t="s">
        <v>5959</v>
      </c>
      <c r="HKU1" s="15" t="s">
        <v>5960</v>
      </c>
      <c r="HKV1" s="15" t="s">
        <v>5961</v>
      </c>
      <c r="HKW1" s="15" t="s">
        <v>5962</v>
      </c>
      <c r="HKX1" s="15" t="s">
        <v>5963</v>
      </c>
      <c r="HKY1" s="15" t="s">
        <v>5964</v>
      </c>
      <c r="HKZ1" s="15" t="s">
        <v>5965</v>
      </c>
      <c r="HLA1" s="15" t="s">
        <v>5966</v>
      </c>
      <c r="HLB1" s="15" t="s">
        <v>5967</v>
      </c>
      <c r="HLC1" s="15" t="s">
        <v>5968</v>
      </c>
      <c r="HLD1" s="15" t="s">
        <v>5969</v>
      </c>
      <c r="HLE1" s="15" t="s">
        <v>5970</v>
      </c>
      <c r="HLF1" s="15" t="s">
        <v>5971</v>
      </c>
      <c r="HLG1" s="15" t="s">
        <v>5972</v>
      </c>
      <c r="HLH1" s="15" t="s">
        <v>5973</v>
      </c>
      <c r="HLI1" s="15" t="s">
        <v>5974</v>
      </c>
      <c r="HLJ1" s="15" t="s">
        <v>5975</v>
      </c>
      <c r="HLK1" s="15" t="s">
        <v>5976</v>
      </c>
      <c r="HLL1" s="15" t="s">
        <v>5977</v>
      </c>
      <c r="HLM1" s="15" t="s">
        <v>5978</v>
      </c>
      <c r="HLN1" s="15" t="s">
        <v>5979</v>
      </c>
      <c r="HLO1" s="15" t="s">
        <v>5980</v>
      </c>
      <c r="HLP1" s="15" t="s">
        <v>5981</v>
      </c>
      <c r="HLQ1" s="15" t="s">
        <v>5982</v>
      </c>
      <c r="HLR1" s="15" t="s">
        <v>5983</v>
      </c>
      <c r="HLS1" s="15" t="s">
        <v>5984</v>
      </c>
      <c r="HLT1" s="15" t="s">
        <v>5985</v>
      </c>
      <c r="HLU1" s="15" t="s">
        <v>5986</v>
      </c>
      <c r="HLV1" s="15" t="s">
        <v>5987</v>
      </c>
      <c r="HLW1" s="15" t="s">
        <v>5988</v>
      </c>
      <c r="HLX1" s="15" t="s">
        <v>5989</v>
      </c>
      <c r="HLY1" s="15" t="s">
        <v>5990</v>
      </c>
      <c r="HLZ1" s="15" t="s">
        <v>5991</v>
      </c>
      <c r="HMA1" s="15" t="s">
        <v>5992</v>
      </c>
      <c r="HMB1" s="15" t="s">
        <v>5993</v>
      </c>
      <c r="HMC1" s="15" t="s">
        <v>5994</v>
      </c>
      <c r="HMD1" s="15" t="s">
        <v>5995</v>
      </c>
      <c r="HME1" s="15" t="s">
        <v>5996</v>
      </c>
      <c r="HMF1" s="15" t="s">
        <v>5997</v>
      </c>
      <c r="HMG1" s="15" t="s">
        <v>5998</v>
      </c>
      <c r="HMH1" s="15" t="s">
        <v>5999</v>
      </c>
      <c r="HMI1" s="15" t="s">
        <v>6000</v>
      </c>
      <c r="HMJ1" s="15" t="s">
        <v>6001</v>
      </c>
      <c r="HMK1" s="15" t="s">
        <v>6002</v>
      </c>
      <c r="HML1" s="15" t="s">
        <v>6003</v>
      </c>
      <c r="HMM1" s="15" t="s">
        <v>6004</v>
      </c>
      <c r="HMN1" s="15" t="s">
        <v>6005</v>
      </c>
      <c r="HMO1" s="15" t="s">
        <v>6006</v>
      </c>
      <c r="HMP1" s="15" t="s">
        <v>6007</v>
      </c>
      <c r="HMQ1" s="15" t="s">
        <v>6008</v>
      </c>
      <c r="HMR1" s="15" t="s">
        <v>6009</v>
      </c>
      <c r="HMS1" s="15" t="s">
        <v>6010</v>
      </c>
      <c r="HMT1" s="15" t="s">
        <v>6011</v>
      </c>
      <c r="HMU1" s="15" t="s">
        <v>6012</v>
      </c>
      <c r="HMV1" s="15" t="s">
        <v>6013</v>
      </c>
      <c r="HMW1" s="15" t="s">
        <v>6014</v>
      </c>
      <c r="HMX1" s="15" t="s">
        <v>6015</v>
      </c>
      <c r="HMY1" s="15" t="s">
        <v>6016</v>
      </c>
      <c r="HMZ1" s="15" t="s">
        <v>6017</v>
      </c>
      <c r="HNA1" s="15" t="s">
        <v>6018</v>
      </c>
      <c r="HNB1" s="15" t="s">
        <v>6019</v>
      </c>
      <c r="HNC1" s="15" t="s">
        <v>6020</v>
      </c>
      <c r="HND1" s="15" t="s">
        <v>6021</v>
      </c>
      <c r="HNE1" s="15" t="s">
        <v>6022</v>
      </c>
      <c r="HNF1" s="15" t="s">
        <v>6023</v>
      </c>
      <c r="HNG1" s="15" t="s">
        <v>6024</v>
      </c>
      <c r="HNH1" s="15" t="s">
        <v>6025</v>
      </c>
      <c r="HNI1" s="15" t="s">
        <v>6026</v>
      </c>
      <c r="HNJ1" s="15" t="s">
        <v>6027</v>
      </c>
      <c r="HNK1" s="15" t="s">
        <v>6028</v>
      </c>
      <c r="HNL1" s="15" t="s">
        <v>6029</v>
      </c>
      <c r="HNM1" s="15" t="s">
        <v>6030</v>
      </c>
      <c r="HNN1" s="15" t="s">
        <v>6031</v>
      </c>
      <c r="HNO1" s="15" t="s">
        <v>6032</v>
      </c>
      <c r="HNP1" s="15" t="s">
        <v>6033</v>
      </c>
      <c r="HNQ1" s="15" t="s">
        <v>6034</v>
      </c>
      <c r="HNR1" s="15" t="s">
        <v>6035</v>
      </c>
      <c r="HNS1" s="15" t="s">
        <v>6036</v>
      </c>
      <c r="HNT1" s="15" t="s">
        <v>6037</v>
      </c>
      <c r="HNU1" s="15" t="s">
        <v>6038</v>
      </c>
      <c r="HNV1" s="15" t="s">
        <v>6039</v>
      </c>
      <c r="HNW1" s="15" t="s">
        <v>6040</v>
      </c>
      <c r="HNX1" s="15" t="s">
        <v>6041</v>
      </c>
      <c r="HNY1" s="15" t="s">
        <v>6042</v>
      </c>
      <c r="HNZ1" s="15" t="s">
        <v>6043</v>
      </c>
      <c r="HOA1" s="15" t="s">
        <v>6044</v>
      </c>
      <c r="HOB1" s="15" t="s">
        <v>6045</v>
      </c>
      <c r="HOC1" s="15" t="s">
        <v>6046</v>
      </c>
      <c r="HOD1" s="15" t="s">
        <v>6047</v>
      </c>
      <c r="HOE1" s="15" t="s">
        <v>6048</v>
      </c>
      <c r="HOF1" s="15" t="s">
        <v>6049</v>
      </c>
      <c r="HOG1" s="15" t="s">
        <v>6050</v>
      </c>
      <c r="HOH1" s="15" t="s">
        <v>6051</v>
      </c>
      <c r="HOI1" s="15" t="s">
        <v>6052</v>
      </c>
      <c r="HOJ1" s="15" t="s">
        <v>6053</v>
      </c>
      <c r="HOK1" s="15" t="s">
        <v>6054</v>
      </c>
      <c r="HOL1" s="15" t="s">
        <v>6055</v>
      </c>
      <c r="HOM1" s="15" t="s">
        <v>6056</v>
      </c>
      <c r="HON1" s="15" t="s">
        <v>6057</v>
      </c>
      <c r="HOO1" s="15" t="s">
        <v>6058</v>
      </c>
      <c r="HOP1" s="15" t="s">
        <v>6059</v>
      </c>
      <c r="HOQ1" s="15" t="s">
        <v>6060</v>
      </c>
      <c r="HOR1" s="15" t="s">
        <v>6061</v>
      </c>
      <c r="HOS1" s="15" t="s">
        <v>6062</v>
      </c>
      <c r="HOT1" s="15" t="s">
        <v>6063</v>
      </c>
      <c r="HOU1" s="15" t="s">
        <v>6064</v>
      </c>
      <c r="HOV1" s="15" t="s">
        <v>6065</v>
      </c>
      <c r="HOW1" s="15" t="s">
        <v>6066</v>
      </c>
      <c r="HOX1" s="15" t="s">
        <v>6067</v>
      </c>
      <c r="HOY1" s="15" t="s">
        <v>6068</v>
      </c>
      <c r="HOZ1" s="15" t="s">
        <v>6069</v>
      </c>
      <c r="HPA1" s="15" t="s">
        <v>6070</v>
      </c>
      <c r="HPB1" s="15" t="s">
        <v>6071</v>
      </c>
      <c r="HPC1" s="15" t="s">
        <v>6072</v>
      </c>
      <c r="HPD1" s="15" t="s">
        <v>6073</v>
      </c>
      <c r="HPE1" s="15" t="s">
        <v>6074</v>
      </c>
      <c r="HPF1" s="15" t="s">
        <v>6075</v>
      </c>
      <c r="HPG1" s="15" t="s">
        <v>6076</v>
      </c>
      <c r="HPH1" s="15" t="s">
        <v>6077</v>
      </c>
      <c r="HPI1" s="15" t="s">
        <v>6078</v>
      </c>
      <c r="HPJ1" s="15" t="s">
        <v>6079</v>
      </c>
      <c r="HPK1" s="15" t="s">
        <v>6080</v>
      </c>
      <c r="HPL1" s="15" t="s">
        <v>6081</v>
      </c>
      <c r="HPM1" s="15" t="s">
        <v>6082</v>
      </c>
      <c r="HPN1" s="15" t="s">
        <v>6083</v>
      </c>
      <c r="HPO1" s="15" t="s">
        <v>6084</v>
      </c>
      <c r="HPP1" s="15" t="s">
        <v>6085</v>
      </c>
      <c r="HPQ1" s="15" t="s">
        <v>6086</v>
      </c>
      <c r="HPR1" s="15" t="s">
        <v>6087</v>
      </c>
      <c r="HPS1" s="15" t="s">
        <v>6088</v>
      </c>
      <c r="HPT1" s="15" t="s">
        <v>6089</v>
      </c>
      <c r="HPU1" s="15" t="s">
        <v>6090</v>
      </c>
      <c r="HPV1" s="15" t="s">
        <v>6091</v>
      </c>
      <c r="HPW1" s="15" t="s">
        <v>6092</v>
      </c>
      <c r="HPX1" s="15" t="s">
        <v>6093</v>
      </c>
      <c r="HPY1" s="15" t="s">
        <v>6094</v>
      </c>
      <c r="HPZ1" s="15" t="s">
        <v>6095</v>
      </c>
      <c r="HQA1" s="15" t="s">
        <v>6096</v>
      </c>
      <c r="HQB1" s="15" t="s">
        <v>6097</v>
      </c>
      <c r="HQC1" s="15" t="s">
        <v>6098</v>
      </c>
      <c r="HQD1" s="15" t="s">
        <v>6099</v>
      </c>
      <c r="HQE1" s="15" t="s">
        <v>6100</v>
      </c>
      <c r="HQF1" s="15" t="s">
        <v>6101</v>
      </c>
      <c r="HQG1" s="15" t="s">
        <v>6102</v>
      </c>
      <c r="HQH1" s="15" t="s">
        <v>6103</v>
      </c>
      <c r="HQI1" s="15" t="s">
        <v>6104</v>
      </c>
      <c r="HQJ1" s="15" t="s">
        <v>6105</v>
      </c>
      <c r="HQK1" s="15" t="s">
        <v>6106</v>
      </c>
      <c r="HQL1" s="15" t="s">
        <v>6107</v>
      </c>
      <c r="HQM1" s="15" t="s">
        <v>6108</v>
      </c>
      <c r="HQN1" s="15" t="s">
        <v>6109</v>
      </c>
      <c r="HQO1" s="15" t="s">
        <v>6110</v>
      </c>
      <c r="HQP1" s="15" t="s">
        <v>6111</v>
      </c>
      <c r="HQQ1" s="15" t="s">
        <v>6112</v>
      </c>
      <c r="HQR1" s="15" t="s">
        <v>6113</v>
      </c>
      <c r="HQS1" s="15" t="s">
        <v>6114</v>
      </c>
      <c r="HQT1" s="15" t="s">
        <v>6115</v>
      </c>
      <c r="HQU1" s="15" t="s">
        <v>6116</v>
      </c>
      <c r="HQV1" s="15" t="s">
        <v>6117</v>
      </c>
      <c r="HQW1" s="15" t="s">
        <v>6118</v>
      </c>
      <c r="HQX1" s="15" t="s">
        <v>6119</v>
      </c>
      <c r="HQY1" s="15" t="s">
        <v>6120</v>
      </c>
      <c r="HQZ1" s="15" t="s">
        <v>6121</v>
      </c>
      <c r="HRA1" s="15" t="s">
        <v>6122</v>
      </c>
      <c r="HRB1" s="15" t="s">
        <v>6123</v>
      </c>
      <c r="HRC1" s="15" t="s">
        <v>6124</v>
      </c>
      <c r="HRD1" s="15" t="s">
        <v>6125</v>
      </c>
      <c r="HRE1" s="15" t="s">
        <v>6126</v>
      </c>
      <c r="HRF1" s="15" t="s">
        <v>6127</v>
      </c>
      <c r="HRG1" s="15" t="s">
        <v>6128</v>
      </c>
      <c r="HRH1" s="15" t="s">
        <v>6129</v>
      </c>
      <c r="HRI1" s="15" t="s">
        <v>6130</v>
      </c>
      <c r="HRJ1" s="15" t="s">
        <v>6131</v>
      </c>
      <c r="HRK1" s="15" t="s">
        <v>6132</v>
      </c>
      <c r="HRL1" s="15" t="s">
        <v>6133</v>
      </c>
      <c r="HRM1" s="15" t="s">
        <v>6134</v>
      </c>
      <c r="HRN1" s="15" t="s">
        <v>6135</v>
      </c>
      <c r="HRO1" s="15" t="s">
        <v>6136</v>
      </c>
      <c r="HRP1" s="15" t="s">
        <v>6137</v>
      </c>
      <c r="HRQ1" s="15" t="s">
        <v>6138</v>
      </c>
      <c r="HRR1" s="15" t="s">
        <v>6139</v>
      </c>
      <c r="HRS1" s="15" t="s">
        <v>6140</v>
      </c>
      <c r="HRT1" s="15" t="s">
        <v>6141</v>
      </c>
      <c r="HRU1" s="15" t="s">
        <v>6142</v>
      </c>
      <c r="HRV1" s="15" t="s">
        <v>6143</v>
      </c>
      <c r="HRW1" s="15" t="s">
        <v>6144</v>
      </c>
      <c r="HRX1" s="15" t="s">
        <v>6145</v>
      </c>
      <c r="HRY1" s="15" t="s">
        <v>6146</v>
      </c>
      <c r="HRZ1" s="15" t="s">
        <v>6147</v>
      </c>
      <c r="HSA1" s="15" t="s">
        <v>6148</v>
      </c>
      <c r="HSB1" s="15" t="s">
        <v>6149</v>
      </c>
      <c r="HSC1" s="15" t="s">
        <v>6150</v>
      </c>
      <c r="HSD1" s="15" t="s">
        <v>6151</v>
      </c>
      <c r="HSE1" s="15" t="s">
        <v>6152</v>
      </c>
      <c r="HSF1" s="15" t="s">
        <v>6153</v>
      </c>
      <c r="HSG1" s="15" t="s">
        <v>6154</v>
      </c>
      <c r="HSH1" s="15" t="s">
        <v>6155</v>
      </c>
      <c r="HSI1" s="15" t="s">
        <v>6156</v>
      </c>
      <c r="HSJ1" s="15" t="s">
        <v>6157</v>
      </c>
      <c r="HSK1" s="15" t="s">
        <v>6158</v>
      </c>
      <c r="HSL1" s="15" t="s">
        <v>6159</v>
      </c>
      <c r="HSM1" s="15" t="s">
        <v>6160</v>
      </c>
      <c r="HSN1" s="15" t="s">
        <v>6161</v>
      </c>
      <c r="HSO1" s="15" t="s">
        <v>6162</v>
      </c>
      <c r="HSP1" s="15" t="s">
        <v>6163</v>
      </c>
      <c r="HSQ1" s="15" t="s">
        <v>6164</v>
      </c>
      <c r="HSR1" s="15" t="s">
        <v>6165</v>
      </c>
      <c r="HSS1" s="15" t="s">
        <v>6166</v>
      </c>
      <c r="HST1" s="15" t="s">
        <v>6167</v>
      </c>
      <c r="HSU1" s="15" t="s">
        <v>6168</v>
      </c>
      <c r="HSV1" s="15" t="s">
        <v>6169</v>
      </c>
      <c r="HSW1" s="15" t="s">
        <v>6170</v>
      </c>
      <c r="HSX1" s="15" t="s">
        <v>6171</v>
      </c>
      <c r="HSY1" s="15" t="s">
        <v>6172</v>
      </c>
      <c r="HSZ1" s="15" t="s">
        <v>6173</v>
      </c>
      <c r="HTA1" s="15" t="s">
        <v>6174</v>
      </c>
      <c r="HTB1" s="15" t="s">
        <v>6175</v>
      </c>
      <c r="HTC1" s="15" t="s">
        <v>6176</v>
      </c>
      <c r="HTD1" s="15" t="s">
        <v>6177</v>
      </c>
      <c r="HTE1" s="15" t="s">
        <v>6178</v>
      </c>
      <c r="HTF1" s="15" t="s">
        <v>6179</v>
      </c>
      <c r="HTG1" s="15" t="s">
        <v>6180</v>
      </c>
      <c r="HTH1" s="15" t="s">
        <v>6181</v>
      </c>
      <c r="HTI1" s="15" t="s">
        <v>6182</v>
      </c>
      <c r="HTJ1" s="15" t="s">
        <v>6183</v>
      </c>
      <c r="HTK1" s="15" t="s">
        <v>6184</v>
      </c>
      <c r="HTL1" s="15" t="s">
        <v>6185</v>
      </c>
      <c r="HTM1" s="15" t="s">
        <v>6186</v>
      </c>
      <c r="HTN1" s="15" t="s">
        <v>6187</v>
      </c>
      <c r="HTO1" s="15" t="s">
        <v>6188</v>
      </c>
      <c r="HTP1" s="15" t="s">
        <v>6189</v>
      </c>
      <c r="HTQ1" s="15" t="s">
        <v>6190</v>
      </c>
      <c r="HTR1" s="15" t="s">
        <v>6191</v>
      </c>
      <c r="HTS1" s="15" t="s">
        <v>6192</v>
      </c>
      <c r="HTT1" s="15" t="s">
        <v>6193</v>
      </c>
      <c r="HTU1" s="15" t="s">
        <v>6194</v>
      </c>
      <c r="HTV1" s="15" t="s">
        <v>6195</v>
      </c>
      <c r="HTW1" s="15" t="s">
        <v>6196</v>
      </c>
      <c r="HTX1" s="15" t="s">
        <v>6197</v>
      </c>
      <c r="HTY1" s="15" t="s">
        <v>6198</v>
      </c>
      <c r="HTZ1" s="15" t="s">
        <v>6199</v>
      </c>
      <c r="HUA1" s="15" t="s">
        <v>6200</v>
      </c>
      <c r="HUB1" s="15" t="s">
        <v>6201</v>
      </c>
      <c r="HUC1" s="15" t="s">
        <v>6202</v>
      </c>
      <c r="HUD1" s="15" t="s">
        <v>6203</v>
      </c>
      <c r="HUE1" s="15" t="s">
        <v>6204</v>
      </c>
      <c r="HUF1" s="15" t="s">
        <v>6205</v>
      </c>
      <c r="HUG1" s="15" t="s">
        <v>6206</v>
      </c>
      <c r="HUH1" s="15" t="s">
        <v>6207</v>
      </c>
      <c r="HUI1" s="15" t="s">
        <v>6208</v>
      </c>
      <c r="HUJ1" s="15" t="s">
        <v>6209</v>
      </c>
      <c r="HUK1" s="15" t="s">
        <v>6210</v>
      </c>
      <c r="HUL1" s="15" t="s">
        <v>6211</v>
      </c>
      <c r="HUM1" s="15" t="s">
        <v>6212</v>
      </c>
      <c r="HUN1" s="15" t="s">
        <v>6213</v>
      </c>
      <c r="HUO1" s="15" t="s">
        <v>6214</v>
      </c>
      <c r="HUP1" s="15" t="s">
        <v>6215</v>
      </c>
      <c r="HUQ1" s="15" t="s">
        <v>6216</v>
      </c>
      <c r="HUR1" s="15" t="s">
        <v>6217</v>
      </c>
      <c r="HUS1" s="15" t="s">
        <v>6218</v>
      </c>
      <c r="HUT1" s="15" t="s">
        <v>6219</v>
      </c>
      <c r="HUU1" s="15" t="s">
        <v>6220</v>
      </c>
      <c r="HUV1" s="15" t="s">
        <v>6221</v>
      </c>
      <c r="HUW1" s="15" t="s">
        <v>6222</v>
      </c>
      <c r="HUX1" s="15" t="s">
        <v>6223</v>
      </c>
      <c r="HUY1" s="15" t="s">
        <v>6224</v>
      </c>
      <c r="HUZ1" s="15" t="s">
        <v>6225</v>
      </c>
      <c r="HVA1" s="15" t="s">
        <v>6226</v>
      </c>
      <c r="HVB1" s="15" t="s">
        <v>6227</v>
      </c>
      <c r="HVC1" s="15" t="s">
        <v>6228</v>
      </c>
      <c r="HVD1" s="15" t="s">
        <v>6229</v>
      </c>
      <c r="HVE1" s="15" t="s">
        <v>6230</v>
      </c>
      <c r="HVF1" s="15" t="s">
        <v>6231</v>
      </c>
      <c r="HVG1" s="15" t="s">
        <v>6232</v>
      </c>
      <c r="HVH1" s="15" t="s">
        <v>6233</v>
      </c>
      <c r="HVI1" s="15" t="s">
        <v>6234</v>
      </c>
      <c r="HVJ1" s="15" t="s">
        <v>6235</v>
      </c>
      <c r="HVK1" s="15" t="s">
        <v>6236</v>
      </c>
      <c r="HVL1" s="15" t="s">
        <v>6237</v>
      </c>
      <c r="HVM1" s="15" t="s">
        <v>6238</v>
      </c>
      <c r="HVN1" s="15" t="s">
        <v>6239</v>
      </c>
      <c r="HVO1" s="15" t="s">
        <v>6240</v>
      </c>
      <c r="HVP1" s="15" t="s">
        <v>6241</v>
      </c>
      <c r="HVQ1" s="15" t="s">
        <v>6242</v>
      </c>
      <c r="HVR1" s="15" t="s">
        <v>6243</v>
      </c>
      <c r="HVS1" s="15" t="s">
        <v>6244</v>
      </c>
      <c r="HVT1" s="15" t="s">
        <v>6245</v>
      </c>
      <c r="HVU1" s="15" t="s">
        <v>6246</v>
      </c>
      <c r="HVV1" s="15" t="s">
        <v>6247</v>
      </c>
      <c r="HVW1" s="15" t="s">
        <v>6248</v>
      </c>
      <c r="HVX1" s="15" t="s">
        <v>6249</v>
      </c>
      <c r="HVY1" s="15" t="s">
        <v>6250</v>
      </c>
      <c r="HVZ1" s="15" t="s">
        <v>6251</v>
      </c>
      <c r="HWA1" s="15" t="s">
        <v>6252</v>
      </c>
      <c r="HWB1" s="15" t="s">
        <v>6253</v>
      </c>
      <c r="HWC1" s="15" t="s">
        <v>6254</v>
      </c>
      <c r="HWD1" s="15" t="s">
        <v>6255</v>
      </c>
      <c r="HWE1" s="15" t="s">
        <v>6256</v>
      </c>
      <c r="HWF1" s="15" t="s">
        <v>6257</v>
      </c>
      <c r="HWG1" s="15" t="s">
        <v>6258</v>
      </c>
      <c r="HWH1" s="15" t="s">
        <v>6259</v>
      </c>
      <c r="HWI1" s="15" t="s">
        <v>6260</v>
      </c>
      <c r="HWJ1" s="15" t="s">
        <v>6261</v>
      </c>
      <c r="HWK1" s="15" t="s">
        <v>6262</v>
      </c>
      <c r="HWL1" s="15" t="s">
        <v>6263</v>
      </c>
      <c r="HWM1" s="15" t="s">
        <v>6264</v>
      </c>
      <c r="HWN1" s="15" t="s">
        <v>6265</v>
      </c>
      <c r="HWO1" s="15" t="s">
        <v>6266</v>
      </c>
      <c r="HWP1" s="15" t="s">
        <v>6267</v>
      </c>
      <c r="HWQ1" s="15" t="s">
        <v>6268</v>
      </c>
      <c r="HWR1" s="15" t="s">
        <v>6269</v>
      </c>
      <c r="HWS1" s="15" t="s">
        <v>6270</v>
      </c>
      <c r="HWT1" s="15" t="s">
        <v>6271</v>
      </c>
      <c r="HWU1" s="15" t="s">
        <v>6272</v>
      </c>
      <c r="HWV1" s="15" t="s">
        <v>6273</v>
      </c>
      <c r="HWW1" s="15" t="s">
        <v>6274</v>
      </c>
      <c r="HWX1" s="15" t="s">
        <v>6275</v>
      </c>
      <c r="HWY1" s="15" t="s">
        <v>6276</v>
      </c>
      <c r="HWZ1" s="15" t="s">
        <v>6277</v>
      </c>
      <c r="HXA1" s="15" t="s">
        <v>6278</v>
      </c>
      <c r="HXB1" s="15" t="s">
        <v>6279</v>
      </c>
      <c r="HXC1" s="15" t="s">
        <v>6280</v>
      </c>
      <c r="HXD1" s="15" t="s">
        <v>6281</v>
      </c>
      <c r="HXE1" s="15" t="s">
        <v>6282</v>
      </c>
      <c r="HXF1" s="15" t="s">
        <v>6283</v>
      </c>
      <c r="HXG1" s="15" t="s">
        <v>6284</v>
      </c>
      <c r="HXH1" s="15" t="s">
        <v>6285</v>
      </c>
      <c r="HXI1" s="15" t="s">
        <v>6286</v>
      </c>
      <c r="HXJ1" s="15" t="s">
        <v>6287</v>
      </c>
      <c r="HXK1" s="15" t="s">
        <v>6288</v>
      </c>
      <c r="HXL1" s="15" t="s">
        <v>6289</v>
      </c>
      <c r="HXM1" s="15" t="s">
        <v>6290</v>
      </c>
      <c r="HXN1" s="15" t="s">
        <v>6291</v>
      </c>
      <c r="HXO1" s="15" t="s">
        <v>6292</v>
      </c>
      <c r="HXP1" s="15" t="s">
        <v>6293</v>
      </c>
      <c r="HXQ1" s="15" t="s">
        <v>6294</v>
      </c>
      <c r="HXR1" s="15" t="s">
        <v>6295</v>
      </c>
      <c r="HXS1" s="15" t="s">
        <v>6296</v>
      </c>
      <c r="HXT1" s="15" t="s">
        <v>6297</v>
      </c>
      <c r="HXU1" s="15" t="s">
        <v>6298</v>
      </c>
      <c r="HXV1" s="15" t="s">
        <v>6299</v>
      </c>
      <c r="HXW1" s="15" t="s">
        <v>6300</v>
      </c>
      <c r="HXX1" s="15" t="s">
        <v>6301</v>
      </c>
      <c r="HXY1" s="15" t="s">
        <v>6302</v>
      </c>
      <c r="HXZ1" s="15" t="s">
        <v>6303</v>
      </c>
      <c r="HYA1" s="15" t="s">
        <v>6304</v>
      </c>
      <c r="HYB1" s="15" t="s">
        <v>6305</v>
      </c>
      <c r="HYC1" s="15" t="s">
        <v>6306</v>
      </c>
      <c r="HYD1" s="15" t="s">
        <v>6307</v>
      </c>
      <c r="HYE1" s="15" t="s">
        <v>6308</v>
      </c>
      <c r="HYF1" s="15" t="s">
        <v>6309</v>
      </c>
      <c r="HYG1" s="15" t="s">
        <v>6310</v>
      </c>
      <c r="HYH1" s="15" t="s">
        <v>6311</v>
      </c>
      <c r="HYI1" s="15" t="s">
        <v>6312</v>
      </c>
      <c r="HYJ1" s="15" t="s">
        <v>6313</v>
      </c>
      <c r="HYK1" s="15" t="s">
        <v>6314</v>
      </c>
      <c r="HYL1" s="15" t="s">
        <v>6315</v>
      </c>
      <c r="HYM1" s="15" t="s">
        <v>6316</v>
      </c>
      <c r="HYN1" s="15" t="s">
        <v>6317</v>
      </c>
      <c r="HYO1" s="15" t="s">
        <v>6318</v>
      </c>
      <c r="HYP1" s="15" t="s">
        <v>6319</v>
      </c>
      <c r="HYQ1" s="15" t="s">
        <v>6320</v>
      </c>
      <c r="HYR1" s="15" t="s">
        <v>6321</v>
      </c>
      <c r="HYS1" s="15" t="s">
        <v>6322</v>
      </c>
      <c r="HYT1" s="15" t="s">
        <v>6323</v>
      </c>
      <c r="HYU1" s="15" t="s">
        <v>6324</v>
      </c>
      <c r="HYV1" s="15" t="s">
        <v>6325</v>
      </c>
      <c r="HYW1" s="15" t="s">
        <v>6326</v>
      </c>
      <c r="HYX1" s="15" t="s">
        <v>6327</v>
      </c>
      <c r="HYY1" s="15" t="s">
        <v>6328</v>
      </c>
      <c r="HYZ1" s="15" t="s">
        <v>6329</v>
      </c>
      <c r="HZA1" s="15" t="s">
        <v>6330</v>
      </c>
      <c r="HZB1" s="15" t="s">
        <v>6331</v>
      </c>
      <c r="HZC1" s="15" t="s">
        <v>6332</v>
      </c>
      <c r="HZD1" s="15" t="s">
        <v>6333</v>
      </c>
      <c r="HZE1" s="15" t="s">
        <v>6334</v>
      </c>
      <c r="HZF1" s="15" t="s">
        <v>6335</v>
      </c>
      <c r="HZG1" s="15" t="s">
        <v>6336</v>
      </c>
      <c r="HZH1" s="15" t="s">
        <v>6337</v>
      </c>
      <c r="HZI1" s="15" t="s">
        <v>6338</v>
      </c>
      <c r="HZJ1" s="15" t="s">
        <v>6339</v>
      </c>
      <c r="HZK1" s="15" t="s">
        <v>6340</v>
      </c>
      <c r="HZL1" s="15" t="s">
        <v>6341</v>
      </c>
      <c r="HZM1" s="15" t="s">
        <v>6342</v>
      </c>
      <c r="HZN1" s="15" t="s">
        <v>6343</v>
      </c>
      <c r="HZO1" s="15" t="s">
        <v>6344</v>
      </c>
      <c r="HZP1" s="15" t="s">
        <v>6345</v>
      </c>
      <c r="HZQ1" s="15" t="s">
        <v>6346</v>
      </c>
      <c r="HZR1" s="15" t="s">
        <v>6347</v>
      </c>
      <c r="HZS1" s="15" t="s">
        <v>6348</v>
      </c>
      <c r="HZT1" s="15" t="s">
        <v>6349</v>
      </c>
      <c r="HZU1" s="15" t="s">
        <v>6350</v>
      </c>
      <c r="HZV1" s="15" t="s">
        <v>6351</v>
      </c>
      <c r="HZW1" s="15" t="s">
        <v>6352</v>
      </c>
      <c r="HZX1" s="15" t="s">
        <v>6353</v>
      </c>
      <c r="HZY1" s="15" t="s">
        <v>6354</v>
      </c>
      <c r="HZZ1" s="15" t="s">
        <v>6355</v>
      </c>
      <c r="IAA1" s="15" t="s">
        <v>6356</v>
      </c>
      <c r="IAB1" s="15" t="s">
        <v>6357</v>
      </c>
      <c r="IAC1" s="15" t="s">
        <v>6358</v>
      </c>
      <c r="IAD1" s="15" t="s">
        <v>6359</v>
      </c>
      <c r="IAE1" s="15" t="s">
        <v>6360</v>
      </c>
      <c r="IAF1" s="15" t="s">
        <v>6361</v>
      </c>
      <c r="IAG1" s="15" t="s">
        <v>6362</v>
      </c>
      <c r="IAH1" s="15" t="s">
        <v>6363</v>
      </c>
      <c r="IAI1" s="15" t="s">
        <v>6364</v>
      </c>
      <c r="IAJ1" s="15" t="s">
        <v>6365</v>
      </c>
      <c r="IAK1" s="15" t="s">
        <v>6366</v>
      </c>
      <c r="IAL1" s="15" t="s">
        <v>6367</v>
      </c>
      <c r="IAM1" s="15" t="s">
        <v>6368</v>
      </c>
      <c r="IAN1" s="15" t="s">
        <v>6369</v>
      </c>
      <c r="IAO1" s="15" t="s">
        <v>6370</v>
      </c>
      <c r="IAP1" s="15" t="s">
        <v>6371</v>
      </c>
      <c r="IAQ1" s="15" t="s">
        <v>6372</v>
      </c>
      <c r="IAR1" s="15" t="s">
        <v>6373</v>
      </c>
      <c r="IAS1" s="15" t="s">
        <v>6374</v>
      </c>
      <c r="IAT1" s="15" t="s">
        <v>6375</v>
      </c>
      <c r="IAU1" s="15" t="s">
        <v>6376</v>
      </c>
      <c r="IAV1" s="15" t="s">
        <v>6377</v>
      </c>
      <c r="IAW1" s="15" t="s">
        <v>6378</v>
      </c>
      <c r="IAX1" s="15" t="s">
        <v>6379</v>
      </c>
      <c r="IAY1" s="15" t="s">
        <v>6380</v>
      </c>
      <c r="IAZ1" s="15" t="s">
        <v>6381</v>
      </c>
      <c r="IBA1" s="15" t="s">
        <v>6382</v>
      </c>
      <c r="IBB1" s="15" t="s">
        <v>6383</v>
      </c>
      <c r="IBC1" s="15" t="s">
        <v>6384</v>
      </c>
      <c r="IBD1" s="15" t="s">
        <v>6385</v>
      </c>
      <c r="IBE1" s="15" t="s">
        <v>6386</v>
      </c>
      <c r="IBF1" s="15" t="s">
        <v>6387</v>
      </c>
      <c r="IBG1" s="15" t="s">
        <v>6388</v>
      </c>
      <c r="IBH1" s="15" t="s">
        <v>6389</v>
      </c>
      <c r="IBI1" s="15" t="s">
        <v>6390</v>
      </c>
      <c r="IBJ1" s="15" t="s">
        <v>6391</v>
      </c>
      <c r="IBK1" s="15" t="s">
        <v>6392</v>
      </c>
      <c r="IBL1" s="15" t="s">
        <v>6393</v>
      </c>
      <c r="IBM1" s="15" t="s">
        <v>6394</v>
      </c>
      <c r="IBN1" s="15" t="s">
        <v>6395</v>
      </c>
      <c r="IBO1" s="15" t="s">
        <v>6396</v>
      </c>
      <c r="IBP1" s="15" t="s">
        <v>6397</v>
      </c>
      <c r="IBQ1" s="15" t="s">
        <v>6398</v>
      </c>
      <c r="IBR1" s="15" t="s">
        <v>6399</v>
      </c>
      <c r="IBS1" s="15" t="s">
        <v>6400</v>
      </c>
      <c r="IBT1" s="15" t="s">
        <v>6401</v>
      </c>
      <c r="IBU1" s="15" t="s">
        <v>6402</v>
      </c>
      <c r="IBV1" s="15" t="s">
        <v>6403</v>
      </c>
      <c r="IBW1" s="15" t="s">
        <v>6404</v>
      </c>
      <c r="IBX1" s="15" t="s">
        <v>6405</v>
      </c>
      <c r="IBY1" s="15" t="s">
        <v>6406</v>
      </c>
      <c r="IBZ1" s="15" t="s">
        <v>6407</v>
      </c>
      <c r="ICA1" s="15" t="s">
        <v>6408</v>
      </c>
      <c r="ICB1" s="15" t="s">
        <v>6409</v>
      </c>
      <c r="ICC1" s="15" t="s">
        <v>6410</v>
      </c>
      <c r="ICD1" s="15" t="s">
        <v>6411</v>
      </c>
      <c r="ICE1" s="15" t="s">
        <v>6412</v>
      </c>
      <c r="ICF1" s="15" t="s">
        <v>6413</v>
      </c>
      <c r="ICG1" s="15" t="s">
        <v>6414</v>
      </c>
      <c r="ICH1" s="15" t="s">
        <v>6415</v>
      </c>
      <c r="ICI1" s="15" t="s">
        <v>6416</v>
      </c>
      <c r="ICJ1" s="15" t="s">
        <v>6417</v>
      </c>
      <c r="ICK1" s="15" t="s">
        <v>6418</v>
      </c>
      <c r="ICL1" s="15" t="s">
        <v>6419</v>
      </c>
      <c r="ICM1" s="15" t="s">
        <v>6420</v>
      </c>
      <c r="ICN1" s="15" t="s">
        <v>6421</v>
      </c>
      <c r="ICO1" s="15" t="s">
        <v>6422</v>
      </c>
      <c r="ICP1" s="15" t="s">
        <v>6423</v>
      </c>
      <c r="ICQ1" s="15" t="s">
        <v>6424</v>
      </c>
      <c r="ICR1" s="15" t="s">
        <v>6425</v>
      </c>
      <c r="ICS1" s="15" t="s">
        <v>6426</v>
      </c>
      <c r="ICT1" s="15" t="s">
        <v>6427</v>
      </c>
      <c r="ICU1" s="15" t="s">
        <v>6428</v>
      </c>
      <c r="ICV1" s="15" t="s">
        <v>6429</v>
      </c>
      <c r="ICW1" s="15" t="s">
        <v>6430</v>
      </c>
      <c r="ICX1" s="15" t="s">
        <v>6431</v>
      </c>
      <c r="ICY1" s="15" t="s">
        <v>6432</v>
      </c>
      <c r="ICZ1" s="15" t="s">
        <v>6433</v>
      </c>
      <c r="IDA1" s="15" t="s">
        <v>6434</v>
      </c>
      <c r="IDB1" s="15" t="s">
        <v>6435</v>
      </c>
      <c r="IDC1" s="15" t="s">
        <v>6436</v>
      </c>
      <c r="IDD1" s="15" t="s">
        <v>6437</v>
      </c>
      <c r="IDE1" s="15" t="s">
        <v>6438</v>
      </c>
      <c r="IDF1" s="15" t="s">
        <v>6439</v>
      </c>
      <c r="IDG1" s="15" t="s">
        <v>6440</v>
      </c>
      <c r="IDH1" s="15" t="s">
        <v>6441</v>
      </c>
      <c r="IDI1" s="15" t="s">
        <v>6442</v>
      </c>
      <c r="IDJ1" s="15" t="s">
        <v>6443</v>
      </c>
      <c r="IDK1" s="15" t="s">
        <v>6444</v>
      </c>
      <c r="IDL1" s="15" t="s">
        <v>6445</v>
      </c>
      <c r="IDM1" s="15" t="s">
        <v>6446</v>
      </c>
      <c r="IDN1" s="15" t="s">
        <v>6447</v>
      </c>
      <c r="IDO1" s="15" t="s">
        <v>6448</v>
      </c>
      <c r="IDP1" s="15" t="s">
        <v>6449</v>
      </c>
      <c r="IDQ1" s="15" t="s">
        <v>6450</v>
      </c>
      <c r="IDR1" s="15" t="s">
        <v>6451</v>
      </c>
      <c r="IDS1" s="15" t="s">
        <v>6452</v>
      </c>
      <c r="IDT1" s="15" t="s">
        <v>6453</v>
      </c>
      <c r="IDU1" s="15" t="s">
        <v>6454</v>
      </c>
      <c r="IDV1" s="15" t="s">
        <v>6455</v>
      </c>
      <c r="IDW1" s="15" t="s">
        <v>6456</v>
      </c>
      <c r="IDX1" s="15" t="s">
        <v>6457</v>
      </c>
      <c r="IDY1" s="15" t="s">
        <v>6458</v>
      </c>
      <c r="IDZ1" s="15" t="s">
        <v>6459</v>
      </c>
      <c r="IEA1" s="15" t="s">
        <v>6460</v>
      </c>
      <c r="IEB1" s="15" t="s">
        <v>6461</v>
      </c>
      <c r="IEC1" s="15" t="s">
        <v>6462</v>
      </c>
      <c r="IED1" s="15" t="s">
        <v>6463</v>
      </c>
      <c r="IEE1" s="15" t="s">
        <v>6464</v>
      </c>
      <c r="IEF1" s="15" t="s">
        <v>6465</v>
      </c>
      <c r="IEG1" s="15" t="s">
        <v>6466</v>
      </c>
      <c r="IEH1" s="15" t="s">
        <v>6467</v>
      </c>
      <c r="IEI1" s="15" t="s">
        <v>6468</v>
      </c>
      <c r="IEJ1" s="15" t="s">
        <v>6469</v>
      </c>
      <c r="IEK1" s="15" t="s">
        <v>6470</v>
      </c>
      <c r="IEL1" s="15" t="s">
        <v>6471</v>
      </c>
      <c r="IEM1" s="15" t="s">
        <v>6472</v>
      </c>
      <c r="IEN1" s="15" t="s">
        <v>6473</v>
      </c>
      <c r="IEO1" s="15" t="s">
        <v>6474</v>
      </c>
      <c r="IEP1" s="15" t="s">
        <v>6475</v>
      </c>
      <c r="IEQ1" s="15" t="s">
        <v>6476</v>
      </c>
      <c r="IER1" s="15" t="s">
        <v>6477</v>
      </c>
      <c r="IES1" s="15" t="s">
        <v>6478</v>
      </c>
      <c r="IET1" s="15" t="s">
        <v>6479</v>
      </c>
      <c r="IEU1" s="15" t="s">
        <v>6480</v>
      </c>
      <c r="IEV1" s="15" t="s">
        <v>6481</v>
      </c>
      <c r="IEW1" s="15" t="s">
        <v>6482</v>
      </c>
      <c r="IEX1" s="15" t="s">
        <v>6483</v>
      </c>
      <c r="IEY1" s="15" t="s">
        <v>6484</v>
      </c>
      <c r="IEZ1" s="15" t="s">
        <v>6485</v>
      </c>
      <c r="IFA1" s="15" t="s">
        <v>6486</v>
      </c>
      <c r="IFB1" s="15" t="s">
        <v>6487</v>
      </c>
      <c r="IFC1" s="15" t="s">
        <v>6488</v>
      </c>
      <c r="IFD1" s="15" t="s">
        <v>6489</v>
      </c>
      <c r="IFE1" s="15" t="s">
        <v>6490</v>
      </c>
      <c r="IFF1" s="15" t="s">
        <v>6491</v>
      </c>
      <c r="IFG1" s="15" t="s">
        <v>6492</v>
      </c>
      <c r="IFH1" s="15" t="s">
        <v>6493</v>
      </c>
      <c r="IFI1" s="15" t="s">
        <v>6494</v>
      </c>
      <c r="IFJ1" s="15" t="s">
        <v>6495</v>
      </c>
      <c r="IFK1" s="15" t="s">
        <v>6496</v>
      </c>
      <c r="IFL1" s="15" t="s">
        <v>6497</v>
      </c>
      <c r="IFM1" s="15" t="s">
        <v>6498</v>
      </c>
      <c r="IFN1" s="15" t="s">
        <v>6499</v>
      </c>
      <c r="IFO1" s="15" t="s">
        <v>6500</v>
      </c>
      <c r="IFP1" s="15" t="s">
        <v>6501</v>
      </c>
      <c r="IFQ1" s="15" t="s">
        <v>6502</v>
      </c>
      <c r="IFR1" s="15" t="s">
        <v>6503</v>
      </c>
      <c r="IFS1" s="15" t="s">
        <v>6504</v>
      </c>
      <c r="IFT1" s="15" t="s">
        <v>6505</v>
      </c>
      <c r="IFU1" s="15" t="s">
        <v>6506</v>
      </c>
      <c r="IFV1" s="15" t="s">
        <v>6507</v>
      </c>
      <c r="IFW1" s="15" t="s">
        <v>6508</v>
      </c>
      <c r="IFX1" s="15" t="s">
        <v>6509</v>
      </c>
      <c r="IFY1" s="15" t="s">
        <v>6510</v>
      </c>
      <c r="IFZ1" s="15" t="s">
        <v>6511</v>
      </c>
      <c r="IGA1" s="15" t="s">
        <v>6512</v>
      </c>
      <c r="IGB1" s="15" t="s">
        <v>6513</v>
      </c>
      <c r="IGC1" s="15" t="s">
        <v>6514</v>
      </c>
      <c r="IGD1" s="15" t="s">
        <v>6515</v>
      </c>
      <c r="IGE1" s="15" t="s">
        <v>6516</v>
      </c>
      <c r="IGF1" s="15" t="s">
        <v>6517</v>
      </c>
      <c r="IGG1" s="15" t="s">
        <v>6518</v>
      </c>
      <c r="IGH1" s="15" t="s">
        <v>6519</v>
      </c>
      <c r="IGI1" s="15" t="s">
        <v>6520</v>
      </c>
      <c r="IGJ1" s="15" t="s">
        <v>6521</v>
      </c>
      <c r="IGK1" s="15" t="s">
        <v>6522</v>
      </c>
      <c r="IGL1" s="15" t="s">
        <v>6523</v>
      </c>
      <c r="IGM1" s="15" t="s">
        <v>6524</v>
      </c>
      <c r="IGN1" s="15" t="s">
        <v>6525</v>
      </c>
      <c r="IGO1" s="15" t="s">
        <v>6526</v>
      </c>
      <c r="IGP1" s="15" t="s">
        <v>6527</v>
      </c>
      <c r="IGQ1" s="15" t="s">
        <v>6528</v>
      </c>
      <c r="IGR1" s="15" t="s">
        <v>6529</v>
      </c>
      <c r="IGS1" s="15" t="s">
        <v>6530</v>
      </c>
      <c r="IGT1" s="15" t="s">
        <v>6531</v>
      </c>
      <c r="IGU1" s="15" t="s">
        <v>6532</v>
      </c>
      <c r="IGV1" s="15" t="s">
        <v>6533</v>
      </c>
      <c r="IGW1" s="15" t="s">
        <v>6534</v>
      </c>
      <c r="IGX1" s="15" t="s">
        <v>6535</v>
      </c>
      <c r="IGY1" s="15" t="s">
        <v>6536</v>
      </c>
      <c r="IGZ1" s="15" t="s">
        <v>6537</v>
      </c>
      <c r="IHA1" s="15" t="s">
        <v>6538</v>
      </c>
      <c r="IHB1" s="15" t="s">
        <v>6539</v>
      </c>
      <c r="IHC1" s="15" t="s">
        <v>6540</v>
      </c>
      <c r="IHD1" s="15" t="s">
        <v>6541</v>
      </c>
      <c r="IHE1" s="15" t="s">
        <v>6542</v>
      </c>
      <c r="IHF1" s="15" t="s">
        <v>6543</v>
      </c>
      <c r="IHG1" s="15" t="s">
        <v>6544</v>
      </c>
      <c r="IHH1" s="15" t="s">
        <v>6545</v>
      </c>
      <c r="IHI1" s="15" t="s">
        <v>6546</v>
      </c>
      <c r="IHJ1" s="15" t="s">
        <v>6547</v>
      </c>
      <c r="IHK1" s="15" t="s">
        <v>6548</v>
      </c>
      <c r="IHL1" s="15" t="s">
        <v>6549</v>
      </c>
      <c r="IHM1" s="15" t="s">
        <v>6550</v>
      </c>
      <c r="IHN1" s="15" t="s">
        <v>6551</v>
      </c>
      <c r="IHO1" s="15" t="s">
        <v>6552</v>
      </c>
      <c r="IHP1" s="15" t="s">
        <v>6553</v>
      </c>
      <c r="IHQ1" s="15" t="s">
        <v>6554</v>
      </c>
      <c r="IHR1" s="15" t="s">
        <v>6555</v>
      </c>
      <c r="IHS1" s="15" t="s">
        <v>6556</v>
      </c>
      <c r="IHT1" s="15" t="s">
        <v>6557</v>
      </c>
      <c r="IHU1" s="15" t="s">
        <v>6558</v>
      </c>
      <c r="IHV1" s="15" t="s">
        <v>6559</v>
      </c>
      <c r="IHW1" s="15" t="s">
        <v>6560</v>
      </c>
      <c r="IHX1" s="15" t="s">
        <v>6561</v>
      </c>
      <c r="IHY1" s="15" t="s">
        <v>6562</v>
      </c>
      <c r="IHZ1" s="15" t="s">
        <v>6563</v>
      </c>
      <c r="IIA1" s="15" t="s">
        <v>6564</v>
      </c>
      <c r="IIB1" s="15" t="s">
        <v>6565</v>
      </c>
      <c r="IIC1" s="15" t="s">
        <v>6566</v>
      </c>
      <c r="IID1" s="15" t="s">
        <v>6567</v>
      </c>
      <c r="IIE1" s="15" t="s">
        <v>6568</v>
      </c>
      <c r="IIF1" s="15" t="s">
        <v>6569</v>
      </c>
      <c r="IIG1" s="15" t="s">
        <v>6570</v>
      </c>
      <c r="IIH1" s="15" t="s">
        <v>6571</v>
      </c>
      <c r="III1" s="15" t="s">
        <v>6572</v>
      </c>
      <c r="IIJ1" s="15" t="s">
        <v>6573</v>
      </c>
      <c r="IIK1" s="15" t="s">
        <v>6574</v>
      </c>
      <c r="IIL1" s="15" t="s">
        <v>6575</v>
      </c>
      <c r="IIM1" s="15" t="s">
        <v>6576</v>
      </c>
      <c r="IIN1" s="15" t="s">
        <v>6577</v>
      </c>
      <c r="IIO1" s="15" t="s">
        <v>6578</v>
      </c>
      <c r="IIP1" s="15" t="s">
        <v>6579</v>
      </c>
      <c r="IIQ1" s="15" t="s">
        <v>6580</v>
      </c>
      <c r="IIR1" s="15" t="s">
        <v>6581</v>
      </c>
      <c r="IIS1" s="15" t="s">
        <v>6582</v>
      </c>
      <c r="IIT1" s="15" t="s">
        <v>6583</v>
      </c>
      <c r="IIU1" s="15" t="s">
        <v>6584</v>
      </c>
      <c r="IIV1" s="15" t="s">
        <v>6585</v>
      </c>
      <c r="IIW1" s="15" t="s">
        <v>6586</v>
      </c>
      <c r="IIX1" s="15" t="s">
        <v>6587</v>
      </c>
      <c r="IIY1" s="15" t="s">
        <v>6588</v>
      </c>
      <c r="IIZ1" s="15" t="s">
        <v>6589</v>
      </c>
      <c r="IJA1" s="15" t="s">
        <v>6590</v>
      </c>
      <c r="IJB1" s="15" t="s">
        <v>6591</v>
      </c>
      <c r="IJC1" s="15" t="s">
        <v>6592</v>
      </c>
      <c r="IJD1" s="15" t="s">
        <v>6593</v>
      </c>
      <c r="IJE1" s="15" t="s">
        <v>6594</v>
      </c>
      <c r="IJF1" s="15" t="s">
        <v>6595</v>
      </c>
      <c r="IJG1" s="15" t="s">
        <v>6596</v>
      </c>
      <c r="IJH1" s="15" t="s">
        <v>6597</v>
      </c>
      <c r="IJI1" s="15" t="s">
        <v>6598</v>
      </c>
      <c r="IJJ1" s="15" t="s">
        <v>6599</v>
      </c>
      <c r="IJK1" s="15" t="s">
        <v>6600</v>
      </c>
      <c r="IJL1" s="15" t="s">
        <v>6601</v>
      </c>
      <c r="IJM1" s="15" t="s">
        <v>6602</v>
      </c>
      <c r="IJN1" s="15" t="s">
        <v>6603</v>
      </c>
      <c r="IJO1" s="15" t="s">
        <v>6604</v>
      </c>
      <c r="IJP1" s="15" t="s">
        <v>6605</v>
      </c>
      <c r="IJQ1" s="15" t="s">
        <v>6606</v>
      </c>
      <c r="IJR1" s="15" t="s">
        <v>6607</v>
      </c>
      <c r="IJS1" s="15" t="s">
        <v>6608</v>
      </c>
      <c r="IJT1" s="15" t="s">
        <v>6609</v>
      </c>
      <c r="IJU1" s="15" t="s">
        <v>6610</v>
      </c>
      <c r="IJV1" s="15" t="s">
        <v>6611</v>
      </c>
      <c r="IJW1" s="15" t="s">
        <v>6612</v>
      </c>
      <c r="IJX1" s="15" t="s">
        <v>6613</v>
      </c>
      <c r="IJY1" s="15" t="s">
        <v>6614</v>
      </c>
      <c r="IJZ1" s="15" t="s">
        <v>6615</v>
      </c>
      <c r="IKA1" s="15" t="s">
        <v>6616</v>
      </c>
      <c r="IKB1" s="15" t="s">
        <v>6617</v>
      </c>
      <c r="IKC1" s="15" t="s">
        <v>6618</v>
      </c>
      <c r="IKD1" s="15" t="s">
        <v>6619</v>
      </c>
      <c r="IKE1" s="15" t="s">
        <v>6620</v>
      </c>
      <c r="IKF1" s="15" t="s">
        <v>6621</v>
      </c>
      <c r="IKG1" s="15" t="s">
        <v>6622</v>
      </c>
      <c r="IKH1" s="15" t="s">
        <v>6623</v>
      </c>
      <c r="IKI1" s="15" t="s">
        <v>6624</v>
      </c>
      <c r="IKJ1" s="15" t="s">
        <v>6625</v>
      </c>
      <c r="IKK1" s="15" t="s">
        <v>6626</v>
      </c>
      <c r="IKL1" s="15" t="s">
        <v>6627</v>
      </c>
      <c r="IKM1" s="15" t="s">
        <v>6628</v>
      </c>
      <c r="IKN1" s="15" t="s">
        <v>6629</v>
      </c>
      <c r="IKO1" s="15" t="s">
        <v>6630</v>
      </c>
      <c r="IKP1" s="15" t="s">
        <v>6631</v>
      </c>
      <c r="IKQ1" s="15" t="s">
        <v>6632</v>
      </c>
      <c r="IKR1" s="15" t="s">
        <v>6633</v>
      </c>
      <c r="IKS1" s="15" t="s">
        <v>6634</v>
      </c>
      <c r="IKT1" s="15" t="s">
        <v>6635</v>
      </c>
      <c r="IKU1" s="15" t="s">
        <v>6636</v>
      </c>
      <c r="IKV1" s="15" t="s">
        <v>6637</v>
      </c>
      <c r="IKW1" s="15" t="s">
        <v>6638</v>
      </c>
      <c r="IKX1" s="15" t="s">
        <v>6639</v>
      </c>
      <c r="IKY1" s="15" t="s">
        <v>6640</v>
      </c>
      <c r="IKZ1" s="15" t="s">
        <v>6641</v>
      </c>
      <c r="ILA1" s="15" t="s">
        <v>6642</v>
      </c>
      <c r="ILB1" s="15" t="s">
        <v>6643</v>
      </c>
      <c r="ILC1" s="15" t="s">
        <v>6644</v>
      </c>
      <c r="ILD1" s="15" t="s">
        <v>6645</v>
      </c>
      <c r="ILE1" s="15" t="s">
        <v>6646</v>
      </c>
      <c r="ILF1" s="15" t="s">
        <v>6647</v>
      </c>
      <c r="ILG1" s="15" t="s">
        <v>6648</v>
      </c>
      <c r="ILH1" s="15" t="s">
        <v>6649</v>
      </c>
      <c r="ILI1" s="15" t="s">
        <v>6650</v>
      </c>
      <c r="ILJ1" s="15" t="s">
        <v>6651</v>
      </c>
      <c r="ILK1" s="15" t="s">
        <v>6652</v>
      </c>
      <c r="ILL1" s="15" t="s">
        <v>6653</v>
      </c>
      <c r="ILM1" s="15" t="s">
        <v>6654</v>
      </c>
      <c r="ILN1" s="15" t="s">
        <v>6655</v>
      </c>
      <c r="ILO1" s="15" t="s">
        <v>6656</v>
      </c>
      <c r="ILP1" s="15" t="s">
        <v>6657</v>
      </c>
      <c r="ILQ1" s="15" t="s">
        <v>6658</v>
      </c>
      <c r="ILR1" s="15" t="s">
        <v>6659</v>
      </c>
      <c r="ILS1" s="15" t="s">
        <v>6660</v>
      </c>
      <c r="ILT1" s="15" t="s">
        <v>6661</v>
      </c>
      <c r="ILU1" s="15" t="s">
        <v>6662</v>
      </c>
      <c r="ILV1" s="15" t="s">
        <v>6663</v>
      </c>
      <c r="ILW1" s="15" t="s">
        <v>6664</v>
      </c>
      <c r="ILX1" s="15" t="s">
        <v>6665</v>
      </c>
      <c r="ILY1" s="15" t="s">
        <v>6666</v>
      </c>
      <c r="ILZ1" s="15" t="s">
        <v>6667</v>
      </c>
      <c r="IMA1" s="15" t="s">
        <v>6668</v>
      </c>
      <c r="IMB1" s="15" t="s">
        <v>6669</v>
      </c>
      <c r="IMC1" s="15" t="s">
        <v>6670</v>
      </c>
      <c r="IMD1" s="15" t="s">
        <v>6671</v>
      </c>
      <c r="IME1" s="15" t="s">
        <v>6672</v>
      </c>
      <c r="IMF1" s="15" t="s">
        <v>6673</v>
      </c>
      <c r="IMG1" s="15" t="s">
        <v>6674</v>
      </c>
      <c r="IMH1" s="15" t="s">
        <v>6675</v>
      </c>
      <c r="IMI1" s="15" t="s">
        <v>6676</v>
      </c>
      <c r="IMJ1" s="15" t="s">
        <v>6677</v>
      </c>
      <c r="IMK1" s="15" t="s">
        <v>6678</v>
      </c>
      <c r="IML1" s="15" t="s">
        <v>6679</v>
      </c>
      <c r="IMM1" s="15" t="s">
        <v>6680</v>
      </c>
      <c r="IMN1" s="15" t="s">
        <v>6681</v>
      </c>
      <c r="IMO1" s="15" t="s">
        <v>6682</v>
      </c>
      <c r="IMP1" s="15" t="s">
        <v>6683</v>
      </c>
      <c r="IMQ1" s="15" t="s">
        <v>6684</v>
      </c>
      <c r="IMR1" s="15" t="s">
        <v>6685</v>
      </c>
      <c r="IMS1" s="15" t="s">
        <v>6686</v>
      </c>
      <c r="IMT1" s="15" t="s">
        <v>6687</v>
      </c>
      <c r="IMU1" s="15" t="s">
        <v>6688</v>
      </c>
      <c r="IMV1" s="15" t="s">
        <v>6689</v>
      </c>
      <c r="IMW1" s="15" t="s">
        <v>6690</v>
      </c>
      <c r="IMX1" s="15" t="s">
        <v>6691</v>
      </c>
      <c r="IMY1" s="15" t="s">
        <v>6692</v>
      </c>
      <c r="IMZ1" s="15" t="s">
        <v>6693</v>
      </c>
      <c r="INA1" s="15" t="s">
        <v>6694</v>
      </c>
      <c r="INB1" s="15" t="s">
        <v>6695</v>
      </c>
      <c r="INC1" s="15" t="s">
        <v>6696</v>
      </c>
      <c r="IND1" s="15" t="s">
        <v>6697</v>
      </c>
      <c r="INE1" s="15" t="s">
        <v>6698</v>
      </c>
      <c r="INF1" s="15" t="s">
        <v>6699</v>
      </c>
      <c r="ING1" s="15" t="s">
        <v>6700</v>
      </c>
      <c r="INH1" s="15" t="s">
        <v>6701</v>
      </c>
      <c r="INI1" s="15" t="s">
        <v>6702</v>
      </c>
      <c r="INJ1" s="15" t="s">
        <v>6703</v>
      </c>
      <c r="INK1" s="15" t="s">
        <v>6704</v>
      </c>
      <c r="INL1" s="15" t="s">
        <v>6705</v>
      </c>
      <c r="INM1" s="15" t="s">
        <v>6706</v>
      </c>
      <c r="INN1" s="15" t="s">
        <v>6707</v>
      </c>
      <c r="INO1" s="15" t="s">
        <v>6708</v>
      </c>
      <c r="INP1" s="15" t="s">
        <v>6709</v>
      </c>
      <c r="INQ1" s="15" t="s">
        <v>6710</v>
      </c>
      <c r="INR1" s="15" t="s">
        <v>6711</v>
      </c>
      <c r="INS1" s="15" t="s">
        <v>6712</v>
      </c>
      <c r="INT1" s="15" t="s">
        <v>6713</v>
      </c>
      <c r="INU1" s="15" t="s">
        <v>6714</v>
      </c>
      <c r="INV1" s="15" t="s">
        <v>6715</v>
      </c>
      <c r="INW1" s="15" t="s">
        <v>6716</v>
      </c>
      <c r="INX1" s="15" t="s">
        <v>6717</v>
      </c>
      <c r="INY1" s="15" t="s">
        <v>6718</v>
      </c>
      <c r="INZ1" s="15" t="s">
        <v>6719</v>
      </c>
      <c r="IOA1" s="15" t="s">
        <v>6720</v>
      </c>
      <c r="IOB1" s="15" t="s">
        <v>6721</v>
      </c>
      <c r="IOC1" s="15" t="s">
        <v>6722</v>
      </c>
      <c r="IOD1" s="15" t="s">
        <v>6723</v>
      </c>
      <c r="IOE1" s="15" t="s">
        <v>6724</v>
      </c>
      <c r="IOF1" s="15" t="s">
        <v>6725</v>
      </c>
      <c r="IOG1" s="15" t="s">
        <v>6726</v>
      </c>
      <c r="IOH1" s="15" t="s">
        <v>6727</v>
      </c>
      <c r="IOI1" s="15" t="s">
        <v>6728</v>
      </c>
      <c r="IOJ1" s="15" t="s">
        <v>6729</v>
      </c>
      <c r="IOK1" s="15" t="s">
        <v>6730</v>
      </c>
      <c r="IOL1" s="15" t="s">
        <v>6731</v>
      </c>
      <c r="IOM1" s="15" t="s">
        <v>6732</v>
      </c>
      <c r="ION1" s="15" t="s">
        <v>6733</v>
      </c>
      <c r="IOO1" s="15" t="s">
        <v>6734</v>
      </c>
      <c r="IOP1" s="15" t="s">
        <v>6735</v>
      </c>
      <c r="IOQ1" s="15" t="s">
        <v>6736</v>
      </c>
      <c r="IOR1" s="15" t="s">
        <v>6737</v>
      </c>
      <c r="IOS1" s="15" t="s">
        <v>6738</v>
      </c>
      <c r="IOT1" s="15" t="s">
        <v>6739</v>
      </c>
      <c r="IOU1" s="15" t="s">
        <v>6740</v>
      </c>
      <c r="IOV1" s="15" t="s">
        <v>6741</v>
      </c>
      <c r="IOW1" s="15" t="s">
        <v>6742</v>
      </c>
      <c r="IOX1" s="15" t="s">
        <v>6743</v>
      </c>
      <c r="IOY1" s="15" t="s">
        <v>6744</v>
      </c>
      <c r="IOZ1" s="15" t="s">
        <v>6745</v>
      </c>
      <c r="IPA1" s="15" t="s">
        <v>6746</v>
      </c>
      <c r="IPB1" s="15" t="s">
        <v>6747</v>
      </c>
      <c r="IPC1" s="15" t="s">
        <v>6748</v>
      </c>
      <c r="IPD1" s="15" t="s">
        <v>6749</v>
      </c>
      <c r="IPE1" s="15" t="s">
        <v>6750</v>
      </c>
      <c r="IPF1" s="15" t="s">
        <v>6751</v>
      </c>
      <c r="IPG1" s="15" t="s">
        <v>6752</v>
      </c>
      <c r="IPH1" s="15" t="s">
        <v>6753</v>
      </c>
      <c r="IPI1" s="15" t="s">
        <v>6754</v>
      </c>
      <c r="IPJ1" s="15" t="s">
        <v>6755</v>
      </c>
      <c r="IPK1" s="15" t="s">
        <v>6756</v>
      </c>
      <c r="IPL1" s="15" t="s">
        <v>6757</v>
      </c>
      <c r="IPM1" s="15" t="s">
        <v>6758</v>
      </c>
      <c r="IPN1" s="15" t="s">
        <v>6759</v>
      </c>
      <c r="IPO1" s="15" t="s">
        <v>6760</v>
      </c>
      <c r="IPP1" s="15" t="s">
        <v>6761</v>
      </c>
      <c r="IPQ1" s="15" t="s">
        <v>6762</v>
      </c>
      <c r="IPR1" s="15" t="s">
        <v>6763</v>
      </c>
      <c r="IPS1" s="15" t="s">
        <v>6764</v>
      </c>
      <c r="IPT1" s="15" t="s">
        <v>6765</v>
      </c>
      <c r="IPU1" s="15" t="s">
        <v>6766</v>
      </c>
      <c r="IPV1" s="15" t="s">
        <v>6767</v>
      </c>
      <c r="IPW1" s="15" t="s">
        <v>6768</v>
      </c>
      <c r="IPX1" s="15" t="s">
        <v>6769</v>
      </c>
      <c r="IPY1" s="15" t="s">
        <v>6770</v>
      </c>
      <c r="IPZ1" s="15" t="s">
        <v>6771</v>
      </c>
      <c r="IQA1" s="15" t="s">
        <v>6772</v>
      </c>
      <c r="IQB1" s="15" t="s">
        <v>6773</v>
      </c>
      <c r="IQC1" s="15" t="s">
        <v>6774</v>
      </c>
      <c r="IQD1" s="15" t="s">
        <v>6775</v>
      </c>
      <c r="IQE1" s="15" t="s">
        <v>6776</v>
      </c>
      <c r="IQF1" s="15" t="s">
        <v>6777</v>
      </c>
      <c r="IQG1" s="15" t="s">
        <v>6778</v>
      </c>
      <c r="IQH1" s="15" t="s">
        <v>6779</v>
      </c>
      <c r="IQI1" s="15" t="s">
        <v>6780</v>
      </c>
      <c r="IQJ1" s="15" t="s">
        <v>6781</v>
      </c>
      <c r="IQK1" s="15" t="s">
        <v>6782</v>
      </c>
      <c r="IQL1" s="15" t="s">
        <v>6783</v>
      </c>
      <c r="IQM1" s="15" t="s">
        <v>6784</v>
      </c>
      <c r="IQN1" s="15" t="s">
        <v>6785</v>
      </c>
      <c r="IQO1" s="15" t="s">
        <v>6786</v>
      </c>
      <c r="IQP1" s="15" t="s">
        <v>6787</v>
      </c>
      <c r="IQQ1" s="15" t="s">
        <v>6788</v>
      </c>
      <c r="IQR1" s="15" t="s">
        <v>6789</v>
      </c>
      <c r="IQS1" s="15" t="s">
        <v>6790</v>
      </c>
      <c r="IQT1" s="15" t="s">
        <v>6791</v>
      </c>
      <c r="IQU1" s="15" t="s">
        <v>6792</v>
      </c>
      <c r="IQV1" s="15" t="s">
        <v>6793</v>
      </c>
      <c r="IQW1" s="15" t="s">
        <v>6794</v>
      </c>
      <c r="IQX1" s="15" t="s">
        <v>6795</v>
      </c>
      <c r="IQY1" s="15" t="s">
        <v>6796</v>
      </c>
      <c r="IQZ1" s="15" t="s">
        <v>6797</v>
      </c>
      <c r="IRA1" s="15" t="s">
        <v>6798</v>
      </c>
      <c r="IRB1" s="15" t="s">
        <v>6799</v>
      </c>
      <c r="IRC1" s="15" t="s">
        <v>6800</v>
      </c>
      <c r="IRD1" s="15" t="s">
        <v>6801</v>
      </c>
      <c r="IRE1" s="15" t="s">
        <v>6802</v>
      </c>
      <c r="IRF1" s="15" t="s">
        <v>6803</v>
      </c>
      <c r="IRG1" s="15" t="s">
        <v>6804</v>
      </c>
      <c r="IRH1" s="15" t="s">
        <v>6805</v>
      </c>
      <c r="IRI1" s="15" t="s">
        <v>6806</v>
      </c>
      <c r="IRJ1" s="15" t="s">
        <v>6807</v>
      </c>
      <c r="IRK1" s="15" t="s">
        <v>6808</v>
      </c>
      <c r="IRL1" s="15" t="s">
        <v>6809</v>
      </c>
      <c r="IRM1" s="15" t="s">
        <v>6810</v>
      </c>
      <c r="IRN1" s="15" t="s">
        <v>6811</v>
      </c>
      <c r="IRO1" s="15" t="s">
        <v>6812</v>
      </c>
      <c r="IRP1" s="15" t="s">
        <v>6813</v>
      </c>
      <c r="IRQ1" s="15" t="s">
        <v>6814</v>
      </c>
      <c r="IRR1" s="15" t="s">
        <v>6815</v>
      </c>
      <c r="IRS1" s="15" t="s">
        <v>6816</v>
      </c>
      <c r="IRT1" s="15" t="s">
        <v>6817</v>
      </c>
      <c r="IRU1" s="15" t="s">
        <v>6818</v>
      </c>
      <c r="IRV1" s="15" t="s">
        <v>6819</v>
      </c>
      <c r="IRW1" s="15" t="s">
        <v>6820</v>
      </c>
      <c r="IRX1" s="15" t="s">
        <v>6821</v>
      </c>
      <c r="IRY1" s="15" t="s">
        <v>6822</v>
      </c>
      <c r="IRZ1" s="15" t="s">
        <v>6823</v>
      </c>
      <c r="ISA1" s="15" t="s">
        <v>6824</v>
      </c>
      <c r="ISB1" s="15" t="s">
        <v>6825</v>
      </c>
      <c r="ISC1" s="15" t="s">
        <v>6826</v>
      </c>
      <c r="ISD1" s="15" t="s">
        <v>6827</v>
      </c>
      <c r="ISE1" s="15" t="s">
        <v>6828</v>
      </c>
      <c r="ISF1" s="15" t="s">
        <v>6829</v>
      </c>
      <c r="ISG1" s="15" t="s">
        <v>6830</v>
      </c>
      <c r="ISH1" s="15" t="s">
        <v>6831</v>
      </c>
      <c r="ISI1" s="15" t="s">
        <v>6832</v>
      </c>
      <c r="ISJ1" s="15" t="s">
        <v>6833</v>
      </c>
      <c r="ISK1" s="15" t="s">
        <v>6834</v>
      </c>
      <c r="ISL1" s="15" t="s">
        <v>6835</v>
      </c>
      <c r="ISM1" s="15" t="s">
        <v>6836</v>
      </c>
      <c r="ISN1" s="15" t="s">
        <v>6837</v>
      </c>
      <c r="ISO1" s="15" t="s">
        <v>6838</v>
      </c>
      <c r="ISP1" s="15" t="s">
        <v>6839</v>
      </c>
      <c r="ISQ1" s="15" t="s">
        <v>6840</v>
      </c>
      <c r="ISR1" s="15" t="s">
        <v>6841</v>
      </c>
      <c r="ISS1" s="15" t="s">
        <v>6842</v>
      </c>
      <c r="IST1" s="15" t="s">
        <v>6843</v>
      </c>
      <c r="ISU1" s="15" t="s">
        <v>6844</v>
      </c>
      <c r="ISV1" s="15" t="s">
        <v>6845</v>
      </c>
      <c r="ISW1" s="15" t="s">
        <v>6846</v>
      </c>
      <c r="ISX1" s="15" t="s">
        <v>6847</v>
      </c>
      <c r="ISY1" s="15" t="s">
        <v>6848</v>
      </c>
      <c r="ISZ1" s="15" t="s">
        <v>6849</v>
      </c>
      <c r="ITA1" s="15" t="s">
        <v>6850</v>
      </c>
      <c r="ITB1" s="15" t="s">
        <v>6851</v>
      </c>
      <c r="ITC1" s="15" t="s">
        <v>6852</v>
      </c>
      <c r="ITD1" s="15" t="s">
        <v>6853</v>
      </c>
      <c r="ITE1" s="15" t="s">
        <v>6854</v>
      </c>
      <c r="ITF1" s="15" t="s">
        <v>6855</v>
      </c>
      <c r="ITG1" s="15" t="s">
        <v>6856</v>
      </c>
      <c r="ITH1" s="15" t="s">
        <v>6857</v>
      </c>
      <c r="ITI1" s="15" t="s">
        <v>6858</v>
      </c>
      <c r="ITJ1" s="15" t="s">
        <v>6859</v>
      </c>
      <c r="ITK1" s="15" t="s">
        <v>6860</v>
      </c>
      <c r="ITL1" s="15" t="s">
        <v>6861</v>
      </c>
      <c r="ITM1" s="15" t="s">
        <v>6862</v>
      </c>
      <c r="ITN1" s="15" t="s">
        <v>6863</v>
      </c>
      <c r="ITO1" s="15" t="s">
        <v>6864</v>
      </c>
      <c r="ITP1" s="15" t="s">
        <v>6865</v>
      </c>
      <c r="ITQ1" s="15" t="s">
        <v>6866</v>
      </c>
      <c r="ITR1" s="15" t="s">
        <v>6867</v>
      </c>
      <c r="ITS1" s="15" t="s">
        <v>6868</v>
      </c>
      <c r="ITT1" s="15" t="s">
        <v>6869</v>
      </c>
      <c r="ITU1" s="15" t="s">
        <v>6870</v>
      </c>
      <c r="ITV1" s="15" t="s">
        <v>6871</v>
      </c>
      <c r="ITW1" s="15" t="s">
        <v>6872</v>
      </c>
      <c r="ITX1" s="15" t="s">
        <v>6873</v>
      </c>
      <c r="ITY1" s="15" t="s">
        <v>6874</v>
      </c>
      <c r="ITZ1" s="15" t="s">
        <v>6875</v>
      </c>
      <c r="IUA1" s="15" t="s">
        <v>6876</v>
      </c>
      <c r="IUB1" s="15" t="s">
        <v>6877</v>
      </c>
      <c r="IUC1" s="15" t="s">
        <v>6878</v>
      </c>
      <c r="IUD1" s="15" t="s">
        <v>6879</v>
      </c>
      <c r="IUE1" s="15" t="s">
        <v>6880</v>
      </c>
      <c r="IUF1" s="15" t="s">
        <v>6881</v>
      </c>
      <c r="IUG1" s="15" t="s">
        <v>6882</v>
      </c>
      <c r="IUH1" s="15" t="s">
        <v>6883</v>
      </c>
      <c r="IUI1" s="15" t="s">
        <v>6884</v>
      </c>
      <c r="IUJ1" s="15" t="s">
        <v>6885</v>
      </c>
      <c r="IUK1" s="15" t="s">
        <v>6886</v>
      </c>
      <c r="IUL1" s="15" t="s">
        <v>6887</v>
      </c>
      <c r="IUM1" s="15" t="s">
        <v>6888</v>
      </c>
      <c r="IUN1" s="15" t="s">
        <v>6889</v>
      </c>
      <c r="IUO1" s="15" t="s">
        <v>6890</v>
      </c>
      <c r="IUP1" s="15" t="s">
        <v>6891</v>
      </c>
      <c r="IUQ1" s="15" t="s">
        <v>6892</v>
      </c>
      <c r="IUR1" s="15" t="s">
        <v>6893</v>
      </c>
      <c r="IUS1" s="15" t="s">
        <v>6894</v>
      </c>
      <c r="IUT1" s="15" t="s">
        <v>6895</v>
      </c>
      <c r="IUU1" s="15" t="s">
        <v>6896</v>
      </c>
      <c r="IUV1" s="15" t="s">
        <v>6897</v>
      </c>
      <c r="IUW1" s="15" t="s">
        <v>6898</v>
      </c>
      <c r="IUX1" s="15" t="s">
        <v>6899</v>
      </c>
      <c r="IUY1" s="15" t="s">
        <v>6900</v>
      </c>
      <c r="IUZ1" s="15" t="s">
        <v>6901</v>
      </c>
      <c r="IVA1" s="15" t="s">
        <v>6902</v>
      </c>
      <c r="IVB1" s="15" t="s">
        <v>6903</v>
      </c>
      <c r="IVC1" s="15" t="s">
        <v>6904</v>
      </c>
      <c r="IVD1" s="15" t="s">
        <v>6905</v>
      </c>
      <c r="IVE1" s="15" t="s">
        <v>6906</v>
      </c>
      <c r="IVF1" s="15" t="s">
        <v>6907</v>
      </c>
      <c r="IVG1" s="15" t="s">
        <v>6908</v>
      </c>
      <c r="IVH1" s="15" t="s">
        <v>6909</v>
      </c>
      <c r="IVI1" s="15" t="s">
        <v>6910</v>
      </c>
      <c r="IVJ1" s="15" t="s">
        <v>6911</v>
      </c>
      <c r="IVK1" s="15" t="s">
        <v>6912</v>
      </c>
      <c r="IVL1" s="15" t="s">
        <v>6913</v>
      </c>
      <c r="IVM1" s="15" t="s">
        <v>6914</v>
      </c>
      <c r="IVN1" s="15" t="s">
        <v>6915</v>
      </c>
      <c r="IVO1" s="15" t="s">
        <v>6916</v>
      </c>
      <c r="IVP1" s="15" t="s">
        <v>6917</v>
      </c>
      <c r="IVQ1" s="15" t="s">
        <v>6918</v>
      </c>
      <c r="IVR1" s="15" t="s">
        <v>6919</v>
      </c>
      <c r="IVS1" s="15" t="s">
        <v>6920</v>
      </c>
      <c r="IVT1" s="15" t="s">
        <v>6921</v>
      </c>
      <c r="IVU1" s="15" t="s">
        <v>6922</v>
      </c>
      <c r="IVV1" s="15" t="s">
        <v>6923</v>
      </c>
      <c r="IVW1" s="15" t="s">
        <v>6924</v>
      </c>
      <c r="IVX1" s="15" t="s">
        <v>6925</v>
      </c>
      <c r="IVY1" s="15" t="s">
        <v>6926</v>
      </c>
      <c r="IVZ1" s="15" t="s">
        <v>6927</v>
      </c>
      <c r="IWA1" s="15" t="s">
        <v>6928</v>
      </c>
      <c r="IWB1" s="15" t="s">
        <v>6929</v>
      </c>
      <c r="IWC1" s="15" t="s">
        <v>6930</v>
      </c>
      <c r="IWD1" s="15" t="s">
        <v>6931</v>
      </c>
      <c r="IWE1" s="15" t="s">
        <v>6932</v>
      </c>
      <c r="IWF1" s="15" t="s">
        <v>6933</v>
      </c>
      <c r="IWG1" s="15" t="s">
        <v>6934</v>
      </c>
      <c r="IWH1" s="15" t="s">
        <v>6935</v>
      </c>
      <c r="IWI1" s="15" t="s">
        <v>6936</v>
      </c>
      <c r="IWJ1" s="15" t="s">
        <v>6937</v>
      </c>
      <c r="IWK1" s="15" t="s">
        <v>6938</v>
      </c>
      <c r="IWL1" s="15" t="s">
        <v>6939</v>
      </c>
      <c r="IWM1" s="15" t="s">
        <v>6940</v>
      </c>
      <c r="IWN1" s="15" t="s">
        <v>6941</v>
      </c>
      <c r="IWO1" s="15" t="s">
        <v>6942</v>
      </c>
      <c r="IWP1" s="15" t="s">
        <v>6943</v>
      </c>
      <c r="IWQ1" s="15" t="s">
        <v>6944</v>
      </c>
      <c r="IWR1" s="15" t="s">
        <v>6945</v>
      </c>
      <c r="IWS1" s="15" t="s">
        <v>6946</v>
      </c>
      <c r="IWT1" s="15" t="s">
        <v>6947</v>
      </c>
      <c r="IWU1" s="15" t="s">
        <v>6948</v>
      </c>
      <c r="IWV1" s="15" t="s">
        <v>6949</v>
      </c>
      <c r="IWW1" s="15" t="s">
        <v>6950</v>
      </c>
      <c r="IWX1" s="15" t="s">
        <v>6951</v>
      </c>
      <c r="IWY1" s="15" t="s">
        <v>6952</v>
      </c>
      <c r="IWZ1" s="15" t="s">
        <v>6953</v>
      </c>
      <c r="IXA1" s="15" t="s">
        <v>6954</v>
      </c>
      <c r="IXB1" s="15" t="s">
        <v>6955</v>
      </c>
      <c r="IXC1" s="15" t="s">
        <v>6956</v>
      </c>
      <c r="IXD1" s="15" t="s">
        <v>6957</v>
      </c>
      <c r="IXE1" s="15" t="s">
        <v>6958</v>
      </c>
      <c r="IXF1" s="15" t="s">
        <v>6959</v>
      </c>
      <c r="IXG1" s="15" t="s">
        <v>6960</v>
      </c>
      <c r="IXH1" s="15" t="s">
        <v>6961</v>
      </c>
      <c r="IXI1" s="15" t="s">
        <v>6962</v>
      </c>
      <c r="IXJ1" s="15" t="s">
        <v>6963</v>
      </c>
      <c r="IXK1" s="15" t="s">
        <v>6964</v>
      </c>
      <c r="IXL1" s="15" t="s">
        <v>6965</v>
      </c>
      <c r="IXM1" s="15" t="s">
        <v>6966</v>
      </c>
      <c r="IXN1" s="15" t="s">
        <v>6967</v>
      </c>
      <c r="IXO1" s="15" t="s">
        <v>6968</v>
      </c>
      <c r="IXP1" s="15" t="s">
        <v>6969</v>
      </c>
      <c r="IXQ1" s="15" t="s">
        <v>6970</v>
      </c>
      <c r="IXR1" s="15" t="s">
        <v>6971</v>
      </c>
      <c r="IXS1" s="15" t="s">
        <v>6972</v>
      </c>
      <c r="IXT1" s="15" t="s">
        <v>6973</v>
      </c>
      <c r="IXU1" s="15" t="s">
        <v>6974</v>
      </c>
      <c r="IXV1" s="15" t="s">
        <v>6975</v>
      </c>
      <c r="IXW1" s="15" t="s">
        <v>6976</v>
      </c>
      <c r="IXX1" s="15" t="s">
        <v>6977</v>
      </c>
      <c r="IXY1" s="15" t="s">
        <v>6978</v>
      </c>
      <c r="IXZ1" s="15" t="s">
        <v>6979</v>
      </c>
      <c r="IYA1" s="15" t="s">
        <v>6980</v>
      </c>
      <c r="IYB1" s="15" t="s">
        <v>6981</v>
      </c>
      <c r="IYC1" s="15" t="s">
        <v>6982</v>
      </c>
      <c r="IYD1" s="15" t="s">
        <v>6983</v>
      </c>
      <c r="IYE1" s="15" t="s">
        <v>6984</v>
      </c>
      <c r="IYF1" s="15" t="s">
        <v>6985</v>
      </c>
      <c r="IYG1" s="15" t="s">
        <v>6986</v>
      </c>
      <c r="IYH1" s="15" t="s">
        <v>6987</v>
      </c>
      <c r="IYI1" s="15" t="s">
        <v>6988</v>
      </c>
      <c r="IYJ1" s="15" t="s">
        <v>6989</v>
      </c>
      <c r="IYK1" s="15" t="s">
        <v>6990</v>
      </c>
      <c r="IYL1" s="15" t="s">
        <v>6991</v>
      </c>
      <c r="IYM1" s="15" t="s">
        <v>6992</v>
      </c>
      <c r="IYN1" s="15" t="s">
        <v>6993</v>
      </c>
      <c r="IYO1" s="15" t="s">
        <v>6994</v>
      </c>
      <c r="IYP1" s="15" t="s">
        <v>6995</v>
      </c>
      <c r="IYQ1" s="15" t="s">
        <v>6996</v>
      </c>
      <c r="IYR1" s="15" t="s">
        <v>6997</v>
      </c>
      <c r="IYS1" s="15" t="s">
        <v>6998</v>
      </c>
      <c r="IYT1" s="15" t="s">
        <v>6999</v>
      </c>
      <c r="IYU1" s="15" t="s">
        <v>7000</v>
      </c>
      <c r="IYV1" s="15" t="s">
        <v>7001</v>
      </c>
      <c r="IYW1" s="15" t="s">
        <v>7002</v>
      </c>
      <c r="IYX1" s="15" t="s">
        <v>7003</v>
      </c>
      <c r="IYY1" s="15" t="s">
        <v>7004</v>
      </c>
      <c r="IYZ1" s="15" t="s">
        <v>7005</v>
      </c>
      <c r="IZA1" s="15" t="s">
        <v>7006</v>
      </c>
      <c r="IZB1" s="15" t="s">
        <v>7007</v>
      </c>
      <c r="IZC1" s="15" t="s">
        <v>7008</v>
      </c>
      <c r="IZD1" s="15" t="s">
        <v>7009</v>
      </c>
      <c r="IZE1" s="15" t="s">
        <v>7010</v>
      </c>
      <c r="IZF1" s="15" t="s">
        <v>7011</v>
      </c>
      <c r="IZG1" s="15" t="s">
        <v>7012</v>
      </c>
      <c r="IZH1" s="15" t="s">
        <v>7013</v>
      </c>
      <c r="IZI1" s="15" t="s">
        <v>7014</v>
      </c>
      <c r="IZJ1" s="15" t="s">
        <v>7015</v>
      </c>
      <c r="IZK1" s="15" t="s">
        <v>7016</v>
      </c>
      <c r="IZL1" s="15" t="s">
        <v>7017</v>
      </c>
      <c r="IZM1" s="15" t="s">
        <v>7018</v>
      </c>
      <c r="IZN1" s="15" t="s">
        <v>7019</v>
      </c>
      <c r="IZO1" s="15" t="s">
        <v>7020</v>
      </c>
      <c r="IZP1" s="15" t="s">
        <v>7021</v>
      </c>
      <c r="IZQ1" s="15" t="s">
        <v>7022</v>
      </c>
      <c r="IZR1" s="15" t="s">
        <v>7023</v>
      </c>
      <c r="IZS1" s="15" t="s">
        <v>7024</v>
      </c>
      <c r="IZT1" s="15" t="s">
        <v>7025</v>
      </c>
      <c r="IZU1" s="15" t="s">
        <v>7026</v>
      </c>
      <c r="IZV1" s="15" t="s">
        <v>7027</v>
      </c>
      <c r="IZW1" s="15" t="s">
        <v>7028</v>
      </c>
      <c r="IZX1" s="15" t="s">
        <v>7029</v>
      </c>
      <c r="IZY1" s="15" t="s">
        <v>7030</v>
      </c>
      <c r="IZZ1" s="15" t="s">
        <v>7031</v>
      </c>
      <c r="JAA1" s="15" t="s">
        <v>7032</v>
      </c>
      <c r="JAB1" s="15" t="s">
        <v>7033</v>
      </c>
      <c r="JAC1" s="15" t="s">
        <v>7034</v>
      </c>
      <c r="JAD1" s="15" t="s">
        <v>7035</v>
      </c>
      <c r="JAE1" s="15" t="s">
        <v>7036</v>
      </c>
      <c r="JAF1" s="15" t="s">
        <v>7037</v>
      </c>
      <c r="JAG1" s="15" t="s">
        <v>7038</v>
      </c>
      <c r="JAH1" s="15" t="s">
        <v>7039</v>
      </c>
      <c r="JAI1" s="15" t="s">
        <v>7040</v>
      </c>
      <c r="JAJ1" s="15" t="s">
        <v>7041</v>
      </c>
      <c r="JAK1" s="15" t="s">
        <v>7042</v>
      </c>
      <c r="JAL1" s="15" t="s">
        <v>7043</v>
      </c>
      <c r="JAM1" s="15" t="s">
        <v>7044</v>
      </c>
      <c r="JAN1" s="15" t="s">
        <v>7045</v>
      </c>
      <c r="JAO1" s="15" t="s">
        <v>7046</v>
      </c>
      <c r="JAP1" s="15" t="s">
        <v>7047</v>
      </c>
      <c r="JAQ1" s="15" t="s">
        <v>7048</v>
      </c>
      <c r="JAR1" s="15" t="s">
        <v>7049</v>
      </c>
      <c r="JAS1" s="15" t="s">
        <v>7050</v>
      </c>
      <c r="JAT1" s="15" t="s">
        <v>7051</v>
      </c>
      <c r="JAU1" s="15" t="s">
        <v>7052</v>
      </c>
      <c r="JAV1" s="15" t="s">
        <v>7053</v>
      </c>
      <c r="JAW1" s="15" t="s">
        <v>7054</v>
      </c>
      <c r="JAX1" s="15" t="s">
        <v>7055</v>
      </c>
      <c r="JAY1" s="15" t="s">
        <v>7056</v>
      </c>
      <c r="JAZ1" s="15" t="s">
        <v>7057</v>
      </c>
      <c r="JBA1" s="15" t="s">
        <v>7058</v>
      </c>
      <c r="JBB1" s="15" t="s">
        <v>7059</v>
      </c>
      <c r="JBC1" s="15" t="s">
        <v>7060</v>
      </c>
      <c r="JBD1" s="15" t="s">
        <v>7061</v>
      </c>
      <c r="JBE1" s="15" t="s">
        <v>7062</v>
      </c>
      <c r="JBF1" s="15" t="s">
        <v>7063</v>
      </c>
      <c r="JBG1" s="15" t="s">
        <v>7064</v>
      </c>
      <c r="JBH1" s="15" t="s">
        <v>7065</v>
      </c>
      <c r="JBI1" s="15" t="s">
        <v>7066</v>
      </c>
      <c r="JBJ1" s="15" t="s">
        <v>7067</v>
      </c>
      <c r="JBK1" s="15" t="s">
        <v>7068</v>
      </c>
      <c r="JBL1" s="15" t="s">
        <v>7069</v>
      </c>
      <c r="JBM1" s="15" t="s">
        <v>7070</v>
      </c>
      <c r="JBN1" s="15" t="s">
        <v>7071</v>
      </c>
      <c r="JBO1" s="15" t="s">
        <v>7072</v>
      </c>
      <c r="JBP1" s="15" t="s">
        <v>7073</v>
      </c>
      <c r="JBQ1" s="15" t="s">
        <v>7074</v>
      </c>
      <c r="JBR1" s="15" t="s">
        <v>7075</v>
      </c>
      <c r="JBS1" s="15" t="s">
        <v>7076</v>
      </c>
      <c r="JBT1" s="15" t="s">
        <v>7077</v>
      </c>
      <c r="JBU1" s="15" t="s">
        <v>7078</v>
      </c>
      <c r="JBV1" s="15" t="s">
        <v>7079</v>
      </c>
      <c r="JBW1" s="15" t="s">
        <v>7080</v>
      </c>
      <c r="JBX1" s="15" t="s">
        <v>7081</v>
      </c>
      <c r="JBY1" s="15" t="s">
        <v>7082</v>
      </c>
      <c r="JBZ1" s="15" t="s">
        <v>7083</v>
      </c>
      <c r="JCA1" s="15" t="s">
        <v>7084</v>
      </c>
      <c r="JCB1" s="15" t="s">
        <v>7085</v>
      </c>
      <c r="JCC1" s="15" t="s">
        <v>7086</v>
      </c>
      <c r="JCD1" s="15" t="s">
        <v>7087</v>
      </c>
      <c r="JCE1" s="15" t="s">
        <v>7088</v>
      </c>
      <c r="JCF1" s="15" t="s">
        <v>7089</v>
      </c>
      <c r="JCG1" s="15" t="s">
        <v>7090</v>
      </c>
      <c r="JCH1" s="15" t="s">
        <v>7091</v>
      </c>
      <c r="JCI1" s="15" t="s">
        <v>7092</v>
      </c>
      <c r="JCJ1" s="15" t="s">
        <v>7093</v>
      </c>
      <c r="JCK1" s="15" t="s">
        <v>7094</v>
      </c>
      <c r="JCL1" s="15" t="s">
        <v>7095</v>
      </c>
      <c r="JCM1" s="15" t="s">
        <v>7096</v>
      </c>
      <c r="JCN1" s="15" t="s">
        <v>7097</v>
      </c>
      <c r="JCO1" s="15" t="s">
        <v>7098</v>
      </c>
      <c r="JCP1" s="15" t="s">
        <v>7099</v>
      </c>
      <c r="JCQ1" s="15" t="s">
        <v>7100</v>
      </c>
      <c r="JCR1" s="15" t="s">
        <v>7101</v>
      </c>
      <c r="JCS1" s="15" t="s">
        <v>7102</v>
      </c>
      <c r="JCT1" s="15" t="s">
        <v>7103</v>
      </c>
      <c r="JCU1" s="15" t="s">
        <v>7104</v>
      </c>
      <c r="JCV1" s="15" t="s">
        <v>7105</v>
      </c>
      <c r="JCW1" s="15" t="s">
        <v>7106</v>
      </c>
      <c r="JCX1" s="15" t="s">
        <v>7107</v>
      </c>
      <c r="JCY1" s="15" t="s">
        <v>7108</v>
      </c>
      <c r="JCZ1" s="15" t="s">
        <v>7109</v>
      </c>
      <c r="JDA1" s="15" t="s">
        <v>7110</v>
      </c>
      <c r="JDB1" s="15" t="s">
        <v>7111</v>
      </c>
      <c r="JDC1" s="15" t="s">
        <v>7112</v>
      </c>
      <c r="JDD1" s="15" t="s">
        <v>7113</v>
      </c>
      <c r="JDE1" s="15" t="s">
        <v>7114</v>
      </c>
      <c r="JDF1" s="15" t="s">
        <v>7115</v>
      </c>
      <c r="JDG1" s="15" t="s">
        <v>7116</v>
      </c>
      <c r="JDH1" s="15" t="s">
        <v>7117</v>
      </c>
      <c r="JDI1" s="15" t="s">
        <v>7118</v>
      </c>
      <c r="JDJ1" s="15" t="s">
        <v>7119</v>
      </c>
      <c r="JDK1" s="15" t="s">
        <v>7120</v>
      </c>
      <c r="JDL1" s="15" t="s">
        <v>7121</v>
      </c>
      <c r="JDM1" s="15" t="s">
        <v>7122</v>
      </c>
      <c r="JDN1" s="15" t="s">
        <v>7123</v>
      </c>
      <c r="JDO1" s="15" t="s">
        <v>7124</v>
      </c>
      <c r="JDP1" s="15" t="s">
        <v>7125</v>
      </c>
      <c r="JDQ1" s="15" t="s">
        <v>7126</v>
      </c>
      <c r="JDR1" s="15" t="s">
        <v>7127</v>
      </c>
      <c r="JDS1" s="15" t="s">
        <v>7128</v>
      </c>
      <c r="JDT1" s="15" t="s">
        <v>7129</v>
      </c>
      <c r="JDU1" s="15" t="s">
        <v>7130</v>
      </c>
      <c r="JDV1" s="15" t="s">
        <v>7131</v>
      </c>
      <c r="JDW1" s="15" t="s">
        <v>7132</v>
      </c>
      <c r="JDX1" s="15" t="s">
        <v>7133</v>
      </c>
      <c r="JDY1" s="15" t="s">
        <v>7134</v>
      </c>
      <c r="JDZ1" s="15" t="s">
        <v>7135</v>
      </c>
      <c r="JEA1" s="15" t="s">
        <v>7136</v>
      </c>
      <c r="JEB1" s="15" t="s">
        <v>7137</v>
      </c>
      <c r="JEC1" s="15" t="s">
        <v>7138</v>
      </c>
      <c r="JED1" s="15" t="s">
        <v>7139</v>
      </c>
      <c r="JEE1" s="15" t="s">
        <v>7140</v>
      </c>
      <c r="JEF1" s="15" t="s">
        <v>7141</v>
      </c>
      <c r="JEG1" s="15" t="s">
        <v>7142</v>
      </c>
      <c r="JEH1" s="15" t="s">
        <v>7143</v>
      </c>
      <c r="JEI1" s="15" t="s">
        <v>7144</v>
      </c>
      <c r="JEJ1" s="15" t="s">
        <v>7145</v>
      </c>
      <c r="JEK1" s="15" t="s">
        <v>7146</v>
      </c>
      <c r="JEL1" s="15" t="s">
        <v>7147</v>
      </c>
      <c r="JEM1" s="15" t="s">
        <v>7148</v>
      </c>
      <c r="JEN1" s="15" t="s">
        <v>7149</v>
      </c>
      <c r="JEO1" s="15" t="s">
        <v>7150</v>
      </c>
      <c r="JEP1" s="15" t="s">
        <v>7151</v>
      </c>
      <c r="JEQ1" s="15" t="s">
        <v>7152</v>
      </c>
      <c r="JER1" s="15" t="s">
        <v>7153</v>
      </c>
      <c r="JES1" s="15" t="s">
        <v>7154</v>
      </c>
      <c r="JET1" s="15" t="s">
        <v>7155</v>
      </c>
      <c r="JEU1" s="15" t="s">
        <v>7156</v>
      </c>
      <c r="JEV1" s="15" t="s">
        <v>7157</v>
      </c>
      <c r="JEW1" s="15" t="s">
        <v>7158</v>
      </c>
      <c r="JEX1" s="15" t="s">
        <v>7159</v>
      </c>
      <c r="JEY1" s="15" t="s">
        <v>7160</v>
      </c>
      <c r="JEZ1" s="15" t="s">
        <v>7161</v>
      </c>
      <c r="JFA1" s="15" t="s">
        <v>7162</v>
      </c>
      <c r="JFB1" s="15" t="s">
        <v>7163</v>
      </c>
      <c r="JFC1" s="15" t="s">
        <v>7164</v>
      </c>
      <c r="JFD1" s="15" t="s">
        <v>7165</v>
      </c>
      <c r="JFE1" s="15" t="s">
        <v>7166</v>
      </c>
      <c r="JFF1" s="15" t="s">
        <v>7167</v>
      </c>
      <c r="JFG1" s="15" t="s">
        <v>7168</v>
      </c>
      <c r="JFH1" s="15" t="s">
        <v>7169</v>
      </c>
      <c r="JFI1" s="15" t="s">
        <v>7170</v>
      </c>
      <c r="JFJ1" s="15" t="s">
        <v>7171</v>
      </c>
      <c r="JFK1" s="15" t="s">
        <v>7172</v>
      </c>
      <c r="JFL1" s="15" t="s">
        <v>7173</v>
      </c>
      <c r="JFM1" s="15" t="s">
        <v>7174</v>
      </c>
      <c r="JFN1" s="15" t="s">
        <v>7175</v>
      </c>
      <c r="JFO1" s="15" t="s">
        <v>7176</v>
      </c>
      <c r="JFP1" s="15" t="s">
        <v>7177</v>
      </c>
      <c r="JFQ1" s="15" t="s">
        <v>7178</v>
      </c>
      <c r="JFR1" s="15" t="s">
        <v>7179</v>
      </c>
      <c r="JFS1" s="15" t="s">
        <v>7180</v>
      </c>
      <c r="JFT1" s="15" t="s">
        <v>7181</v>
      </c>
      <c r="JFU1" s="15" t="s">
        <v>7182</v>
      </c>
      <c r="JFV1" s="15" t="s">
        <v>7183</v>
      </c>
      <c r="JFW1" s="15" t="s">
        <v>7184</v>
      </c>
      <c r="JFX1" s="15" t="s">
        <v>7185</v>
      </c>
      <c r="JFY1" s="15" t="s">
        <v>7186</v>
      </c>
      <c r="JFZ1" s="15" t="s">
        <v>7187</v>
      </c>
      <c r="JGA1" s="15" t="s">
        <v>7188</v>
      </c>
      <c r="JGB1" s="15" t="s">
        <v>7189</v>
      </c>
      <c r="JGC1" s="15" t="s">
        <v>7190</v>
      </c>
      <c r="JGD1" s="15" t="s">
        <v>7191</v>
      </c>
      <c r="JGE1" s="15" t="s">
        <v>7192</v>
      </c>
      <c r="JGF1" s="15" t="s">
        <v>7193</v>
      </c>
      <c r="JGG1" s="15" t="s">
        <v>7194</v>
      </c>
      <c r="JGH1" s="15" t="s">
        <v>7195</v>
      </c>
      <c r="JGI1" s="15" t="s">
        <v>7196</v>
      </c>
      <c r="JGJ1" s="15" t="s">
        <v>7197</v>
      </c>
      <c r="JGK1" s="15" t="s">
        <v>7198</v>
      </c>
      <c r="JGL1" s="15" t="s">
        <v>7199</v>
      </c>
      <c r="JGM1" s="15" t="s">
        <v>7200</v>
      </c>
      <c r="JGN1" s="15" t="s">
        <v>7201</v>
      </c>
      <c r="JGO1" s="15" t="s">
        <v>7202</v>
      </c>
      <c r="JGP1" s="15" t="s">
        <v>7203</v>
      </c>
      <c r="JGQ1" s="15" t="s">
        <v>7204</v>
      </c>
      <c r="JGR1" s="15" t="s">
        <v>7205</v>
      </c>
      <c r="JGS1" s="15" t="s">
        <v>7206</v>
      </c>
      <c r="JGT1" s="15" t="s">
        <v>7207</v>
      </c>
      <c r="JGU1" s="15" t="s">
        <v>7208</v>
      </c>
      <c r="JGV1" s="15" t="s">
        <v>7209</v>
      </c>
      <c r="JGW1" s="15" t="s">
        <v>7210</v>
      </c>
      <c r="JGX1" s="15" t="s">
        <v>7211</v>
      </c>
      <c r="JGY1" s="15" t="s">
        <v>7212</v>
      </c>
      <c r="JGZ1" s="15" t="s">
        <v>7213</v>
      </c>
      <c r="JHA1" s="15" t="s">
        <v>7214</v>
      </c>
      <c r="JHB1" s="15" t="s">
        <v>7215</v>
      </c>
      <c r="JHC1" s="15" t="s">
        <v>7216</v>
      </c>
      <c r="JHD1" s="15" t="s">
        <v>7217</v>
      </c>
      <c r="JHE1" s="15" t="s">
        <v>7218</v>
      </c>
      <c r="JHF1" s="15" t="s">
        <v>7219</v>
      </c>
      <c r="JHG1" s="15" t="s">
        <v>7220</v>
      </c>
      <c r="JHH1" s="15" t="s">
        <v>7221</v>
      </c>
      <c r="JHI1" s="15" t="s">
        <v>7222</v>
      </c>
      <c r="JHJ1" s="15" t="s">
        <v>7223</v>
      </c>
      <c r="JHK1" s="15" t="s">
        <v>7224</v>
      </c>
      <c r="JHL1" s="15" t="s">
        <v>7225</v>
      </c>
      <c r="JHM1" s="15" t="s">
        <v>7226</v>
      </c>
      <c r="JHN1" s="15" t="s">
        <v>7227</v>
      </c>
      <c r="JHO1" s="15" t="s">
        <v>7228</v>
      </c>
      <c r="JHP1" s="15" t="s">
        <v>7229</v>
      </c>
      <c r="JHQ1" s="15" t="s">
        <v>7230</v>
      </c>
      <c r="JHR1" s="15" t="s">
        <v>7231</v>
      </c>
      <c r="JHS1" s="15" t="s">
        <v>7232</v>
      </c>
      <c r="JHT1" s="15" t="s">
        <v>7233</v>
      </c>
      <c r="JHU1" s="15" t="s">
        <v>7234</v>
      </c>
      <c r="JHV1" s="15" t="s">
        <v>7235</v>
      </c>
      <c r="JHW1" s="15" t="s">
        <v>7236</v>
      </c>
      <c r="JHX1" s="15" t="s">
        <v>7237</v>
      </c>
      <c r="JHY1" s="15" t="s">
        <v>7238</v>
      </c>
      <c r="JHZ1" s="15" t="s">
        <v>7239</v>
      </c>
      <c r="JIA1" s="15" t="s">
        <v>7240</v>
      </c>
      <c r="JIB1" s="15" t="s">
        <v>7241</v>
      </c>
      <c r="JIC1" s="15" t="s">
        <v>7242</v>
      </c>
      <c r="JID1" s="15" t="s">
        <v>7243</v>
      </c>
      <c r="JIE1" s="15" t="s">
        <v>7244</v>
      </c>
      <c r="JIF1" s="15" t="s">
        <v>7245</v>
      </c>
      <c r="JIG1" s="15" t="s">
        <v>7246</v>
      </c>
      <c r="JIH1" s="15" t="s">
        <v>7247</v>
      </c>
      <c r="JII1" s="15" t="s">
        <v>7248</v>
      </c>
      <c r="JIJ1" s="15" t="s">
        <v>7249</v>
      </c>
      <c r="JIK1" s="15" t="s">
        <v>7250</v>
      </c>
      <c r="JIL1" s="15" t="s">
        <v>7251</v>
      </c>
      <c r="JIM1" s="15" t="s">
        <v>7252</v>
      </c>
      <c r="JIN1" s="15" t="s">
        <v>7253</v>
      </c>
      <c r="JIO1" s="15" t="s">
        <v>7254</v>
      </c>
      <c r="JIP1" s="15" t="s">
        <v>7255</v>
      </c>
      <c r="JIQ1" s="15" t="s">
        <v>7256</v>
      </c>
      <c r="JIR1" s="15" t="s">
        <v>7257</v>
      </c>
      <c r="JIS1" s="15" t="s">
        <v>7258</v>
      </c>
      <c r="JIT1" s="15" t="s">
        <v>7259</v>
      </c>
      <c r="JIU1" s="15" t="s">
        <v>7260</v>
      </c>
      <c r="JIV1" s="15" t="s">
        <v>7261</v>
      </c>
      <c r="JIW1" s="15" t="s">
        <v>7262</v>
      </c>
      <c r="JIX1" s="15" t="s">
        <v>7263</v>
      </c>
      <c r="JIY1" s="15" t="s">
        <v>7264</v>
      </c>
      <c r="JIZ1" s="15" t="s">
        <v>7265</v>
      </c>
      <c r="JJA1" s="15" t="s">
        <v>7266</v>
      </c>
      <c r="JJB1" s="15" t="s">
        <v>7267</v>
      </c>
      <c r="JJC1" s="15" t="s">
        <v>7268</v>
      </c>
      <c r="JJD1" s="15" t="s">
        <v>7269</v>
      </c>
      <c r="JJE1" s="15" t="s">
        <v>7270</v>
      </c>
      <c r="JJF1" s="15" t="s">
        <v>7271</v>
      </c>
      <c r="JJG1" s="15" t="s">
        <v>7272</v>
      </c>
      <c r="JJH1" s="15" t="s">
        <v>7273</v>
      </c>
      <c r="JJI1" s="15" t="s">
        <v>7274</v>
      </c>
      <c r="JJJ1" s="15" t="s">
        <v>7275</v>
      </c>
      <c r="JJK1" s="15" t="s">
        <v>7276</v>
      </c>
      <c r="JJL1" s="15" t="s">
        <v>7277</v>
      </c>
      <c r="JJM1" s="15" t="s">
        <v>7278</v>
      </c>
      <c r="JJN1" s="15" t="s">
        <v>7279</v>
      </c>
      <c r="JJO1" s="15" t="s">
        <v>7280</v>
      </c>
      <c r="JJP1" s="15" t="s">
        <v>7281</v>
      </c>
      <c r="JJQ1" s="15" t="s">
        <v>7282</v>
      </c>
      <c r="JJR1" s="15" t="s">
        <v>7283</v>
      </c>
      <c r="JJS1" s="15" t="s">
        <v>7284</v>
      </c>
      <c r="JJT1" s="15" t="s">
        <v>7285</v>
      </c>
      <c r="JJU1" s="15" t="s">
        <v>7286</v>
      </c>
      <c r="JJV1" s="15" t="s">
        <v>7287</v>
      </c>
      <c r="JJW1" s="15" t="s">
        <v>7288</v>
      </c>
      <c r="JJX1" s="15" t="s">
        <v>7289</v>
      </c>
      <c r="JJY1" s="15" t="s">
        <v>7290</v>
      </c>
      <c r="JJZ1" s="15" t="s">
        <v>7291</v>
      </c>
      <c r="JKA1" s="15" t="s">
        <v>7292</v>
      </c>
      <c r="JKB1" s="15" t="s">
        <v>7293</v>
      </c>
      <c r="JKC1" s="15" t="s">
        <v>7294</v>
      </c>
      <c r="JKD1" s="15" t="s">
        <v>7295</v>
      </c>
      <c r="JKE1" s="15" t="s">
        <v>7296</v>
      </c>
      <c r="JKF1" s="15" t="s">
        <v>7297</v>
      </c>
      <c r="JKG1" s="15" t="s">
        <v>7298</v>
      </c>
      <c r="JKH1" s="15" t="s">
        <v>7299</v>
      </c>
      <c r="JKI1" s="15" t="s">
        <v>7300</v>
      </c>
      <c r="JKJ1" s="15" t="s">
        <v>7301</v>
      </c>
      <c r="JKK1" s="15" t="s">
        <v>7302</v>
      </c>
      <c r="JKL1" s="15" t="s">
        <v>7303</v>
      </c>
      <c r="JKM1" s="15" t="s">
        <v>7304</v>
      </c>
      <c r="JKN1" s="15" t="s">
        <v>7305</v>
      </c>
      <c r="JKO1" s="15" t="s">
        <v>7306</v>
      </c>
      <c r="JKP1" s="15" t="s">
        <v>7307</v>
      </c>
      <c r="JKQ1" s="15" t="s">
        <v>7308</v>
      </c>
      <c r="JKR1" s="15" t="s">
        <v>7309</v>
      </c>
      <c r="JKS1" s="15" t="s">
        <v>7310</v>
      </c>
      <c r="JKT1" s="15" t="s">
        <v>7311</v>
      </c>
      <c r="JKU1" s="15" t="s">
        <v>7312</v>
      </c>
      <c r="JKV1" s="15" t="s">
        <v>7313</v>
      </c>
      <c r="JKW1" s="15" t="s">
        <v>7314</v>
      </c>
      <c r="JKX1" s="15" t="s">
        <v>7315</v>
      </c>
      <c r="JKY1" s="15" t="s">
        <v>7316</v>
      </c>
      <c r="JKZ1" s="15" t="s">
        <v>7317</v>
      </c>
      <c r="JLA1" s="15" t="s">
        <v>7318</v>
      </c>
      <c r="JLB1" s="15" t="s">
        <v>7319</v>
      </c>
      <c r="JLC1" s="15" t="s">
        <v>7320</v>
      </c>
      <c r="JLD1" s="15" t="s">
        <v>7321</v>
      </c>
      <c r="JLE1" s="15" t="s">
        <v>7322</v>
      </c>
      <c r="JLF1" s="15" t="s">
        <v>7323</v>
      </c>
      <c r="JLG1" s="15" t="s">
        <v>7324</v>
      </c>
      <c r="JLH1" s="15" t="s">
        <v>7325</v>
      </c>
      <c r="JLI1" s="15" t="s">
        <v>7326</v>
      </c>
      <c r="JLJ1" s="15" t="s">
        <v>7327</v>
      </c>
      <c r="JLK1" s="15" t="s">
        <v>7328</v>
      </c>
      <c r="JLL1" s="15" t="s">
        <v>7329</v>
      </c>
      <c r="JLM1" s="15" t="s">
        <v>7330</v>
      </c>
      <c r="JLN1" s="15" t="s">
        <v>7331</v>
      </c>
      <c r="JLO1" s="15" t="s">
        <v>7332</v>
      </c>
      <c r="JLP1" s="15" t="s">
        <v>7333</v>
      </c>
      <c r="JLQ1" s="15" t="s">
        <v>7334</v>
      </c>
      <c r="JLR1" s="15" t="s">
        <v>7335</v>
      </c>
      <c r="JLS1" s="15" t="s">
        <v>7336</v>
      </c>
      <c r="JLT1" s="15" t="s">
        <v>7337</v>
      </c>
      <c r="JLU1" s="15" t="s">
        <v>7338</v>
      </c>
      <c r="JLV1" s="15" t="s">
        <v>7339</v>
      </c>
      <c r="JLW1" s="15" t="s">
        <v>7340</v>
      </c>
      <c r="JLX1" s="15" t="s">
        <v>7341</v>
      </c>
      <c r="JLY1" s="15" t="s">
        <v>7342</v>
      </c>
      <c r="JLZ1" s="15" t="s">
        <v>7343</v>
      </c>
      <c r="JMA1" s="15" t="s">
        <v>7344</v>
      </c>
      <c r="JMB1" s="15" t="s">
        <v>7345</v>
      </c>
      <c r="JMC1" s="15" t="s">
        <v>7346</v>
      </c>
      <c r="JMD1" s="15" t="s">
        <v>7347</v>
      </c>
      <c r="JME1" s="15" t="s">
        <v>7348</v>
      </c>
      <c r="JMF1" s="15" t="s">
        <v>7349</v>
      </c>
      <c r="JMG1" s="15" t="s">
        <v>7350</v>
      </c>
      <c r="JMH1" s="15" t="s">
        <v>7351</v>
      </c>
      <c r="JMI1" s="15" t="s">
        <v>7352</v>
      </c>
      <c r="JMJ1" s="15" t="s">
        <v>7353</v>
      </c>
      <c r="JMK1" s="15" t="s">
        <v>7354</v>
      </c>
      <c r="JML1" s="15" t="s">
        <v>7355</v>
      </c>
      <c r="JMM1" s="15" t="s">
        <v>7356</v>
      </c>
      <c r="JMN1" s="15" t="s">
        <v>7357</v>
      </c>
      <c r="JMO1" s="15" t="s">
        <v>7358</v>
      </c>
      <c r="JMP1" s="15" t="s">
        <v>7359</v>
      </c>
      <c r="JMQ1" s="15" t="s">
        <v>7360</v>
      </c>
      <c r="JMR1" s="15" t="s">
        <v>7361</v>
      </c>
      <c r="JMS1" s="15" t="s">
        <v>7362</v>
      </c>
      <c r="JMT1" s="15" t="s">
        <v>7363</v>
      </c>
      <c r="JMU1" s="15" t="s">
        <v>7364</v>
      </c>
      <c r="JMV1" s="15" t="s">
        <v>7365</v>
      </c>
      <c r="JMW1" s="15" t="s">
        <v>7366</v>
      </c>
      <c r="JMX1" s="15" t="s">
        <v>7367</v>
      </c>
      <c r="JMY1" s="15" t="s">
        <v>7368</v>
      </c>
      <c r="JMZ1" s="15" t="s">
        <v>7369</v>
      </c>
      <c r="JNA1" s="15" t="s">
        <v>7370</v>
      </c>
      <c r="JNB1" s="15" t="s">
        <v>7371</v>
      </c>
      <c r="JNC1" s="15" t="s">
        <v>7372</v>
      </c>
      <c r="JND1" s="15" t="s">
        <v>7373</v>
      </c>
      <c r="JNE1" s="15" t="s">
        <v>7374</v>
      </c>
      <c r="JNF1" s="15" t="s">
        <v>7375</v>
      </c>
      <c r="JNG1" s="15" t="s">
        <v>7376</v>
      </c>
      <c r="JNH1" s="15" t="s">
        <v>7377</v>
      </c>
      <c r="JNI1" s="15" t="s">
        <v>7378</v>
      </c>
      <c r="JNJ1" s="15" t="s">
        <v>7379</v>
      </c>
      <c r="JNK1" s="15" t="s">
        <v>7380</v>
      </c>
      <c r="JNL1" s="15" t="s">
        <v>7381</v>
      </c>
      <c r="JNM1" s="15" t="s">
        <v>7382</v>
      </c>
      <c r="JNN1" s="15" t="s">
        <v>7383</v>
      </c>
      <c r="JNO1" s="15" t="s">
        <v>7384</v>
      </c>
      <c r="JNP1" s="15" t="s">
        <v>7385</v>
      </c>
      <c r="JNQ1" s="15" t="s">
        <v>7386</v>
      </c>
      <c r="JNR1" s="15" t="s">
        <v>7387</v>
      </c>
      <c r="JNS1" s="15" t="s">
        <v>7388</v>
      </c>
      <c r="JNT1" s="15" t="s">
        <v>7389</v>
      </c>
      <c r="JNU1" s="15" t="s">
        <v>7390</v>
      </c>
      <c r="JNV1" s="15" t="s">
        <v>7391</v>
      </c>
      <c r="JNW1" s="15" t="s">
        <v>7392</v>
      </c>
      <c r="JNX1" s="15" t="s">
        <v>7393</v>
      </c>
      <c r="JNY1" s="15" t="s">
        <v>7394</v>
      </c>
      <c r="JNZ1" s="15" t="s">
        <v>7395</v>
      </c>
      <c r="JOA1" s="15" t="s">
        <v>7396</v>
      </c>
      <c r="JOB1" s="15" t="s">
        <v>7397</v>
      </c>
      <c r="JOC1" s="15" t="s">
        <v>7398</v>
      </c>
      <c r="JOD1" s="15" t="s">
        <v>7399</v>
      </c>
      <c r="JOE1" s="15" t="s">
        <v>7400</v>
      </c>
      <c r="JOF1" s="15" t="s">
        <v>7401</v>
      </c>
      <c r="JOG1" s="15" t="s">
        <v>7402</v>
      </c>
      <c r="JOH1" s="15" t="s">
        <v>7403</v>
      </c>
      <c r="JOI1" s="15" t="s">
        <v>7404</v>
      </c>
      <c r="JOJ1" s="15" t="s">
        <v>7405</v>
      </c>
      <c r="JOK1" s="15" t="s">
        <v>7406</v>
      </c>
      <c r="JOL1" s="15" t="s">
        <v>7407</v>
      </c>
      <c r="JOM1" s="15" t="s">
        <v>7408</v>
      </c>
      <c r="JON1" s="15" t="s">
        <v>7409</v>
      </c>
      <c r="JOO1" s="15" t="s">
        <v>7410</v>
      </c>
      <c r="JOP1" s="15" t="s">
        <v>7411</v>
      </c>
      <c r="JOQ1" s="15" t="s">
        <v>7412</v>
      </c>
      <c r="JOR1" s="15" t="s">
        <v>7413</v>
      </c>
      <c r="JOS1" s="15" t="s">
        <v>7414</v>
      </c>
      <c r="JOT1" s="15" t="s">
        <v>7415</v>
      </c>
      <c r="JOU1" s="15" t="s">
        <v>7416</v>
      </c>
      <c r="JOV1" s="15" t="s">
        <v>7417</v>
      </c>
      <c r="JOW1" s="15" t="s">
        <v>7418</v>
      </c>
      <c r="JOX1" s="15" t="s">
        <v>7419</v>
      </c>
      <c r="JOY1" s="15" t="s">
        <v>7420</v>
      </c>
      <c r="JOZ1" s="15" t="s">
        <v>7421</v>
      </c>
      <c r="JPA1" s="15" t="s">
        <v>7422</v>
      </c>
      <c r="JPB1" s="15" t="s">
        <v>7423</v>
      </c>
      <c r="JPC1" s="15" t="s">
        <v>7424</v>
      </c>
      <c r="JPD1" s="15" t="s">
        <v>7425</v>
      </c>
      <c r="JPE1" s="15" t="s">
        <v>7426</v>
      </c>
      <c r="JPF1" s="15" t="s">
        <v>7427</v>
      </c>
      <c r="JPG1" s="15" t="s">
        <v>7428</v>
      </c>
      <c r="JPH1" s="15" t="s">
        <v>7429</v>
      </c>
      <c r="JPI1" s="15" t="s">
        <v>7430</v>
      </c>
      <c r="JPJ1" s="15" t="s">
        <v>7431</v>
      </c>
      <c r="JPK1" s="15" t="s">
        <v>7432</v>
      </c>
      <c r="JPL1" s="15" t="s">
        <v>7433</v>
      </c>
      <c r="JPM1" s="15" t="s">
        <v>7434</v>
      </c>
      <c r="JPN1" s="15" t="s">
        <v>7435</v>
      </c>
      <c r="JPO1" s="15" t="s">
        <v>7436</v>
      </c>
      <c r="JPP1" s="15" t="s">
        <v>7437</v>
      </c>
      <c r="JPQ1" s="15" t="s">
        <v>7438</v>
      </c>
      <c r="JPR1" s="15" t="s">
        <v>7439</v>
      </c>
      <c r="JPS1" s="15" t="s">
        <v>7440</v>
      </c>
      <c r="JPT1" s="15" t="s">
        <v>7441</v>
      </c>
      <c r="JPU1" s="15" t="s">
        <v>7442</v>
      </c>
      <c r="JPV1" s="15" t="s">
        <v>7443</v>
      </c>
      <c r="JPW1" s="15" t="s">
        <v>7444</v>
      </c>
      <c r="JPX1" s="15" t="s">
        <v>7445</v>
      </c>
      <c r="JPY1" s="15" t="s">
        <v>7446</v>
      </c>
      <c r="JPZ1" s="15" t="s">
        <v>7447</v>
      </c>
      <c r="JQA1" s="15" t="s">
        <v>7448</v>
      </c>
      <c r="JQB1" s="15" t="s">
        <v>7449</v>
      </c>
      <c r="JQC1" s="15" t="s">
        <v>7450</v>
      </c>
      <c r="JQD1" s="15" t="s">
        <v>7451</v>
      </c>
      <c r="JQE1" s="15" t="s">
        <v>7452</v>
      </c>
      <c r="JQF1" s="15" t="s">
        <v>7453</v>
      </c>
      <c r="JQG1" s="15" t="s">
        <v>7454</v>
      </c>
      <c r="JQH1" s="15" t="s">
        <v>7455</v>
      </c>
      <c r="JQI1" s="15" t="s">
        <v>7456</v>
      </c>
      <c r="JQJ1" s="15" t="s">
        <v>7457</v>
      </c>
      <c r="JQK1" s="15" t="s">
        <v>7458</v>
      </c>
      <c r="JQL1" s="15" t="s">
        <v>7459</v>
      </c>
      <c r="JQM1" s="15" t="s">
        <v>7460</v>
      </c>
      <c r="JQN1" s="15" t="s">
        <v>7461</v>
      </c>
      <c r="JQO1" s="15" t="s">
        <v>7462</v>
      </c>
      <c r="JQP1" s="15" t="s">
        <v>7463</v>
      </c>
      <c r="JQQ1" s="15" t="s">
        <v>7464</v>
      </c>
      <c r="JQR1" s="15" t="s">
        <v>7465</v>
      </c>
      <c r="JQS1" s="15" t="s">
        <v>7466</v>
      </c>
      <c r="JQT1" s="15" t="s">
        <v>7467</v>
      </c>
      <c r="JQU1" s="15" t="s">
        <v>7468</v>
      </c>
      <c r="JQV1" s="15" t="s">
        <v>7469</v>
      </c>
      <c r="JQW1" s="15" t="s">
        <v>7470</v>
      </c>
      <c r="JQX1" s="15" t="s">
        <v>7471</v>
      </c>
      <c r="JQY1" s="15" t="s">
        <v>7472</v>
      </c>
      <c r="JQZ1" s="15" t="s">
        <v>7473</v>
      </c>
      <c r="JRA1" s="15" t="s">
        <v>7474</v>
      </c>
      <c r="JRB1" s="15" t="s">
        <v>7475</v>
      </c>
      <c r="JRC1" s="15" t="s">
        <v>7476</v>
      </c>
      <c r="JRD1" s="15" t="s">
        <v>7477</v>
      </c>
      <c r="JRE1" s="15" t="s">
        <v>7478</v>
      </c>
      <c r="JRF1" s="15" t="s">
        <v>7479</v>
      </c>
      <c r="JRG1" s="15" t="s">
        <v>7480</v>
      </c>
      <c r="JRH1" s="15" t="s">
        <v>7481</v>
      </c>
      <c r="JRI1" s="15" t="s">
        <v>7482</v>
      </c>
      <c r="JRJ1" s="15" t="s">
        <v>7483</v>
      </c>
      <c r="JRK1" s="15" t="s">
        <v>7484</v>
      </c>
      <c r="JRL1" s="15" t="s">
        <v>7485</v>
      </c>
      <c r="JRM1" s="15" t="s">
        <v>7486</v>
      </c>
      <c r="JRN1" s="15" t="s">
        <v>7487</v>
      </c>
      <c r="JRO1" s="15" t="s">
        <v>7488</v>
      </c>
      <c r="JRP1" s="15" t="s">
        <v>7489</v>
      </c>
      <c r="JRQ1" s="15" t="s">
        <v>7490</v>
      </c>
      <c r="JRR1" s="15" t="s">
        <v>7491</v>
      </c>
      <c r="JRS1" s="15" t="s">
        <v>7492</v>
      </c>
      <c r="JRT1" s="15" t="s">
        <v>7493</v>
      </c>
      <c r="JRU1" s="15" t="s">
        <v>7494</v>
      </c>
      <c r="JRV1" s="15" t="s">
        <v>7495</v>
      </c>
      <c r="JRW1" s="15" t="s">
        <v>7496</v>
      </c>
      <c r="JRX1" s="15" t="s">
        <v>7497</v>
      </c>
      <c r="JRY1" s="15" t="s">
        <v>7498</v>
      </c>
      <c r="JRZ1" s="15" t="s">
        <v>7499</v>
      </c>
      <c r="JSA1" s="15" t="s">
        <v>7500</v>
      </c>
      <c r="JSB1" s="15" t="s">
        <v>7501</v>
      </c>
      <c r="JSC1" s="15" t="s">
        <v>7502</v>
      </c>
      <c r="JSD1" s="15" t="s">
        <v>7503</v>
      </c>
      <c r="JSE1" s="15" t="s">
        <v>7504</v>
      </c>
      <c r="JSF1" s="15" t="s">
        <v>7505</v>
      </c>
      <c r="JSG1" s="15" t="s">
        <v>7506</v>
      </c>
      <c r="JSH1" s="15" t="s">
        <v>7507</v>
      </c>
      <c r="JSI1" s="15" t="s">
        <v>7508</v>
      </c>
      <c r="JSJ1" s="15" t="s">
        <v>7509</v>
      </c>
      <c r="JSK1" s="15" t="s">
        <v>7510</v>
      </c>
      <c r="JSL1" s="15" t="s">
        <v>7511</v>
      </c>
      <c r="JSM1" s="15" t="s">
        <v>7512</v>
      </c>
      <c r="JSN1" s="15" t="s">
        <v>7513</v>
      </c>
      <c r="JSO1" s="15" t="s">
        <v>7514</v>
      </c>
      <c r="JSP1" s="15" t="s">
        <v>7515</v>
      </c>
      <c r="JSQ1" s="15" t="s">
        <v>7516</v>
      </c>
      <c r="JSR1" s="15" t="s">
        <v>7517</v>
      </c>
      <c r="JSS1" s="15" t="s">
        <v>7518</v>
      </c>
      <c r="JST1" s="15" t="s">
        <v>7519</v>
      </c>
      <c r="JSU1" s="15" t="s">
        <v>7520</v>
      </c>
      <c r="JSV1" s="15" t="s">
        <v>7521</v>
      </c>
      <c r="JSW1" s="15" t="s">
        <v>7522</v>
      </c>
      <c r="JSX1" s="15" t="s">
        <v>7523</v>
      </c>
      <c r="JSY1" s="15" t="s">
        <v>7524</v>
      </c>
      <c r="JSZ1" s="15" t="s">
        <v>7525</v>
      </c>
      <c r="JTA1" s="15" t="s">
        <v>7526</v>
      </c>
      <c r="JTB1" s="15" t="s">
        <v>7527</v>
      </c>
      <c r="JTC1" s="15" t="s">
        <v>7528</v>
      </c>
      <c r="JTD1" s="15" t="s">
        <v>7529</v>
      </c>
      <c r="JTE1" s="15" t="s">
        <v>7530</v>
      </c>
      <c r="JTF1" s="15" t="s">
        <v>7531</v>
      </c>
      <c r="JTG1" s="15" t="s">
        <v>7532</v>
      </c>
      <c r="JTH1" s="15" t="s">
        <v>7533</v>
      </c>
      <c r="JTI1" s="15" t="s">
        <v>7534</v>
      </c>
      <c r="JTJ1" s="15" t="s">
        <v>7535</v>
      </c>
      <c r="JTK1" s="15" t="s">
        <v>7536</v>
      </c>
      <c r="JTL1" s="15" t="s">
        <v>7537</v>
      </c>
      <c r="JTM1" s="15" t="s">
        <v>7538</v>
      </c>
      <c r="JTN1" s="15" t="s">
        <v>7539</v>
      </c>
      <c r="JTO1" s="15" t="s">
        <v>7540</v>
      </c>
      <c r="JTP1" s="15" t="s">
        <v>7541</v>
      </c>
      <c r="JTQ1" s="15" t="s">
        <v>7542</v>
      </c>
      <c r="JTR1" s="15" t="s">
        <v>7543</v>
      </c>
      <c r="JTS1" s="15" t="s">
        <v>7544</v>
      </c>
      <c r="JTT1" s="15" t="s">
        <v>7545</v>
      </c>
      <c r="JTU1" s="15" t="s">
        <v>7546</v>
      </c>
      <c r="JTV1" s="15" t="s">
        <v>7547</v>
      </c>
      <c r="JTW1" s="15" t="s">
        <v>7548</v>
      </c>
      <c r="JTX1" s="15" t="s">
        <v>7549</v>
      </c>
      <c r="JTY1" s="15" t="s">
        <v>7550</v>
      </c>
      <c r="JTZ1" s="15" t="s">
        <v>7551</v>
      </c>
      <c r="JUA1" s="15" t="s">
        <v>7552</v>
      </c>
      <c r="JUB1" s="15" t="s">
        <v>7553</v>
      </c>
      <c r="JUC1" s="15" t="s">
        <v>7554</v>
      </c>
      <c r="JUD1" s="15" t="s">
        <v>7555</v>
      </c>
      <c r="JUE1" s="15" t="s">
        <v>7556</v>
      </c>
      <c r="JUF1" s="15" t="s">
        <v>7557</v>
      </c>
      <c r="JUG1" s="15" t="s">
        <v>7558</v>
      </c>
      <c r="JUH1" s="15" t="s">
        <v>7559</v>
      </c>
      <c r="JUI1" s="15" t="s">
        <v>7560</v>
      </c>
      <c r="JUJ1" s="15" t="s">
        <v>7561</v>
      </c>
      <c r="JUK1" s="15" t="s">
        <v>7562</v>
      </c>
      <c r="JUL1" s="15" t="s">
        <v>7563</v>
      </c>
      <c r="JUM1" s="15" t="s">
        <v>7564</v>
      </c>
      <c r="JUN1" s="15" t="s">
        <v>7565</v>
      </c>
      <c r="JUO1" s="15" t="s">
        <v>7566</v>
      </c>
      <c r="JUP1" s="15" t="s">
        <v>7567</v>
      </c>
      <c r="JUQ1" s="15" t="s">
        <v>7568</v>
      </c>
      <c r="JUR1" s="15" t="s">
        <v>7569</v>
      </c>
      <c r="JUS1" s="15" t="s">
        <v>7570</v>
      </c>
      <c r="JUT1" s="15" t="s">
        <v>7571</v>
      </c>
      <c r="JUU1" s="15" t="s">
        <v>7572</v>
      </c>
      <c r="JUV1" s="15" t="s">
        <v>7573</v>
      </c>
      <c r="JUW1" s="15" t="s">
        <v>7574</v>
      </c>
      <c r="JUX1" s="15" t="s">
        <v>7575</v>
      </c>
      <c r="JUY1" s="15" t="s">
        <v>7576</v>
      </c>
      <c r="JUZ1" s="15" t="s">
        <v>7577</v>
      </c>
      <c r="JVA1" s="15" t="s">
        <v>7578</v>
      </c>
      <c r="JVB1" s="15" t="s">
        <v>7579</v>
      </c>
      <c r="JVC1" s="15" t="s">
        <v>7580</v>
      </c>
      <c r="JVD1" s="15" t="s">
        <v>7581</v>
      </c>
      <c r="JVE1" s="15" t="s">
        <v>7582</v>
      </c>
      <c r="JVF1" s="15" t="s">
        <v>7583</v>
      </c>
      <c r="JVG1" s="15" t="s">
        <v>7584</v>
      </c>
      <c r="JVH1" s="15" t="s">
        <v>7585</v>
      </c>
      <c r="JVI1" s="15" t="s">
        <v>7586</v>
      </c>
      <c r="JVJ1" s="15" t="s">
        <v>7587</v>
      </c>
      <c r="JVK1" s="15" t="s">
        <v>7588</v>
      </c>
      <c r="JVL1" s="15" t="s">
        <v>7589</v>
      </c>
      <c r="JVM1" s="15" t="s">
        <v>7590</v>
      </c>
      <c r="JVN1" s="15" t="s">
        <v>7591</v>
      </c>
      <c r="JVO1" s="15" t="s">
        <v>7592</v>
      </c>
      <c r="JVP1" s="15" t="s">
        <v>7593</v>
      </c>
      <c r="JVQ1" s="15" t="s">
        <v>7594</v>
      </c>
      <c r="JVR1" s="15" t="s">
        <v>7595</v>
      </c>
      <c r="JVS1" s="15" t="s">
        <v>7596</v>
      </c>
      <c r="JVT1" s="15" t="s">
        <v>7597</v>
      </c>
      <c r="JVU1" s="15" t="s">
        <v>7598</v>
      </c>
      <c r="JVV1" s="15" t="s">
        <v>7599</v>
      </c>
      <c r="JVW1" s="15" t="s">
        <v>7600</v>
      </c>
      <c r="JVX1" s="15" t="s">
        <v>7601</v>
      </c>
      <c r="JVY1" s="15" t="s">
        <v>7602</v>
      </c>
      <c r="JVZ1" s="15" t="s">
        <v>7603</v>
      </c>
      <c r="JWA1" s="15" t="s">
        <v>7604</v>
      </c>
      <c r="JWB1" s="15" t="s">
        <v>7605</v>
      </c>
      <c r="JWC1" s="15" t="s">
        <v>7606</v>
      </c>
      <c r="JWD1" s="15" t="s">
        <v>7607</v>
      </c>
      <c r="JWE1" s="15" t="s">
        <v>7608</v>
      </c>
      <c r="JWF1" s="15" t="s">
        <v>7609</v>
      </c>
      <c r="JWG1" s="15" t="s">
        <v>7610</v>
      </c>
      <c r="JWH1" s="15" t="s">
        <v>7611</v>
      </c>
      <c r="JWI1" s="15" t="s">
        <v>7612</v>
      </c>
      <c r="JWJ1" s="15" t="s">
        <v>7613</v>
      </c>
      <c r="JWK1" s="15" t="s">
        <v>7614</v>
      </c>
      <c r="JWL1" s="15" t="s">
        <v>7615</v>
      </c>
      <c r="JWM1" s="15" t="s">
        <v>7616</v>
      </c>
      <c r="JWN1" s="15" t="s">
        <v>7617</v>
      </c>
      <c r="JWO1" s="15" t="s">
        <v>7618</v>
      </c>
      <c r="JWP1" s="15" t="s">
        <v>7619</v>
      </c>
      <c r="JWQ1" s="15" t="s">
        <v>7620</v>
      </c>
      <c r="JWR1" s="15" t="s">
        <v>7621</v>
      </c>
      <c r="JWS1" s="15" t="s">
        <v>7622</v>
      </c>
      <c r="JWT1" s="15" t="s">
        <v>7623</v>
      </c>
      <c r="JWU1" s="15" t="s">
        <v>7624</v>
      </c>
      <c r="JWV1" s="15" t="s">
        <v>7625</v>
      </c>
      <c r="JWW1" s="15" t="s">
        <v>7626</v>
      </c>
      <c r="JWX1" s="15" t="s">
        <v>7627</v>
      </c>
      <c r="JWY1" s="15" t="s">
        <v>7628</v>
      </c>
      <c r="JWZ1" s="15" t="s">
        <v>7629</v>
      </c>
      <c r="JXA1" s="15" t="s">
        <v>7630</v>
      </c>
      <c r="JXB1" s="15" t="s">
        <v>7631</v>
      </c>
      <c r="JXC1" s="15" t="s">
        <v>7632</v>
      </c>
      <c r="JXD1" s="15" t="s">
        <v>7633</v>
      </c>
      <c r="JXE1" s="15" t="s">
        <v>7634</v>
      </c>
      <c r="JXF1" s="15" t="s">
        <v>7635</v>
      </c>
      <c r="JXG1" s="15" t="s">
        <v>7636</v>
      </c>
      <c r="JXH1" s="15" t="s">
        <v>7637</v>
      </c>
      <c r="JXI1" s="15" t="s">
        <v>7638</v>
      </c>
      <c r="JXJ1" s="15" t="s">
        <v>7639</v>
      </c>
      <c r="JXK1" s="15" t="s">
        <v>7640</v>
      </c>
      <c r="JXL1" s="15" t="s">
        <v>7641</v>
      </c>
      <c r="JXM1" s="15" t="s">
        <v>7642</v>
      </c>
      <c r="JXN1" s="15" t="s">
        <v>7643</v>
      </c>
      <c r="JXO1" s="15" t="s">
        <v>7644</v>
      </c>
      <c r="JXP1" s="15" t="s">
        <v>7645</v>
      </c>
      <c r="JXQ1" s="15" t="s">
        <v>7646</v>
      </c>
      <c r="JXR1" s="15" t="s">
        <v>7647</v>
      </c>
      <c r="JXS1" s="15" t="s">
        <v>7648</v>
      </c>
      <c r="JXT1" s="15" t="s">
        <v>7649</v>
      </c>
      <c r="JXU1" s="15" t="s">
        <v>7650</v>
      </c>
      <c r="JXV1" s="15" t="s">
        <v>7651</v>
      </c>
      <c r="JXW1" s="15" t="s">
        <v>7652</v>
      </c>
      <c r="JXX1" s="15" t="s">
        <v>7653</v>
      </c>
      <c r="JXY1" s="15" t="s">
        <v>7654</v>
      </c>
      <c r="JXZ1" s="15" t="s">
        <v>7655</v>
      </c>
      <c r="JYA1" s="15" t="s">
        <v>7656</v>
      </c>
      <c r="JYB1" s="15" t="s">
        <v>7657</v>
      </c>
      <c r="JYC1" s="15" t="s">
        <v>7658</v>
      </c>
      <c r="JYD1" s="15" t="s">
        <v>7659</v>
      </c>
      <c r="JYE1" s="15" t="s">
        <v>7660</v>
      </c>
      <c r="JYF1" s="15" t="s">
        <v>7661</v>
      </c>
      <c r="JYG1" s="15" t="s">
        <v>7662</v>
      </c>
      <c r="JYH1" s="15" t="s">
        <v>7663</v>
      </c>
      <c r="JYI1" s="15" t="s">
        <v>7664</v>
      </c>
      <c r="JYJ1" s="15" t="s">
        <v>7665</v>
      </c>
      <c r="JYK1" s="15" t="s">
        <v>7666</v>
      </c>
      <c r="JYL1" s="15" t="s">
        <v>7667</v>
      </c>
      <c r="JYM1" s="15" t="s">
        <v>7668</v>
      </c>
      <c r="JYN1" s="15" t="s">
        <v>7669</v>
      </c>
      <c r="JYO1" s="15" t="s">
        <v>7670</v>
      </c>
      <c r="JYP1" s="15" t="s">
        <v>7671</v>
      </c>
      <c r="JYQ1" s="15" t="s">
        <v>7672</v>
      </c>
      <c r="JYR1" s="15" t="s">
        <v>7673</v>
      </c>
      <c r="JYS1" s="15" t="s">
        <v>7674</v>
      </c>
      <c r="JYT1" s="15" t="s">
        <v>7675</v>
      </c>
      <c r="JYU1" s="15" t="s">
        <v>7676</v>
      </c>
      <c r="JYV1" s="15" t="s">
        <v>7677</v>
      </c>
      <c r="JYW1" s="15" t="s">
        <v>7678</v>
      </c>
      <c r="JYX1" s="15" t="s">
        <v>7679</v>
      </c>
      <c r="JYY1" s="15" t="s">
        <v>7680</v>
      </c>
      <c r="JYZ1" s="15" t="s">
        <v>7681</v>
      </c>
      <c r="JZA1" s="15" t="s">
        <v>7682</v>
      </c>
      <c r="JZB1" s="15" t="s">
        <v>7683</v>
      </c>
      <c r="JZC1" s="15" t="s">
        <v>7684</v>
      </c>
      <c r="JZD1" s="15" t="s">
        <v>7685</v>
      </c>
      <c r="JZE1" s="15" t="s">
        <v>7686</v>
      </c>
      <c r="JZF1" s="15" t="s">
        <v>7687</v>
      </c>
      <c r="JZG1" s="15" t="s">
        <v>7688</v>
      </c>
      <c r="JZH1" s="15" t="s">
        <v>7689</v>
      </c>
      <c r="JZI1" s="15" t="s">
        <v>7690</v>
      </c>
      <c r="JZJ1" s="15" t="s">
        <v>7691</v>
      </c>
      <c r="JZK1" s="15" t="s">
        <v>7692</v>
      </c>
      <c r="JZL1" s="15" t="s">
        <v>7693</v>
      </c>
      <c r="JZM1" s="15" t="s">
        <v>7694</v>
      </c>
      <c r="JZN1" s="15" t="s">
        <v>7695</v>
      </c>
      <c r="JZO1" s="15" t="s">
        <v>7696</v>
      </c>
      <c r="JZP1" s="15" t="s">
        <v>7697</v>
      </c>
      <c r="JZQ1" s="15" t="s">
        <v>7698</v>
      </c>
      <c r="JZR1" s="15" t="s">
        <v>7699</v>
      </c>
      <c r="JZS1" s="15" t="s">
        <v>7700</v>
      </c>
      <c r="JZT1" s="15" t="s">
        <v>7701</v>
      </c>
      <c r="JZU1" s="15" t="s">
        <v>7702</v>
      </c>
      <c r="JZV1" s="15" t="s">
        <v>7703</v>
      </c>
      <c r="JZW1" s="15" t="s">
        <v>7704</v>
      </c>
      <c r="JZX1" s="15" t="s">
        <v>7705</v>
      </c>
      <c r="JZY1" s="15" t="s">
        <v>7706</v>
      </c>
      <c r="JZZ1" s="15" t="s">
        <v>7707</v>
      </c>
      <c r="KAA1" s="15" t="s">
        <v>7708</v>
      </c>
      <c r="KAB1" s="15" t="s">
        <v>7709</v>
      </c>
      <c r="KAC1" s="15" t="s">
        <v>7710</v>
      </c>
      <c r="KAD1" s="15" t="s">
        <v>7711</v>
      </c>
      <c r="KAE1" s="15" t="s">
        <v>7712</v>
      </c>
      <c r="KAF1" s="15" t="s">
        <v>7713</v>
      </c>
      <c r="KAG1" s="15" t="s">
        <v>7714</v>
      </c>
      <c r="KAH1" s="15" t="s">
        <v>7715</v>
      </c>
      <c r="KAI1" s="15" t="s">
        <v>7716</v>
      </c>
      <c r="KAJ1" s="15" t="s">
        <v>7717</v>
      </c>
      <c r="KAK1" s="15" t="s">
        <v>7718</v>
      </c>
      <c r="KAL1" s="15" t="s">
        <v>7719</v>
      </c>
      <c r="KAM1" s="15" t="s">
        <v>7720</v>
      </c>
      <c r="KAN1" s="15" t="s">
        <v>7721</v>
      </c>
      <c r="KAO1" s="15" t="s">
        <v>7722</v>
      </c>
      <c r="KAP1" s="15" t="s">
        <v>7723</v>
      </c>
      <c r="KAQ1" s="15" t="s">
        <v>7724</v>
      </c>
      <c r="KAR1" s="15" t="s">
        <v>7725</v>
      </c>
      <c r="KAS1" s="15" t="s">
        <v>7726</v>
      </c>
      <c r="KAT1" s="15" t="s">
        <v>7727</v>
      </c>
      <c r="KAU1" s="15" t="s">
        <v>7728</v>
      </c>
      <c r="KAV1" s="15" t="s">
        <v>7729</v>
      </c>
      <c r="KAW1" s="15" t="s">
        <v>7730</v>
      </c>
      <c r="KAX1" s="15" t="s">
        <v>7731</v>
      </c>
      <c r="KAY1" s="15" t="s">
        <v>7732</v>
      </c>
      <c r="KAZ1" s="15" t="s">
        <v>7733</v>
      </c>
      <c r="KBA1" s="15" t="s">
        <v>7734</v>
      </c>
      <c r="KBB1" s="15" t="s">
        <v>7735</v>
      </c>
      <c r="KBC1" s="15" t="s">
        <v>7736</v>
      </c>
      <c r="KBD1" s="15" t="s">
        <v>7737</v>
      </c>
      <c r="KBE1" s="15" t="s">
        <v>7738</v>
      </c>
      <c r="KBF1" s="15" t="s">
        <v>7739</v>
      </c>
      <c r="KBG1" s="15" t="s">
        <v>7740</v>
      </c>
      <c r="KBH1" s="15" t="s">
        <v>7741</v>
      </c>
      <c r="KBI1" s="15" t="s">
        <v>7742</v>
      </c>
      <c r="KBJ1" s="15" t="s">
        <v>7743</v>
      </c>
      <c r="KBK1" s="15" t="s">
        <v>7744</v>
      </c>
      <c r="KBL1" s="15" t="s">
        <v>7745</v>
      </c>
      <c r="KBM1" s="15" t="s">
        <v>7746</v>
      </c>
      <c r="KBN1" s="15" t="s">
        <v>7747</v>
      </c>
      <c r="KBO1" s="15" t="s">
        <v>7748</v>
      </c>
      <c r="KBP1" s="15" t="s">
        <v>7749</v>
      </c>
      <c r="KBQ1" s="15" t="s">
        <v>7750</v>
      </c>
      <c r="KBR1" s="15" t="s">
        <v>7751</v>
      </c>
      <c r="KBS1" s="15" t="s">
        <v>7752</v>
      </c>
      <c r="KBT1" s="15" t="s">
        <v>7753</v>
      </c>
      <c r="KBU1" s="15" t="s">
        <v>7754</v>
      </c>
      <c r="KBV1" s="15" t="s">
        <v>7755</v>
      </c>
      <c r="KBW1" s="15" t="s">
        <v>7756</v>
      </c>
      <c r="KBX1" s="15" t="s">
        <v>7757</v>
      </c>
      <c r="KBY1" s="15" t="s">
        <v>7758</v>
      </c>
      <c r="KBZ1" s="15" t="s">
        <v>7759</v>
      </c>
      <c r="KCA1" s="15" t="s">
        <v>7760</v>
      </c>
      <c r="KCB1" s="15" t="s">
        <v>7761</v>
      </c>
      <c r="KCC1" s="15" t="s">
        <v>7762</v>
      </c>
      <c r="KCD1" s="15" t="s">
        <v>7763</v>
      </c>
      <c r="KCE1" s="15" t="s">
        <v>7764</v>
      </c>
      <c r="KCF1" s="15" t="s">
        <v>7765</v>
      </c>
      <c r="KCG1" s="15" t="s">
        <v>7766</v>
      </c>
      <c r="KCH1" s="15" t="s">
        <v>7767</v>
      </c>
      <c r="KCI1" s="15" t="s">
        <v>7768</v>
      </c>
      <c r="KCJ1" s="15" t="s">
        <v>7769</v>
      </c>
      <c r="KCK1" s="15" t="s">
        <v>7770</v>
      </c>
      <c r="KCL1" s="15" t="s">
        <v>7771</v>
      </c>
      <c r="KCM1" s="15" t="s">
        <v>7772</v>
      </c>
      <c r="KCN1" s="15" t="s">
        <v>7773</v>
      </c>
      <c r="KCO1" s="15" t="s">
        <v>7774</v>
      </c>
      <c r="KCP1" s="15" t="s">
        <v>7775</v>
      </c>
      <c r="KCQ1" s="15" t="s">
        <v>7776</v>
      </c>
      <c r="KCR1" s="15" t="s">
        <v>7777</v>
      </c>
      <c r="KCS1" s="15" t="s">
        <v>7778</v>
      </c>
      <c r="KCT1" s="15" t="s">
        <v>7779</v>
      </c>
      <c r="KCU1" s="15" t="s">
        <v>7780</v>
      </c>
      <c r="KCV1" s="15" t="s">
        <v>7781</v>
      </c>
      <c r="KCW1" s="15" t="s">
        <v>7782</v>
      </c>
      <c r="KCX1" s="15" t="s">
        <v>7783</v>
      </c>
      <c r="KCY1" s="15" t="s">
        <v>7784</v>
      </c>
      <c r="KCZ1" s="15" t="s">
        <v>7785</v>
      </c>
      <c r="KDA1" s="15" t="s">
        <v>7786</v>
      </c>
      <c r="KDB1" s="15" t="s">
        <v>7787</v>
      </c>
      <c r="KDC1" s="15" t="s">
        <v>7788</v>
      </c>
      <c r="KDD1" s="15" t="s">
        <v>7789</v>
      </c>
      <c r="KDE1" s="15" t="s">
        <v>7790</v>
      </c>
      <c r="KDF1" s="15" t="s">
        <v>7791</v>
      </c>
      <c r="KDG1" s="15" t="s">
        <v>7792</v>
      </c>
      <c r="KDH1" s="15" t="s">
        <v>7793</v>
      </c>
      <c r="KDI1" s="15" t="s">
        <v>7794</v>
      </c>
      <c r="KDJ1" s="15" t="s">
        <v>7795</v>
      </c>
      <c r="KDK1" s="15" t="s">
        <v>7796</v>
      </c>
      <c r="KDL1" s="15" t="s">
        <v>7797</v>
      </c>
      <c r="KDM1" s="15" t="s">
        <v>7798</v>
      </c>
      <c r="KDN1" s="15" t="s">
        <v>7799</v>
      </c>
      <c r="KDO1" s="15" t="s">
        <v>7800</v>
      </c>
      <c r="KDP1" s="15" t="s">
        <v>7801</v>
      </c>
      <c r="KDQ1" s="15" t="s">
        <v>7802</v>
      </c>
      <c r="KDR1" s="15" t="s">
        <v>7803</v>
      </c>
      <c r="KDS1" s="15" t="s">
        <v>7804</v>
      </c>
      <c r="KDT1" s="15" t="s">
        <v>7805</v>
      </c>
      <c r="KDU1" s="15" t="s">
        <v>7806</v>
      </c>
      <c r="KDV1" s="15" t="s">
        <v>7807</v>
      </c>
      <c r="KDW1" s="15" t="s">
        <v>7808</v>
      </c>
      <c r="KDX1" s="15" t="s">
        <v>7809</v>
      </c>
      <c r="KDY1" s="15" t="s">
        <v>7810</v>
      </c>
      <c r="KDZ1" s="15" t="s">
        <v>7811</v>
      </c>
      <c r="KEA1" s="15" t="s">
        <v>7812</v>
      </c>
      <c r="KEB1" s="15" t="s">
        <v>7813</v>
      </c>
      <c r="KEC1" s="15" t="s">
        <v>7814</v>
      </c>
      <c r="KED1" s="15" t="s">
        <v>7815</v>
      </c>
      <c r="KEE1" s="15" t="s">
        <v>7816</v>
      </c>
      <c r="KEF1" s="15" t="s">
        <v>7817</v>
      </c>
      <c r="KEG1" s="15" t="s">
        <v>7818</v>
      </c>
      <c r="KEH1" s="15" t="s">
        <v>7819</v>
      </c>
      <c r="KEI1" s="15" t="s">
        <v>7820</v>
      </c>
      <c r="KEJ1" s="15" t="s">
        <v>7821</v>
      </c>
      <c r="KEK1" s="15" t="s">
        <v>7822</v>
      </c>
      <c r="KEL1" s="15" t="s">
        <v>7823</v>
      </c>
      <c r="KEM1" s="15" t="s">
        <v>7824</v>
      </c>
      <c r="KEN1" s="15" t="s">
        <v>7825</v>
      </c>
      <c r="KEO1" s="15" t="s">
        <v>7826</v>
      </c>
      <c r="KEP1" s="15" t="s">
        <v>7827</v>
      </c>
      <c r="KEQ1" s="15" t="s">
        <v>7828</v>
      </c>
      <c r="KER1" s="15" t="s">
        <v>7829</v>
      </c>
      <c r="KES1" s="15" t="s">
        <v>7830</v>
      </c>
      <c r="KET1" s="15" t="s">
        <v>7831</v>
      </c>
      <c r="KEU1" s="15" t="s">
        <v>7832</v>
      </c>
      <c r="KEV1" s="15" t="s">
        <v>7833</v>
      </c>
      <c r="KEW1" s="15" t="s">
        <v>7834</v>
      </c>
      <c r="KEX1" s="15" t="s">
        <v>7835</v>
      </c>
      <c r="KEY1" s="15" t="s">
        <v>7836</v>
      </c>
      <c r="KEZ1" s="15" t="s">
        <v>7837</v>
      </c>
      <c r="KFA1" s="15" t="s">
        <v>7838</v>
      </c>
      <c r="KFB1" s="15" t="s">
        <v>7839</v>
      </c>
      <c r="KFC1" s="15" t="s">
        <v>7840</v>
      </c>
      <c r="KFD1" s="15" t="s">
        <v>7841</v>
      </c>
      <c r="KFE1" s="15" t="s">
        <v>7842</v>
      </c>
      <c r="KFF1" s="15" t="s">
        <v>7843</v>
      </c>
      <c r="KFG1" s="15" t="s">
        <v>7844</v>
      </c>
      <c r="KFH1" s="15" t="s">
        <v>7845</v>
      </c>
      <c r="KFI1" s="15" t="s">
        <v>7846</v>
      </c>
      <c r="KFJ1" s="15" t="s">
        <v>7847</v>
      </c>
      <c r="KFK1" s="15" t="s">
        <v>7848</v>
      </c>
      <c r="KFL1" s="15" t="s">
        <v>7849</v>
      </c>
      <c r="KFM1" s="15" t="s">
        <v>7850</v>
      </c>
      <c r="KFN1" s="15" t="s">
        <v>7851</v>
      </c>
      <c r="KFO1" s="15" t="s">
        <v>7852</v>
      </c>
      <c r="KFP1" s="15" t="s">
        <v>7853</v>
      </c>
      <c r="KFQ1" s="15" t="s">
        <v>7854</v>
      </c>
      <c r="KFR1" s="15" t="s">
        <v>7855</v>
      </c>
      <c r="KFS1" s="15" t="s">
        <v>7856</v>
      </c>
      <c r="KFT1" s="15" t="s">
        <v>7857</v>
      </c>
      <c r="KFU1" s="15" t="s">
        <v>7858</v>
      </c>
      <c r="KFV1" s="15" t="s">
        <v>7859</v>
      </c>
      <c r="KFW1" s="15" t="s">
        <v>7860</v>
      </c>
      <c r="KFX1" s="15" t="s">
        <v>7861</v>
      </c>
      <c r="KFY1" s="15" t="s">
        <v>7862</v>
      </c>
      <c r="KFZ1" s="15" t="s">
        <v>7863</v>
      </c>
      <c r="KGA1" s="15" t="s">
        <v>7864</v>
      </c>
      <c r="KGB1" s="15" t="s">
        <v>7865</v>
      </c>
      <c r="KGC1" s="15" t="s">
        <v>7866</v>
      </c>
      <c r="KGD1" s="15" t="s">
        <v>7867</v>
      </c>
      <c r="KGE1" s="15" t="s">
        <v>7868</v>
      </c>
      <c r="KGF1" s="15" t="s">
        <v>7869</v>
      </c>
      <c r="KGG1" s="15" t="s">
        <v>7870</v>
      </c>
      <c r="KGH1" s="15" t="s">
        <v>7871</v>
      </c>
      <c r="KGI1" s="15" t="s">
        <v>7872</v>
      </c>
      <c r="KGJ1" s="15" t="s">
        <v>7873</v>
      </c>
      <c r="KGK1" s="15" t="s">
        <v>7874</v>
      </c>
      <c r="KGL1" s="15" t="s">
        <v>7875</v>
      </c>
      <c r="KGM1" s="15" t="s">
        <v>7876</v>
      </c>
      <c r="KGN1" s="15" t="s">
        <v>7877</v>
      </c>
      <c r="KGO1" s="15" t="s">
        <v>7878</v>
      </c>
      <c r="KGP1" s="15" t="s">
        <v>7879</v>
      </c>
      <c r="KGQ1" s="15" t="s">
        <v>7880</v>
      </c>
      <c r="KGR1" s="15" t="s">
        <v>7881</v>
      </c>
      <c r="KGS1" s="15" t="s">
        <v>7882</v>
      </c>
      <c r="KGT1" s="15" t="s">
        <v>7883</v>
      </c>
      <c r="KGU1" s="15" t="s">
        <v>7884</v>
      </c>
      <c r="KGV1" s="15" t="s">
        <v>7885</v>
      </c>
      <c r="KGW1" s="15" t="s">
        <v>7886</v>
      </c>
      <c r="KGX1" s="15" t="s">
        <v>7887</v>
      </c>
      <c r="KGY1" s="15" t="s">
        <v>7888</v>
      </c>
      <c r="KGZ1" s="15" t="s">
        <v>7889</v>
      </c>
      <c r="KHA1" s="15" t="s">
        <v>7890</v>
      </c>
      <c r="KHB1" s="15" t="s">
        <v>7891</v>
      </c>
      <c r="KHC1" s="15" t="s">
        <v>7892</v>
      </c>
      <c r="KHD1" s="15" t="s">
        <v>7893</v>
      </c>
      <c r="KHE1" s="15" t="s">
        <v>7894</v>
      </c>
      <c r="KHF1" s="15" t="s">
        <v>7895</v>
      </c>
      <c r="KHG1" s="15" t="s">
        <v>7896</v>
      </c>
      <c r="KHH1" s="15" t="s">
        <v>7897</v>
      </c>
      <c r="KHI1" s="15" t="s">
        <v>7898</v>
      </c>
      <c r="KHJ1" s="15" t="s">
        <v>7899</v>
      </c>
      <c r="KHK1" s="15" t="s">
        <v>7900</v>
      </c>
      <c r="KHL1" s="15" t="s">
        <v>7901</v>
      </c>
      <c r="KHM1" s="15" t="s">
        <v>7902</v>
      </c>
      <c r="KHN1" s="15" t="s">
        <v>7903</v>
      </c>
      <c r="KHO1" s="15" t="s">
        <v>7904</v>
      </c>
      <c r="KHP1" s="15" t="s">
        <v>7905</v>
      </c>
      <c r="KHQ1" s="15" t="s">
        <v>7906</v>
      </c>
      <c r="KHR1" s="15" t="s">
        <v>7907</v>
      </c>
      <c r="KHS1" s="15" t="s">
        <v>7908</v>
      </c>
      <c r="KHT1" s="15" t="s">
        <v>7909</v>
      </c>
      <c r="KHU1" s="15" t="s">
        <v>7910</v>
      </c>
      <c r="KHV1" s="15" t="s">
        <v>7911</v>
      </c>
      <c r="KHW1" s="15" t="s">
        <v>7912</v>
      </c>
      <c r="KHX1" s="15" t="s">
        <v>7913</v>
      </c>
      <c r="KHY1" s="15" t="s">
        <v>7914</v>
      </c>
      <c r="KHZ1" s="15" t="s">
        <v>7915</v>
      </c>
      <c r="KIA1" s="15" t="s">
        <v>7916</v>
      </c>
      <c r="KIB1" s="15" t="s">
        <v>7917</v>
      </c>
      <c r="KIC1" s="15" t="s">
        <v>7918</v>
      </c>
      <c r="KID1" s="15" t="s">
        <v>7919</v>
      </c>
      <c r="KIE1" s="15" t="s">
        <v>7920</v>
      </c>
      <c r="KIF1" s="15" t="s">
        <v>7921</v>
      </c>
      <c r="KIG1" s="15" t="s">
        <v>7922</v>
      </c>
      <c r="KIH1" s="15" t="s">
        <v>7923</v>
      </c>
      <c r="KII1" s="15" t="s">
        <v>7924</v>
      </c>
      <c r="KIJ1" s="15" t="s">
        <v>7925</v>
      </c>
      <c r="KIK1" s="15" t="s">
        <v>7926</v>
      </c>
      <c r="KIL1" s="15" t="s">
        <v>7927</v>
      </c>
      <c r="KIM1" s="15" t="s">
        <v>7928</v>
      </c>
      <c r="KIN1" s="15" t="s">
        <v>7929</v>
      </c>
      <c r="KIO1" s="15" t="s">
        <v>7930</v>
      </c>
      <c r="KIP1" s="15" t="s">
        <v>7931</v>
      </c>
      <c r="KIQ1" s="15" t="s">
        <v>7932</v>
      </c>
      <c r="KIR1" s="15" t="s">
        <v>7933</v>
      </c>
      <c r="KIS1" s="15" t="s">
        <v>7934</v>
      </c>
      <c r="KIT1" s="15" t="s">
        <v>7935</v>
      </c>
      <c r="KIU1" s="15" t="s">
        <v>7936</v>
      </c>
      <c r="KIV1" s="15" t="s">
        <v>7937</v>
      </c>
      <c r="KIW1" s="15" t="s">
        <v>7938</v>
      </c>
      <c r="KIX1" s="15" t="s">
        <v>7939</v>
      </c>
      <c r="KIY1" s="15" t="s">
        <v>7940</v>
      </c>
      <c r="KIZ1" s="15" t="s">
        <v>7941</v>
      </c>
      <c r="KJA1" s="15" t="s">
        <v>7942</v>
      </c>
      <c r="KJB1" s="15" t="s">
        <v>7943</v>
      </c>
      <c r="KJC1" s="15" t="s">
        <v>7944</v>
      </c>
      <c r="KJD1" s="15" t="s">
        <v>7945</v>
      </c>
      <c r="KJE1" s="15" t="s">
        <v>7946</v>
      </c>
      <c r="KJF1" s="15" t="s">
        <v>7947</v>
      </c>
      <c r="KJG1" s="15" t="s">
        <v>7948</v>
      </c>
      <c r="KJH1" s="15" t="s">
        <v>7949</v>
      </c>
      <c r="KJI1" s="15" t="s">
        <v>7950</v>
      </c>
      <c r="KJJ1" s="15" t="s">
        <v>7951</v>
      </c>
      <c r="KJK1" s="15" t="s">
        <v>7952</v>
      </c>
      <c r="KJL1" s="15" t="s">
        <v>7953</v>
      </c>
      <c r="KJM1" s="15" t="s">
        <v>7954</v>
      </c>
      <c r="KJN1" s="15" t="s">
        <v>7955</v>
      </c>
      <c r="KJO1" s="15" t="s">
        <v>7956</v>
      </c>
      <c r="KJP1" s="15" t="s">
        <v>7957</v>
      </c>
      <c r="KJQ1" s="15" t="s">
        <v>7958</v>
      </c>
      <c r="KJR1" s="15" t="s">
        <v>7959</v>
      </c>
      <c r="KJS1" s="15" t="s">
        <v>7960</v>
      </c>
      <c r="KJT1" s="15" t="s">
        <v>7961</v>
      </c>
      <c r="KJU1" s="15" t="s">
        <v>7962</v>
      </c>
      <c r="KJV1" s="15" t="s">
        <v>7963</v>
      </c>
      <c r="KJW1" s="15" t="s">
        <v>7964</v>
      </c>
      <c r="KJX1" s="15" t="s">
        <v>7965</v>
      </c>
      <c r="KJY1" s="15" t="s">
        <v>7966</v>
      </c>
      <c r="KJZ1" s="15" t="s">
        <v>7967</v>
      </c>
      <c r="KKA1" s="15" t="s">
        <v>7968</v>
      </c>
      <c r="KKB1" s="15" t="s">
        <v>7969</v>
      </c>
      <c r="KKC1" s="15" t="s">
        <v>7970</v>
      </c>
      <c r="KKD1" s="15" t="s">
        <v>7971</v>
      </c>
      <c r="KKE1" s="15" t="s">
        <v>7972</v>
      </c>
      <c r="KKF1" s="15" t="s">
        <v>7973</v>
      </c>
      <c r="KKG1" s="15" t="s">
        <v>7974</v>
      </c>
      <c r="KKH1" s="15" t="s">
        <v>7975</v>
      </c>
      <c r="KKI1" s="15" t="s">
        <v>7976</v>
      </c>
      <c r="KKJ1" s="15" t="s">
        <v>7977</v>
      </c>
      <c r="KKK1" s="15" t="s">
        <v>7978</v>
      </c>
      <c r="KKL1" s="15" t="s">
        <v>7979</v>
      </c>
      <c r="KKM1" s="15" t="s">
        <v>7980</v>
      </c>
      <c r="KKN1" s="15" t="s">
        <v>7981</v>
      </c>
      <c r="KKO1" s="15" t="s">
        <v>7982</v>
      </c>
      <c r="KKP1" s="15" t="s">
        <v>7983</v>
      </c>
      <c r="KKQ1" s="15" t="s">
        <v>7984</v>
      </c>
      <c r="KKR1" s="15" t="s">
        <v>7985</v>
      </c>
      <c r="KKS1" s="15" t="s">
        <v>7986</v>
      </c>
      <c r="KKT1" s="15" t="s">
        <v>7987</v>
      </c>
      <c r="KKU1" s="15" t="s">
        <v>7988</v>
      </c>
      <c r="KKV1" s="15" t="s">
        <v>7989</v>
      </c>
      <c r="KKW1" s="15" t="s">
        <v>7990</v>
      </c>
      <c r="KKX1" s="15" t="s">
        <v>7991</v>
      </c>
      <c r="KKY1" s="15" t="s">
        <v>7992</v>
      </c>
      <c r="KKZ1" s="15" t="s">
        <v>7993</v>
      </c>
      <c r="KLA1" s="15" t="s">
        <v>7994</v>
      </c>
      <c r="KLB1" s="15" t="s">
        <v>7995</v>
      </c>
      <c r="KLC1" s="15" t="s">
        <v>7996</v>
      </c>
      <c r="KLD1" s="15" t="s">
        <v>7997</v>
      </c>
      <c r="KLE1" s="15" t="s">
        <v>7998</v>
      </c>
      <c r="KLF1" s="15" t="s">
        <v>7999</v>
      </c>
      <c r="KLG1" s="15" t="s">
        <v>8000</v>
      </c>
      <c r="KLH1" s="15" t="s">
        <v>8001</v>
      </c>
      <c r="KLI1" s="15" t="s">
        <v>8002</v>
      </c>
      <c r="KLJ1" s="15" t="s">
        <v>8003</v>
      </c>
      <c r="KLK1" s="15" t="s">
        <v>8004</v>
      </c>
      <c r="KLL1" s="15" t="s">
        <v>8005</v>
      </c>
      <c r="KLM1" s="15" t="s">
        <v>8006</v>
      </c>
      <c r="KLN1" s="15" t="s">
        <v>8007</v>
      </c>
      <c r="KLO1" s="15" t="s">
        <v>8008</v>
      </c>
      <c r="KLP1" s="15" t="s">
        <v>8009</v>
      </c>
      <c r="KLQ1" s="15" t="s">
        <v>8010</v>
      </c>
      <c r="KLR1" s="15" t="s">
        <v>8011</v>
      </c>
      <c r="KLS1" s="15" t="s">
        <v>8012</v>
      </c>
      <c r="KLT1" s="15" t="s">
        <v>8013</v>
      </c>
      <c r="KLU1" s="15" t="s">
        <v>8014</v>
      </c>
      <c r="KLV1" s="15" t="s">
        <v>8015</v>
      </c>
      <c r="KLW1" s="15" t="s">
        <v>8016</v>
      </c>
      <c r="KLX1" s="15" t="s">
        <v>8017</v>
      </c>
      <c r="KLY1" s="15" t="s">
        <v>8018</v>
      </c>
      <c r="KLZ1" s="15" t="s">
        <v>8019</v>
      </c>
      <c r="KMA1" s="15" t="s">
        <v>8020</v>
      </c>
      <c r="KMB1" s="15" t="s">
        <v>8021</v>
      </c>
      <c r="KMC1" s="15" t="s">
        <v>8022</v>
      </c>
      <c r="KMD1" s="15" t="s">
        <v>8023</v>
      </c>
      <c r="KME1" s="15" t="s">
        <v>8024</v>
      </c>
      <c r="KMF1" s="15" t="s">
        <v>8025</v>
      </c>
      <c r="KMG1" s="15" t="s">
        <v>8026</v>
      </c>
      <c r="KMH1" s="15" t="s">
        <v>8027</v>
      </c>
      <c r="KMI1" s="15" t="s">
        <v>8028</v>
      </c>
      <c r="KMJ1" s="15" t="s">
        <v>8029</v>
      </c>
      <c r="KMK1" s="15" t="s">
        <v>8030</v>
      </c>
      <c r="KML1" s="15" t="s">
        <v>8031</v>
      </c>
      <c r="KMM1" s="15" t="s">
        <v>8032</v>
      </c>
      <c r="KMN1" s="15" t="s">
        <v>8033</v>
      </c>
      <c r="KMO1" s="15" t="s">
        <v>8034</v>
      </c>
      <c r="KMP1" s="15" t="s">
        <v>8035</v>
      </c>
      <c r="KMQ1" s="15" t="s">
        <v>8036</v>
      </c>
      <c r="KMR1" s="15" t="s">
        <v>8037</v>
      </c>
      <c r="KMS1" s="15" t="s">
        <v>8038</v>
      </c>
      <c r="KMT1" s="15" t="s">
        <v>8039</v>
      </c>
      <c r="KMU1" s="15" t="s">
        <v>8040</v>
      </c>
      <c r="KMV1" s="15" t="s">
        <v>8041</v>
      </c>
      <c r="KMW1" s="15" t="s">
        <v>8042</v>
      </c>
      <c r="KMX1" s="15" t="s">
        <v>8043</v>
      </c>
      <c r="KMY1" s="15" t="s">
        <v>8044</v>
      </c>
      <c r="KMZ1" s="15" t="s">
        <v>8045</v>
      </c>
      <c r="KNA1" s="15" t="s">
        <v>8046</v>
      </c>
      <c r="KNB1" s="15" t="s">
        <v>8047</v>
      </c>
      <c r="KNC1" s="15" t="s">
        <v>8048</v>
      </c>
      <c r="KND1" s="15" t="s">
        <v>8049</v>
      </c>
      <c r="KNE1" s="15" t="s">
        <v>8050</v>
      </c>
      <c r="KNF1" s="15" t="s">
        <v>8051</v>
      </c>
      <c r="KNG1" s="15" t="s">
        <v>8052</v>
      </c>
      <c r="KNH1" s="15" t="s">
        <v>8053</v>
      </c>
      <c r="KNI1" s="15" t="s">
        <v>8054</v>
      </c>
      <c r="KNJ1" s="15" t="s">
        <v>8055</v>
      </c>
      <c r="KNK1" s="15" t="s">
        <v>8056</v>
      </c>
      <c r="KNL1" s="15" t="s">
        <v>8057</v>
      </c>
      <c r="KNM1" s="15" t="s">
        <v>8058</v>
      </c>
      <c r="KNN1" s="15" t="s">
        <v>8059</v>
      </c>
      <c r="KNO1" s="15" t="s">
        <v>8060</v>
      </c>
      <c r="KNP1" s="15" t="s">
        <v>8061</v>
      </c>
      <c r="KNQ1" s="15" t="s">
        <v>8062</v>
      </c>
      <c r="KNR1" s="15" t="s">
        <v>8063</v>
      </c>
      <c r="KNS1" s="15" t="s">
        <v>8064</v>
      </c>
      <c r="KNT1" s="15" t="s">
        <v>8065</v>
      </c>
      <c r="KNU1" s="15" t="s">
        <v>8066</v>
      </c>
      <c r="KNV1" s="15" t="s">
        <v>8067</v>
      </c>
      <c r="KNW1" s="15" t="s">
        <v>8068</v>
      </c>
      <c r="KNX1" s="15" t="s">
        <v>8069</v>
      </c>
      <c r="KNY1" s="15" t="s">
        <v>8070</v>
      </c>
      <c r="KNZ1" s="15" t="s">
        <v>8071</v>
      </c>
      <c r="KOA1" s="15" t="s">
        <v>8072</v>
      </c>
      <c r="KOB1" s="15" t="s">
        <v>8073</v>
      </c>
      <c r="KOC1" s="15" t="s">
        <v>8074</v>
      </c>
      <c r="KOD1" s="15" t="s">
        <v>8075</v>
      </c>
      <c r="KOE1" s="15" t="s">
        <v>8076</v>
      </c>
      <c r="KOF1" s="15" t="s">
        <v>8077</v>
      </c>
      <c r="KOG1" s="15" t="s">
        <v>8078</v>
      </c>
      <c r="KOH1" s="15" t="s">
        <v>8079</v>
      </c>
      <c r="KOI1" s="15" t="s">
        <v>8080</v>
      </c>
      <c r="KOJ1" s="15" t="s">
        <v>8081</v>
      </c>
      <c r="KOK1" s="15" t="s">
        <v>8082</v>
      </c>
      <c r="KOL1" s="15" t="s">
        <v>8083</v>
      </c>
      <c r="KOM1" s="15" t="s">
        <v>8084</v>
      </c>
      <c r="KON1" s="15" t="s">
        <v>8085</v>
      </c>
      <c r="KOO1" s="15" t="s">
        <v>8086</v>
      </c>
      <c r="KOP1" s="15" t="s">
        <v>8087</v>
      </c>
      <c r="KOQ1" s="15" t="s">
        <v>8088</v>
      </c>
      <c r="KOR1" s="15" t="s">
        <v>8089</v>
      </c>
      <c r="KOS1" s="15" t="s">
        <v>8090</v>
      </c>
      <c r="KOT1" s="15" t="s">
        <v>8091</v>
      </c>
      <c r="KOU1" s="15" t="s">
        <v>8092</v>
      </c>
      <c r="KOV1" s="15" t="s">
        <v>8093</v>
      </c>
      <c r="KOW1" s="15" t="s">
        <v>8094</v>
      </c>
      <c r="KOX1" s="15" t="s">
        <v>8095</v>
      </c>
      <c r="KOY1" s="15" t="s">
        <v>8096</v>
      </c>
      <c r="KOZ1" s="15" t="s">
        <v>8097</v>
      </c>
      <c r="KPA1" s="15" t="s">
        <v>8098</v>
      </c>
      <c r="KPB1" s="15" t="s">
        <v>8099</v>
      </c>
      <c r="KPC1" s="15" t="s">
        <v>8100</v>
      </c>
      <c r="KPD1" s="15" t="s">
        <v>8101</v>
      </c>
      <c r="KPE1" s="15" t="s">
        <v>8102</v>
      </c>
      <c r="KPF1" s="15" t="s">
        <v>8103</v>
      </c>
      <c r="KPG1" s="15" t="s">
        <v>8104</v>
      </c>
      <c r="KPH1" s="15" t="s">
        <v>8105</v>
      </c>
      <c r="KPI1" s="15" t="s">
        <v>8106</v>
      </c>
      <c r="KPJ1" s="15" t="s">
        <v>8107</v>
      </c>
      <c r="KPK1" s="15" t="s">
        <v>8108</v>
      </c>
      <c r="KPL1" s="15" t="s">
        <v>8109</v>
      </c>
      <c r="KPM1" s="15" t="s">
        <v>8110</v>
      </c>
      <c r="KPN1" s="15" t="s">
        <v>8111</v>
      </c>
      <c r="KPO1" s="15" t="s">
        <v>8112</v>
      </c>
      <c r="KPP1" s="15" t="s">
        <v>8113</v>
      </c>
      <c r="KPQ1" s="15" t="s">
        <v>8114</v>
      </c>
      <c r="KPR1" s="15" t="s">
        <v>8115</v>
      </c>
      <c r="KPS1" s="15" t="s">
        <v>8116</v>
      </c>
      <c r="KPT1" s="15" t="s">
        <v>8117</v>
      </c>
      <c r="KPU1" s="15" t="s">
        <v>8118</v>
      </c>
      <c r="KPV1" s="15" t="s">
        <v>8119</v>
      </c>
      <c r="KPW1" s="15" t="s">
        <v>8120</v>
      </c>
      <c r="KPX1" s="15" t="s">
        <v>8121</v>
      </c>
      <c r="KPY1" s="15" t="s">
        <v>8122</v>
      </c>
      <c r="KPZ1" s="15" t="s">
        <v>8123</v>
      </c>
      <c r="KQA1" s="15" t="s">
        <v>8124</v>
      </c>
      <c r="KQB1" s="15" t="s">
        <v>8125</v>
      </c>
      <c r="KQC1" s="15" t="s">
        <v>8126</v>
      </c>
      <c r="KQD1" s="15" t="s">
        <v>8127</v>
      </c>
      <c r="KQE1" s="15" t="s">
        <v>8128</v>
      </c>
      <c r="KQF1" s="15" t="s">
        <v>8129</v>
      </c>
      <c r="KQG1" s="15" t="s">
        <v>8130</v>
      </c>
      <c r="KQH1" s="15" t="s">
        <v>8131</v>
      </c>
      <c r="KQI1" s="15" t="s">
        <v>8132</v>
      </c>
      <c r="KQJ1" s="15" t="s">
        <v>8133</v>
      </c>
      <c r="KQK1" s="15" t="s">
        <v>8134</v>
      </c>
      <c r="KQL1" s="15" t="s">
        <v>8135</v>
      </c>
      <c r="KQM1" s="15" t="s">
        <v>8136</v>
      </c>
      <c r="KQN1" s="15" t="s">
        <v>8137</v>
      </c>
      <c r="KQO1" s="15" t="s">
        <v>8138</v>
      </c>
      <c r="KQP1" s="15" t="s">
        <v>8139</v>
      </c>
      <c r="KQQ1" s="15" t="s">
        <v>8140</v>
      </c>
      <c r="KQR1" s="15" t="s">
        <v>8141</v>
      </c>
      <c r="KQS1" s="15" t="s">
        <v>8142</v>
      </c>
      <c r="KQT1" s="15" t="s">
        <v>8143</v>
      </c>
      <c r="KQU1" s="15" t="s">
        <v>8144</v>
      </c>
      <c r="KQV1" s="15" t="s">
        <v>8145</v>
      </c>
      <c r="KQW1" s="15" t="s">
        <v>8146</v>
      </c>
      <c r="KQX1" s="15" t="s">
        <v>8147</v>
      </c>
      <c r="KQY1" s="15" t="s">
        <v>8148</v>
      </c>
      <c r="KQZ1" s="15" t="s">
        <v>8149</v>
      </c>
      <c r="KRA1" s="15" t="s">
        <v>8150</v>
      </c>
      <c r="KRB1" s="15" t="s">
        <v>8151</v>
      </c>
      <c r="KRC1" s="15" t="s">
        <v>8152</v>
      </c>
      <c r="KRD1" s="15" t="s">
        <v>8153</v>
      </c>
      <c r="KRE1" s="15" t="s">
        <v>8154</v>
      </c>
      <c r="KRF1" s="15" t="s">
        <v>8155</v>
      </c>
      <c r="KRG1" s="15" t="s">
        <v>8156</v>
      </c>
      <c r="KRH1" s="15" t="s">
        <v>8157</v>
      </c>
      <c r="KRI1" s="15" t="s">
        <v>8158</v>
      </c>
      <c r="KRJ1" s="15" t="s">
        <v>8159</v>
      </c>
      <c r="KRK1" s="15" t="s">
        <v>8160</v>
      </c>
      <c r="KRL1" s="15" t="s">
        <v>8161</v>
      </c>
      <c r="KRM1" s="15" t="s">
        <v>8162</v>
      </c>
      <c r="KRN1" s="15" t="s">
        <v>8163</v>
      </c>
      <c r="KRO1" s="15" t="s">
        <v>8164</v>
      </c>
      <c r="KRP1" s="15" t="s">
        <v>8165</v>
      </c>
      <c r="KRQ1" s="15" t="s">
        <v>8166</v>
      </c>
      <c r="KRR1" s="15" t="s">
        <v>8167</v>
      </c>
      <c r="KRS1" s="15" t="s">
        <v>8168</v>
      </c>
      <c r="KRT1" s="15" t="s">
        <v>8169</v>
      </c>
      <c r="KRU1" s="15" t="s">
        <v>8170</v>
      </c>
      <c r="KRV1" s="15" t="s">
        <v>8171</v>
      </c>
      <c r="KRW1" s="15" t="s">
        <v>8172</v>
      </c>
      <c r="KRX1" s="15" t="s">
        <v>8173</v>
      </c>
      <c r="KRY1" s="15" t="s">
        <v>8174</v>
      </c>
      <c r="KRZ1" s="15" t="s">
        <v>8175</v>
      </c>
      <c r="KSA1" s="15" t="s">
        <v>8176</v>
      </c>
      <c r="KSB1" s="15" t="s">
        <v>8177</v>
      </c>
      <c r="KSC1" s="15" t="s">
        <v>8178</v>
      </c>
      <c r="KSD1" s="15" t="s">
        <v>8179</v>
      </c>
      <c r="KSE1" s="15" t="s">
        <v>8180</v>
      </c>
      <c r="KSF1" s="15" t="s">
        <v>8181</v>
      </c>
      <c r="KSG1" s="15" t="s">
        <v>8182</v>
      </c>
      <c r="KSH1" s="15" t="s">
        <v>8183</v>
      </c>
      <c r="KSI1" s="15" t="s">
        <v>8184</v>
      </c>
      <c r="KSJ1" s="15" t="s">
        <v>8185</v>
      </c>
      <c r="KSK1" s="15" t="s">
        <v>8186</v>
      </c>
      <c r="KSL1" s="15" t="s">
        <v>8187</v>
      </c>
      <c r="KSM1" s="15" t="s">
        <v>8188</v>
      </c>
      <c r="KSN1" s="15" t="s">
        <v>8189</v>
      </c>
      <c r="KSO1" s="15" t="s">
        <v>8190</v>
      </c>
      <c r="KSP1" s="15" t="s">
        <v>8191</v>
      </c>
      <c r="KSQ1" s="15" t="s">
        <v>8192</v>
      </c>
      <c r="KSR1" s="15" t="s">
        <v>8193</v>
      </c>
      <c r="KSS1" s="15" t="s">
        <v>8194</v>
      </c>
      <c r="KST1" s="15" t="s">
        <v>8195</v>
      </c>
      <c r="KSU1" s="15" t="s">
        <v>8196</v>
      </c>
      <c r="KSV1" s="15" t="s">
        <v>8197</v>
      </c>
      <c r="KSW1" s="15" t="s">
        <v>8198</v>
      </c>
      <c r="KSX1" s="15" t="s">
        <v>8199</v>
      </c>
      <c r="KSY1" s="15" t="s">
        <v>8200</v>
      </c>
      <c r="KSZ1" s="15" t="s">
        <v>8201</v>
      </c>
      <c r="KTA1" s="15" t="s">
        <v>8202</v>
      </c>
      <c r="KTB1" s="15" t="s">
        <v>8203</v>
      </c>
      <c r="KTC1" s="15" t="s">
        <v>8204</v>
      </c>
      <c r="KTD1" s="15" t="s">
        <v>8205</v>
      </c>
      <c r="KTE1" s="15" t="s">
        <v>8206</v>
      </c>
      <c r="KTF1" s="15" t="s">
        <v>8207</v>
      </c>
      <c r="KTG1" s="15" t="s">
        <v>8208</v>
      </c>
      <c r="KTH1" s="15" t="s">
        <v>8209</v>
      </c>
      <c r="KTI1" s="15" t="s">
        <v>8210</v>
      </c>
      <c r="KTJ1" s="15" t="s">
        <v>8211</v>
      </c>
      <c r="KTK1" s="15" t="s">
        <v>8212</v>
      </c>
      <c r="KTL1" s="15" t="s">
        <v>8213</v>
      </c>
      <c r="KTM1" s="15" t="s">
        <v>8214</v>
      </c>
      <c r="KTN1" s="15" t="s">
        <v>8215</v>
      </c>
      <c r="KTO1" s="15" t="s">
        <v>8216</v>
      </c>
      <c r="KTP1" s="15" t="s">
        <v>8217</v>
      </c>
      <c r="KTQ1" s="15" t="s">
        <v>8218</v>
      </c>
      <c r="KTR1" s="15" t="s">
        <v>8219</v>
      </c>
      <c r="KTS1" s="15" t="s">
        <v>8220</v>
      </c>
      <c r="KTT1" s="15" t="s">
        <v>8221</v>
      </c>
      <c r="KTU1" s="15" t="s">
        <v>8222</v>
      </c>
      <c r="KTV1" s="15" t="s">
        <v>8223</v>
      </c>
      <c r="KTW1" s="15" t="s">
        <v>8224</v>
      </c>
      <c r="KTX1" s="15" t="s">
        <v>8225</v>
      </c>
      <c r="KTY1" s="15" t="s">
        <v>8226</v>
      </c>
      <c r="KTZ1" s="15" t="s">
        <v>8227</v>
      </c>
      <c r="KUA1" s="15" t="s">
        <v>8228</v>
      </c>
      <c r="KUB1" s="15" t="s">
        <v>8229</v>
      </c>
      <c r="KUC1" s="15" t="s">
        <v>8230</v>
      </c>
      <c r="KUD1" s="15" t="s">
        <v>8231</v>
      </c>
      <c r="KUE1" s="15" t="s">
        <v>8232</v>
      </c>
      <c r="KUF1" s="15" t="s">
        <v>8233</v>
      </c>
      <c r="KUG1" s="15" t="s">
        <v>8234</v>
      </c>
      <c r="KUH1" s="15" t="s">
        <v>8235</v>
      </c>
      <c r="KUI1" s="15" t="s">
        <v>8236</v>
      </c>
      <c r="KUJ1" s="15" t="s">
        <v>8237</v>
      </c>
      <c r="KUK1" s="15" t="s">
        <v>8238</v>
      </c>
      <c r="KUL1" s="15" t="s">
        <v>8239</v>
      </c>
      <c r="KUM1" s="15" t="s">
        <v>8240</v>
      </c>
      <c r="KUN1" s="15" t="s">
        <v>8241</v>
      </c>
      <c r="KUO1" s="15" t="s">
        <v>8242</v>
      </c>
      <c r="KUP1" s="15" t="s">
        <v>8243</v>
      </c>
      <c r="KUQ1" s="15" t="s">
        <v>8244</v>
      </c>
      <c r="KUR1" s="15" t="s">
        <v>8245</v>
      </c>
      <c r="KUS1" s="15" t="s">
        <v>8246</v>
      </c>
      <c r="KUT1" s="15" t="s">
        <v>8247</v>
      </c>
      <c r="KUU1" s="15" t="s">
        <v>8248</v>
      </c>
      <c r="KUV1" s="15" t="s">
        <v>8249</v>
      </c>
      <c r="KUW1" s="15" t="s">
        <v>8250</v>
      </c>
      <c r="KUX1" s="15" t="s">
        <v>8251</v>
      </c>
      <c r="KUY1" s="15" t="s">
        <v>8252</v>
      </c>
      <c r="KUZ1" s="15" t="s">
        <v>8253</v>
      </c>
      <c r="KVA1" s="15" t="s">
        <v>8254</v>
      </c>
      <c r="KVB1" s="15" t="s">
        <v>8255</v>
      </c>
      <c r="KVC1" s="15" t="s">
        <v>8256</v>
      </c>
      <c r="KVD1" s="15" t="s">
        <v>8257</v>
      </c>
      <c r="KVE1" s="15" t="s">
        <v>8258</v>
      </c>
      <c r="KVF1" s="15" t="s">
        <v>8259</v>
      </c>
      <c r="KVG1" s="15" t="s">
        <v>8260</v>
      </c>
      <c r="KVH1" s="15" t="s">
        <v>8261</v>
      </c>
      <c r="KVI1" s="15" t="s">
        <v>8262</v>
      </c>
      <c r="KVJ1" s="15" t="s">
        <v>8263</v>
      </c>
      <c r="KVK1" s="15" t="s">
        <v>8264</v>
      </c>
      <c r="KVL1" s="15" t="s">
        <v>8265</v>
      </c>
      <c r="KVM1" s="15" t="s">
        <v>8266</v>
      </c>
      <c r="KVN1" s="15" t="s">
        <v>8267</v>
      </c>
      <c r="KVO1" s="15" t="s">
        <v>8268</v>
      </c>
      <c r="KVP1" s="15" t="s">
        <v>8269</v>
      </c>
      <c r="KVQ1" s="15" t="s">
        <v>8270</v>
      </c>
      <c r="KVR1" s="15" t="s">
        <v>8271</v>
      </c>
      <c r="KVS1" s="15" t="s">
        <v>8272</v>
      </c>
      <c r="KVT1" s="15" t="s">
        <v>8273</v>
      </c>
      <c r="KVU1" s="15" t="s">
        <v>8274</v>
      </c>
      <c r="KVV1" s="15" t="s">
        <v>8275</v>
      </c>
      <c r="KVW1" s="15" t="s">
        <v>8276</v>
      </c>
      <c r="KVX1" s="15" t="s">
        <v>8277</v>
      </c>
      <c r="KVY1" s="15" t="s">
        <v>8278</v>
      </c>
      <c r="KVZ1" s="15" t="s">
        <v>8279</v>
      </c>
      <c r="KWA1" s="15" t="s">
        <v>8280</v>
      </c>
      <c r="KWB1" s="15" t="s">
        <v>8281</v>
      </c>
      <c r="KWC1" s="15" t="s">
        <v>8282</v>
      </c>
      <c r="KWD1" s="15" t="s">
        <v>8283</v>
      </c>
      <c r="KWE1" s="15" t="s">
        <v>8284</v>
      </c>
      <c r="KWF1" s="15" t="s">
        <v>8285</v>
      </c>
      <c r="KWG1" s="15" t="s">
        <v>8286</v>
      </c>
      <c r="KWH1" s="15" t="s">
        <v>8287</v>
      </c>
      <c r="KWI1" s="15" t="s">
        <v>8288</v>
      </c>
      <c r="KWJ1" s="15" t="s">
        <v>8289</v>
      </c>
      <c r="KWK1" s="15" t="s">
        <v>8290</v>
      </c>
      <c r="KWL1" s="15" t="s">
        <v>8291</v>
      </c>
      <c r="KWM1" s="15" t="s">
        <v>8292</v>
      </c>
      <c r="KWN1" s="15" t="s">
        <v>8293</v>
      </c>
      <c r="KWO1" s="15" t="s">
        <v>8294</v>
      </c>
      <c r="KWP1" s="15" t="s">
        <v>8295</v>
      </c>
      <c r="KWQ1" s="15" t="s">
        <v>8296</v>
      </c>
      <c r="KWR1" s="15" t="s">
        <v>8297</v>
      </c>
      <c r="KWS1" s="15" t="s">
        <v>8298</v>
      </c>
      <c r="KWT1" s="15" t="s">
        <v>8299</v>
      </c>
      <c r="KWU1" s="15" t="s">
        <v>8300</v>
      </c>
      <c r="KWV1" s="15" t="s">
        <v>8301</v>
      </c>
      <c r="KWW1" s="15" t="s">
        <v>8302</v>
      </c>
      <c r="KWX1" s="15" t="s">
        <v>8303</v>
      </c>
      <c r="KWY1" s="15" t="s">
        <v>8304</v>
      </c>
      <c r="KWZ1" s="15" t="s">
        <v>8305</v>
      </c>
      <c r="KXA1" s="15" t="s">
        <v>8306</v>
      </c>
      <c r="KXB1" s="15" t="s">
        <v>8307</v>
      </c>
      <c r="KXC1" s="15" t="s">
        <v>8308</v>
      </c>
      <c r="KXD1" s="15" t="s">
        <v>8309</v>
      </c>
      <c r="KXE1" s="15" t="s">
        <v>8310</v>
      </c>
      <c r="KXF1" s="15" t="s">
        <v>8311</v>
      </c>
      <c r="KXG1" s="15" t="s">
        <v>8312</v>
      </c>
      <c r="KXH1" s="15" t="s">
        <v>8313</v>
      </c>
      <c r="KXI1" s="15" t="s">
        <v>8314</v>
      </c>
      <c r="KXJ1" s="15" t="s">
        <v>8315</v>
      </c>
      <c r="KXK1" s="15" t="s">
        <v>8316</v>
      </c>
      <c r="KXL1" s="15" t="s">
        <v>8317</v>
      </c>
      <c r="KXM1" s="15" t="s">
        <v>8318</v>
      </c>
      <c r="KXN1" s="15" t="s">
        <v>8319</v>
      </c>
      <c r="KXO1" s="15" t="s">
        <v>8320</v>
      </c>
      <c r="KXP1" s="15" t="s">
        <v>8321</v>
      </c>
      <c r="KXQ1" s="15" t="s">
        <v>8322</v>
      </c>
      <c r="KXR1" s="15" t="s">
        <v>8323</v>
      </c>
      <c r="KXS1" s="15" t="s">
        <v>8324</v>
      </c>
      <c r="KXT1" s="15" t="s">
        <v>8325</v>
      </c>
      <c r="KXU1" s="15" t="s">
        <v>8326</v>
      </c>
      <c r="KXV1" s="15" t="s">
        <v>8327</v>
      </c>
      <c r="KXW1" s="15" t="s">
        <v>8328</v>
      </c>
      <c r="KXX1" s="15" t="s">
        <v>8329</v>
      </c>
      <c r="KXY1" s="15" t="s">
        <v>8330</v>
      </c>
      <c r="KXZ1" s="15" t="s">
        <v>8331</v>
      </c>
      <c r="KYA1" s="15" t="s">
        <v>8332</v>
      </c>
      <c r="KYB1" s="15" t="s">
        <v>8333</v>
      </c>
      <c r="KYC1" s="15" t="s">
        <v>8334</v>
      </c>
      <c r="KYD1" s="15" t="s">
        <v>8335</v>
      </c>
      <c r="KYE1" s="15" t="s">
        <v>8336</v>
      </c>
      <c r="KYF1" s="15" t="s">
        <v>8337</v>
      </c>
      <c r="KYG1" s="15" t="s">
        <v>8338</v>
      </c>
      <c r="KYH1" s="15" t="s">
        <v>8339</v>
      </c>
      <c r="KYI1" s="15" t="s">
        <v>8340</v>
      </c>
      <c r="KYJ1" s="15" t="s">
        <v>8341</v>
      </c>
      <c r="KYK1" s="15" t="s">
        <v>8342</v>
      </c>
      <c r="KYL1" s="15" t="s">
        <v>8343</v>
      </c>
      <c r="KYM1" s="15" t="s">
        <v>8344</v>
      </c>
      <c r="KYN1" s="15" t="s">
        <v>8345</v>
      </c>
      <c r="KYO1" s="15" t="s">
        <v>8346</v>
      </c>
      <c r="KYP1" s="15" t="s">
        <v>8347</v>
      </c>
      <c r="KYQ1" s="15" t="s">
        <v>8348</v>
      </c>
      <c r="KYR1" s="15" t="s">
        <v>8349</v>
      </c>
      <c r="KYS1" s="15" t="s">
        <v>8350</v>
      </c>
      <c r="KYT1" s="15" t="s">
        <v>8351</v>
      </c>
      <c r="KYU1" s="15" t="s">
        <v>8352</v>
      </c>
      <c r="KYV1" s="15" t="s">
        <v>8353</v>
      </c>
      <c r="KYW1" s="15" t="s">
        <v>8354</v>
      </c>
      <c r="KYX1" s="15" t="s">
        <v>8355</v>
      </c>
      <c r="KYY1" s="15" t="s">
        <v>8356</v>
      </c>
      <c r="KYZ1" s="15" t="s">
        <v>8357</v>
      </c>
      <c r="KZA1" s="15" t="s">
        <v>8358</v>
      </c>
      <c r="KZB1" s="15" t="s">
        <v>8359</v>
      </c>
      <c r="KZC1" s="15" t="s">
        <v>8360</v>
      </c>
      <c r="KZD1" s="15" t="s">
        <v>8361</v>
      </c>
      <c r="KZE1" s="15" t="s">
        <v>8362</v>
      </c>
      <c r="KZF1" s="15" t="s">
        <v>8363</v>
      </c>
      <c r="KZG1" s="15" t="s">
        <v>8364</v>
      </c>
      <c r="KZH1" s="15" t="s">
        <v>8365</v>
      </c>
      <c r="KZI1" s="15" t="s">
        <v>8366</v>
      </c>
      <c r="KZJ1" s="15" t="s">
        <v>8367</v>
      </c>
      <c r="KZK1" s="15" t="s">
        <v>8368</v>
      </c>
      <c r="KZL1" s="15" t="s">
        <v>8369</v>
      </c>
      <c r="KZM1" s="15" t="s">
        <v>8370</v>
      </c>
      <c r="KZN1" s="15" t="s">
        <v>8371</v>
      </c>
      <c r="KZO1" s="15" t="s">
        <v>8372</v>
      </c>
      <c r="KZP1" s="15" t="s">
        <v>8373</v>
      </c>
      <c r="KZQ1" s="15" t="s">
        <v>8374</v>
      </c>
      <c r="KZR1" s="15" t="s">
        <v>8375</v>
      </c>
      <c r="KZS1" s="15" t="s">
        <v>8376</v>
      </c>
      <c r="KZT1" s="15" t="s">
        <v>8377</v>
      </c>
      <c r="KZU1" s="15" t="s">
        <v>8378</v>
      </c>
      <c r="KZV1" s="15" t="s">
        <v>8379</v>
      </c>
      <c r="KZW1" s="15" t="s">
        <v>8380</v>
      </c>
      <c r="KZX1" s="15" t="s">
        <v>8381</v>
      </c>
      <c r="KZY1" s="15" t="s">
        <v>8382</v>
      </c>
      <c r="KZZ1" s="15" t="s">
        <v>8383</v>
      </c>
      <c r="LAA1" s="15" t="s">
        <v>8384</v>
      </c>
      <c r="LAB1" s="15" t="s">
        <v>8385</v>
      </c>
      <c r="LAC1" s="15" t="s">
        <v>8386</v>
      </c>
      <c r="LAD1" s="15" t="s">
        <v>8387</v>
      </c>
      <c r="LAE1" s="15" t="s">
        <v>8388</v>
      </c>
      <c r="LAF1" s="15" t="s">
        <v>8389</v>
      </c>
      <c r="LAG1" s="15" t="s">
        <v>8390</v>
      </c>
      <c r="LAH1" s="15" t="s">
        <v>8391</v>
      </c>
      <c r="LAI1" s="15" t="s">
        <v>8392</v>
      </c>
      <c r="LAJ1" s="15" t="s">
        <v>8393</v>
      </c>
      <c r="LAK1" s="15" t="s">
        <v>8394</v>
      </c>
      <c r="LAL1" s="15" t="s">
        <v>8395</v>
      </c>
      <c r="LAM1" s="15" t="s">
        <v>8396</v>
      </c>
      <c r="LAN1" s="15" t="s">
        <v>8397</v>
      </c>
      <c r="LAO1" s="15" t="s">
        <v>8398</v>
      </c>
      <c r="LAP1" s="15" t="s">
        <v>8399</v>
      </c>
      <c r="LAQ1" s="15" t="s">
        <v>8400</v>
      </c>
      <c r="LAR1" s="15" t="s">
        <v>8401</v>
      </c>
      <c r="LAS1" s="15" t="s">
        <v>8402</v>
      </c>
      <c r="LAT1" s="15" t="s">
        <v>8403</v>
      </c>
      <c r="LAU1" s="15" t="s">
        <v>8404</v>
      </c>
      <c r="LAV1" s="15" t="s">
        <v>8405</v>
      </c>
      <c r="LAW1" s="15" t="s">
        <v>8406</v>
      </c>
      <c r="LAX1" s="15" t="s">
        <v>8407</v>
      </c>
      <c r="LAY1" s="15" t="s">
        <v>8408</v>
      </c>
      <c r="LAZ1" s="15" t="s">
        <v>8409</v>
      </c>
      <c r="LBA1" s="15" t="s">
        <v>8410</v>
      </c>
      <c r="LBB1" s="15" t="s">
        <v>8411</v>
      </c>
      <c r="LBC1" s="15" t="s">
        <v>8412</v>
      </c>
      <c r="LBD1" s="15" t="s">
        <v>8413</v>
      </c>
      <c r="LBE1" s="15" t="s">
        <v>8414</v>
      </c>
      <c r="LBF1" s="15" t="s">
        <v>8415</v>
      </c>
      <c r="LBG1" s="15" t="s">
        <v>8416</v>
      </c>
      <c r="LBH1" s="15" t="s">
        <v>8417</v>
      </c>
      <c r="LBI1" s="15" t="s">
        <v>8418</v>
      </c>
      <c r="LBJ1" s="15" t="s">
        <v>8419</v>
      </c>
      <c r="LBK1" s="15" t="s">
        <v>8420</v>
      </c>
      <c r="LBL1" s="15" t="s">
        <v>8421</v>
      </c>
      <c r="LBM1" s="15" t="s">
        <v>8422</v>
      </c>
      <c r="LBN1" s="15" t="s">
        <v>8423</v>
      </c>
      <c r="LBO1" s="15" t="s">
        <v>8424</v>
      </c>
      <c r="LBP1" s="15" t="s">
        <v>8425</v>
      </c>
      <c r="LBQ1" s="15" t="s">
        <v>8426</v>
      </c>
      <c r="LBR1" s="15" t="s">
        <v>8427</v>
      </c>
      <c r="LBS1" s="15" t="s">
        <v>8428</v>
      </c>
      <c r="LBT1" s="15" t="s">
        <v>8429</v>
      </c>
      <c r="LBU1" s="15" t="s">
        <v>8430</v>
      </c>
      <c r="LBV1" s="15" t="s">
        <v>8431</v>
      </c>
      <c r="LBW1" s="15" t="s">
        <v>8432</v>
      </c>
      <c r="LBX1" s="15" t="s">
        <v>8433</v>
      </c>
      <c r="LBY1" s="15" t="s">
        <v>8434</v>
      </c>
      <c r="LBZ1" s="15" t="s">
        <v>8435</v>
      </c>
      <c r="LCA1" s="15" t="s">
        <v>8436</v>
      </c>
      <c r="LCB1" s="15" t="s">
        <v>8437</v>
      </c>
      <c r="LCC1" s="15" t="s">
        <v>8438</v>
      </c>
      <c r="LCD1" s="15" t="s">
        <v>8439</v>
      </c>
      <c r="LCE1" s="15" t="s">
        <v>8440</v>
      </c>
      <c r="LCF1" s="15" t="s">
        <v>8441</v>
      </c>
      <c r="LCG1" s="15" t="s">
        <v>8442</v>
      </c>
      <c r="LCH1" s="15" t="s">
        <v>8443</v>
      </c>
      <c r="LCI1" s="15" t="s">
        <v>8444</v>
      </c>
      <c r="LCJ1" s="15" t="s">
        <v>8445</v>
      </c>
      <c r="LCK1" s="15" t="s">
        <v>8446</v>
      </c>
      <c r="LCL1" s="15" t="s">
        <v>8447</v>
      </c>
      <c r="LCM1" s="15" t="s">
        <v>8448</v>
      </c>
      <c r="LCN1" s="15" t="s">
        <v>8449</v>
      </c>
      <c r="LCO1" s="15" t="s">
        <v>8450</v>
      </c>
      <c r="LCP1" s="15" t="s">
        <v>8451</v>
      </c>
      <c r="LCQ1" s="15" t="s">
        <v>8452</v>
      </c>
      <c r="LCR1" s="15" t="s">
        <v>8453</v>
      </c>
      <c r="LCS1" s="15" t="s">
        <v>8454</v>
      </c>
      <c r="LCT1" s="15" t="s">
        <v>8455</v>
      </c>
      <c r="LCU1" s="15" t="s">
        <v>8456</v>
      </c>
      <c r="LCV1" s="15" t="s">
        <v>8457</v>
      </c>
      <c r="LCW1" s="15" t="s">
        <v>8458</v>
      </c>
      <c r="LCX1" s="15" t="s">
        <v>8459</v>
      </c>
      <c r="LCY1" s="15" t="s">
        <v>8460</v>
      </c>
      <c r="LCZ1" s="15" t="s">
        <v>8461</v>
      </c>
      <c r="LDA1" s="15" t="s">
        <v>8462</v>
      </c>
      <c r="LDB1" s="15" t="s">
        <v>8463</v>
      </c>
      <c r="LDC1" s="15" t="s">
        <v>8464</v>
      </c>
      <c r="LDD1" s="15" t="s">
        <v>8465</v>
      </c>
      <c r="LDE1" s="15" t="s">
        <v>8466</v>
      </c>
      <c r="LDF1" s="15" t="s">
        <v>8467</v>
      </c>
      <c r="LDG1" s="15" t="s">
        <v>8468</v>
      </c>
      <c r="LDH1" s="15" t="s">
        <v>8469</v>
      </c>
      <c r="LDI1" s="15" t="s">
        <v>8470</v>
      </c>
      <c r="LDJ1" s="15" t="s">
        <v>8471</v>
      </c>
      <c r="LDK1" s="15" t="s">
        <v>8472</v>
      </c>
      <c r="LDL1" s="15" t="s">
        <v>8473</v>
      </c>
      <c r="LDM1" s="15" t="s">
        <v>8474</v>
      </c>
      <c r="LDN1" s="15" t="s">
        <v>8475</v>
      </c>
      <c r="LDO1" s="15" t="s">
        <v>8476</v>
      </c>
      <c r="LDP1" s="15" t="s">
        <v>8477</v>
      </c>
      <c r="LDQ1" s="15" t="s">
        <v>8478</v>
      </c>
      <c r="LDR1" s="15" t="s">
        <v>8479</v>
      </c>
      <c r="LDS1" s="15" t="s">
        <v>8480</v>
      </c>
      <c r="LDT1" s="15" t="s">
        <v>8481</v>
      </c>
      <c r="LDU1" s="15" t="s">
        <v>8482</v>
      </c>
      <c r="LDV1" s="15" t="s">
        <v>8483</v>
      </c>
      <c r="LDW1" s="15" t="s">
        <v>8484</v>
      </c>
      <c r="LDX1" s="15" t="s">
        <v>8485</v>
      </c>
      <c r="LDY1" s="15" t="s">
        <v>8486</v>
      </c>
      <c r="LDZ1" s="15" t="s">
        <v>8487</v>
      </c>
      <c r="LEA1" s="15" t="s">
        <v>8488</v>
      </c>
      <c r="LEB1" s="15" t="s">
        <v>8489</v>
      </c>
      <c r="LEC1" s="15" t="s">
        <v>8490</v>
      </c>
      <c r="LED1" s="15" t="s">
        <v>8491</v>
      </c>
      <c r="LEE1" s="15" t="s">
        <v>8492</v>
      </c>
      <c r="LEF1" s="15" t="s">
        <v>8493</v>
      </c>
      <c r="LEG1" s="15" t="s">
        <v>8494</v>
      </c>
      <c r="LEH1" s="15" t="s">
        <v>8495</v>
      </c>
      <c r="LEI1" s="15" t="s">
        <v>8496</v>
      </c>
      <c r="LEJ1" s="15" t="s">
        <v>8497</v>
      </c>
      <c r="LEK1" s="15" t="s">
        <v>8498</v>
      </c>
      <c r="LEL1" s="15" t="s">
        <v>8499</v>
      </c>
      <c r="LEM1" s="15" t="s">
        <v>8500</v>
      </c>
      <c r="LEN1" s="15" t="s">
        <v>8501</v>
      </c>
      <c r="LEO1" s="15" t="s">
        <v>8502</v>
      </c>
      <c r="LEP1" s="15" t="s">
        <v>8503</v>
      </c>
      <c r="LEQ1" s="15" t="s">
        <v>8504</v>
      </c>
      <c r="LER1" s="15" t="s">
        <v>8505</v>
      </c>
      <c r="LES1" s="15" t="s">
        <v>8506</v>
      </c>
      <c r="LET1" s="15" t="s">
        <v>8507</v>
      </c>
      <c r="LEU1" s="15" t="s">
        <v>8508</v>
      </c>
      <c r="LEV1" s="15" t="s">
        <v>8509</v>
      </c>
      <c r="LEW1" s="15" t="s">
        <v>8510</v>
      </c>
      <c r="LEX1" s="15" t="s">
        <v>8511</v>
      </c>
      <c r="LEY1" s="15" t="s">
        <v>8512</v>
      </c>
      <c r="LEZ1" s="15" t="s">
        <v>8513</v>
      </c>
      <c r="LFA1" s="15" t="s">
        <v>8514</v>
      </c>
      <c r="LFB1" s="15" t="s">
        <v>8515</v>
      </c>
      <c r="LFC1" s="15" t="s">
        <v>8516</v>
      </c>
      <c r="LFD1" s="15" t="s">
        <v>8517</v>
      </c>
      <c r="LFE1" s="15" t="s">
        <v>8518</v>
      </c>
      <c r="LFF1" s="15" t="s">
        <v>8519</v>
      </c>
      <c r="LFG1" s="15" t="s">
        <v>8520</v>
      </c>
      <c r="LFH1" s="15" t="s">
        <v>8521</v>
      </c>
      <c r="LFI1" s="15" t="s">
        <v>8522</v>
      </c>
      <c r="LFJ1" s="15" t="s">
        <v>8523</v>
      </c>
      <c r="LFK1" s="15" t="s">
        <v>8524</v>
      </c>
      <c r="LFL1" s="15" t="s">
        <v>8525</v>
      </c>
      <c r="LFM1" s="15" t="s">
        <v>8526</v>
      </c>
      <c r="LFN1" s="15" t="s">
        <v>8527</v>
      </c>
      <c r="LFO1" s="15" t="s">
        <v>8528</v>
      </c>
      <c r="LFP1" s="15" t="s">
        <v>8529</v>
      </c>
      <c r="LFQ1" s="15" t="s">
        <v>8530</v>
      </c>
      <c r="LFR1" s="15" t="s">
        <v>8531</v>
      </c>
      <c r="LFS1" s="15" t="s">
        <v>8532</v>
      </c>
      <c r="LFT1" s="15" t="s">
        <v>8533</v>
      </c>
      <c r="LFU1" s="15" t="s">
        <v>8534</v>
      </c>
      <c r="LFV1" s="15" t="s">
        <v>8535</v>
      </c>
      <c r="LFW1" s="15" t="s">
        <v>8536</v>
      </c>
      <c r="LFX1" s="15" t="s">
        <v>8537</v>
      </c>
      <c r="LFY1" s="15" t="s">
        <v>8538</v>
      </c>
      <c r="LFZ1" s="15" t="s">
        <v>8539</v>
      </c>
      <c r="LGA1" s="15" t="s">
        <v>8540</v>
      </c>
      <c r="LGB1" s="15" t="s">
        <v>8541</v>
      </c>
      <c r="LGC1" s="15" t="s">
        <v>8542</v>
      </c>
      <c r="LGD1" s="15" t="s">
        <v>8543</v>
      </c>
      <c r="LGE1" s="15" t="s">
        <v>8544</v>
      </c>
      <c r="LGF1" s="15" t="s">
        <v>8545</v>
      </c>
      <c r="LGG1" s="15" t="s">
        <v>8546</v>
      </c>
      <c r="LGH1" s="15" t="s">
        <v>8547</v>
      </c>
      <c r="LGI1" s="15" t="s">
        <v>8548</v>
      </c>
      <c r="LGJ1" s="15" t="s">
        <v>8549</v>
      </c>
      <c r="LGK1" s="15" t="s">
        <v>8550</v>
      </c>
      <c r="LGL1" s="15" t="s">
        <v>8551</v>
      </c>
      <c r="LGM1" s="15" t="s">
        <v>8552</v>
      </c>
      <c r="LGN1" s="15" t="s">
        <v>8553</v>
      </c>
      <c r="LGO1" s="15" t="s">
        <v>8554</v>
      </c>
      <c r="LGP1" s="15" t="s">
        <v>8555</v>
      </c>
      <c r="LGQ1" s="15" t="s">
        <v>8556</v>
      </c>
      <c r="LGR1" s="15" t="s">
        <v>8557</v>
      </c>
      <c r="LGS1" s="15" t="s">
        <v>8558</v>
      </c>
      <c r="LGT1" s="15" t="s">
        <v>8559</v>
      </c>
      <c r="LGU1" s="15" t="s">
        <v>8560</v>
      </c>
      <c r="LGV1" s="15" t="s">
        <v>8561</v>
      </c>
      <c r="LGW1" s="15" t="s">
        <v>8562</v>
      </c>
      <c r="LGX1" s="15" t="s">
        <v>8563</v>
      </c>
      <c r="LGY1" s="15" t="s">
        <v>8564</v>
      </c>
      <c r="LGZ1" s="15" t="s">
        <v>8565</v>
      </c>
      <c r="LHA1" s="15" t="s">
        <v>8566</v>
      </c>
      <c r="LHB1" s="15" t="s">
        <v>8567</v>
      </c>
      <c r="LHC1" s="15" t="s">
        <v>8568</v>
      </c>
      <c r="LHD1" s="15" t="s">
        <v>8569</v>
      </c>
      <c r="LHE1" s="15" t="s">
        <v>8570</v>
      </c>
      <c r="LHF1" s="15" t="s">
        <v>8571</v>
      </c>
      <c r="LHG1" s="15" t="s">
        <v>8572</v>
      </c>
      <c r="LHH1" s="15" t="s">
        <v>8573</v>
      </c>
      <c r="LHI1" s="15" t="s">
        <v>8574</v>
      </c>
      <c r="LHJ1" s="15" t="s">
        <v>8575</v>
      </c>
      <c r="LHK1" s="15" t="s">
        <v>8576</v>
      </c>
      <c r="LHL1" s="15" t="s">
        <v>8577</v>
      </c>
      <c r="LHM1" s="15" t="s">
        <v>8578</v>
      </c>
      <c r="LHN1" s="15" t="s">
        <v>8579</v>
      </c>
      <c r="LHO1" s="15" t="s">
        <v>8580</v>
      </c>
      <c r="LHP1" s="15" t="s">
        <v>8581</v>
      </c>
      <c r="LHQ1" s="15" t="s">
        <v>8582</v>
      </c>
      <c r="LHR1" s="15" t="s">
        <v>8583</v>
      </c>
      <c r="LHS1" s="15" t="s">
        <v>8584</v>
      </c>
      <c r="LHT1" s="15" t="s">
        <v>8585</v>
      </c>
      <c r="LHU1" s="15" t="s">
        <v>8586</v>
      </c>
      <c r="LHV1" s="15" t="s">
        <v>8587</v>
      </c>
      <c r="LHW1" s="15" t="s">
        <v>8588</v>
      </c>
      <c r="LHX1" s="15" t="s">
        <v>8589</v>
      </c>
      <c r="LHY1" s="15" t="s">
        <v>8590</v>
      </c>
      <c r="LHZ1" s="15" t="s">
        <v>8591</v>
      </c>
      <c r="LIA1" s="15" t="s">
        <v>8592</v>
      </c>
      <c r="LIB1" s="15" t="s">
        <v>8593</v>
      </c>
      <c r="LIC1" s="15" t="s">
        <v>8594</v>
      </c>
      <c r="LID1" s="15" t="s">
        <v>8595</v>
      </c>
      <c r="LIE1" s="15" t="s">
        <v>8596</v>
      </c>
      <c r="LIF1" s="15" t="s">
        <v>8597</v>
      </c>
      <c r="LIG1" s="15" t="s">
        <v>8598</v>
      </c>
      <c r="LIH1" s="15" t="s">
        <v>8599</v>
      </c>
      <c r="LII1" s="15" t="s">
        <v>8600</v>
      </c>
      <c r="LIJ1" s="15" t="s">
        <v>8601</v>
      </c>
      <c r="LIK1" s="15" t="s">
        <v>8602</v>
      </c>
      <c r="LIL1" s="15" t="s">
        <v>8603</v>
      </c>
      <c r="LIM1" s="15" t="s">
        <v>8604</v>
      </c>
      <c r="LIN1" s="15" t="s">
        <v>8605</v>
      </c>
      <c r="LIO1" s="15" t="s">
        <v>8606</v>
      </c>
      <c r="LIP1" s="15" t="s">
        <v>8607</v>
      </c>
      <c r="LIQ1" s="15" t="s">
        <v>8608</v>
      </c>
      <c r="LIR1" s="15" t="s">
        <v>8609</v>
      </c>
      <c r="LIS1" s="15" t="s">
        <v>8610</v>
      </c>
      <c r="LIT1" s="15" t="s">
        <v>8611</v>
      </c>
      <c r="LIU1" s="15" t="s">
        <v>8612</v>
      </c>
      <c r="LIV1" s="15" t="s">
        <v>8613</v>
      </c>
      <c r="LIW1" s="15" t="s">
        <v>8614</v>
      </c>
      <c r="LIX1" s="15" t="s">
        <v>8615</v>
      </c>
      <c r="LIY1" s="15" t="s">
        <v>8616</v>
      </c>
      <c r="LIZ1" s="15" t="s">
        <v>8617</v>
      </c>
      <c r="LJA1" s="15" t="s">
        <v>8618</v>
      </c>
      <c r="LJB1" s="15" t="s">
        <v>8619</v>
      </c>
      <c r="LJC1" s="15" t="s">
        <v>8620</v>
      </c>
      <c r="LJD1" s="15" t="s">
        <v>8621</v>
      </c>
      <c r="LJE1" s="15" t="s">
        <v>8622</v>
      </c>
      <c r="LJF1" s="15" t="s">
        <v>8623</v>
      </c>
      <c r="LJG1" s="15" t="s">
        <v>8624</v>
      </c>
      <c r="LJH1" s="15" t="s">
        <v>8625</v>
      </c>
      <c r="LJI1" s="15" t="s">
        <v>8626</v>
      </c>
      <c r="LJJ1" s="15" t="s">
        <v>8627</v>
      </c>
      <c r="LJK1" s="15" t="s">
        <v>8628</v>
      </c>
      <c r="LJL1" s="15" t="s">
        <v>8629</v>
      </c>
      <c r="LJM1" s="15" t="s">
        <v>8630</v>
      </c>
      <c r="LJN1" s="15" t="s">
        <v>8631</v>
      </c>
      <c r="LJO1" s="15" t="s">
        <v>8632</v>
      </c>
      <c r="LJP1" s="15" t="s">
        <v>8633</v>
      </c>
      <c r="LJQ1" s="15" t="s">
        <v>8634</v>
      </c>
      <c r="LJR1" s="15" t="s">
        <v>8635</v>
      </c>
      <c r="LJS1" s="15" t="s">
        <v>8636</v>
      </c>
      <c r="LJT1" s="15" t="s">
        <v>8637</v>
      </c>
      <c r="LJU1" s="15" t="s">
        <v>8638</v>
      </c>
      <c r="LJV1" s="15" t="s">
        <v>8639</v>
      </c>
      <c r="LJW1" s="15" t="s">
        <v>8640</v>
      </c>
      <c r="LJX1" s="15" t="s">
        <v>8641</v>
      </c>
      <c r="LJY1" s="15" t="s">
        <v>8642</v>
      </c>
      <c r="LJZ1" s="15" t="s">
        <v>8643</v>
      </c>
      <c r="LKA1" s="15" t="s">
        <v>8644</v>
      </c>
      <c r="LKB1" s="15" t="s">
        <v>8645</v>
      </c>
      <c r="LKC1" s="15" t="s">
        <v>8646</v>
      </c>
      <c r="LKD1" s="15" t="s">
        <v>8647</v>
      </c>
      <c r="LKE1" s="15" t="s">
        <v>8648</v>
      </c>
      <c r="LKF1" s="15" t="s">
        <v>8649</v>
      </c>
      <c r="LKG1" s="15" t="s">
        <v>8650</v>
      </c>
      <c r="LKH1" s="15" t="s">
        <v>8651</v>
      </c>
      <c r="LKI1" s="15" t="s">
        <v>8652</v>
      </c>
      <c r="LKJ1" s="15" t="s">
        <v>8653</v>
      </c>
      <c r="LKK1" s="15" t="s">
        <v>8654</v>
      </c>
      <c r="LKL1" s="15" t="s">
        <v>8655</v>
      </c>
      <c r="LKM1" s="15" t="s">
        <v>8656</v>
      </c>
      <c r="LKN1" s="15" t="s">
        <v>8657</v>
      </c>
      <c r="LKO1" s="15" t="s">
        <v>8658</v>
      </c>
      <c r="LKP1" s="15" t="s">
        <v>8659</v>
      </c>
      <c r="LKQ1" s="15" t="s">
        <v>8660</v>
      </c>
      <c r="LKR1" s="15" t="s">
        <v>8661</v>
      </c>
      <c r="LKS1" s="15" t="s">
        <v>8662</v>
      </c>
      <c r="LKT1" s="15" t="s">
        <v>8663</v>
      </c>
      <c r="LKU1" s="15" t="s">
        <v>8664</v>
      </c>
      <c r="LKV1" s="15" t="s">
        <v>8665</v>
      </c>
      <c r="LKW1" s="15" t="s">
        <v>8666</v>
      </c>
      <c r="LKX1" s="15" t="s">
        <v>8667</v>
      </c>
      <c r="LKY1" s="15" t="s">
        <v>8668</v>
      </c>
      <c r="LKZ1" s="15" t="s">
        <v>8669</v>
      </c>
      <c r="LLA1" s="15" t="s">
        <v>8670</v>
      </c>
      <c r="LLB1" s="15" t="s">
        <v>8671</v>
      </c>
      <c r="LLC1" s="15" t="s">
        <v>8672</v>
      </c>
      <c r="LLD1" s="15" t="s">
        <v>8673</v>
      </c>
      <c r="LLE1" s="15" t="s">
        <v>8674</v>
      </c>
      <c r="LLF1" s="15" t="s">
        <v>8675</v>
      </c>
      <c r="LLG1" s="15" t="s">
        <v>8676</v>
      </c>
      <c r="LLH1" s="15" t="s">
        <v>8677</v>
      </c>
      <c r="LLI1" s="15" t="s">
        <v>8678</v>
      </c>
      <c r="LLJ1" s="15" t="s">
        <v>8679</v>
      </c>
      <c r="LLK1" s="15" t="s">
        <v>8680</v>
      </c>
      <c r="LLL1" s="15" t="s">
        <v>8681</v>
      </c>
      <c r="LLM1" s="15" t="s">
        <v>8682</v>
      </c>
      <c r="LLN1" s="15" t="s">
        <v>8683</v>
      </c>
      <c r="LLO1" s="15" t="s">
        <v>8684</v>
      </c>
      <c r="LLP1" s="15" t="s">
        <v>8685</v>
      </c>
      <c r="LLQ1" s="15" t="s">
        <v>8686</v>
      </c>
      <c r="LLR1" s="15" t="s">
        <v>8687</v>
      </c>
      <c r="LLS1" s="15" t="s">
        <v>8688</v>
      </c>
      <c r="LLT1" s="15" t="s">
        <v>8689</v>
      </c>
      <c r="LLU1" s="15" t="s">
        <v>8690</v>
      </c>
      <c r="LLV1" s="15" t="s">
        <v>8691</v>
      </c>
      <c r="LLW1" s="15" t="s">
        <v>8692</v>
      </c>
      <c r="LLX1" s="15" t="s">
        <v>8693</v>
      </c>
      <c r="LLY1" s="15" t="s">
        <v>8694</v>
      </c>
      <c r="LLZ1" s="15" t="s">
        <v>8695</v>
      </c>
      <c r="LMA1" s="15" t="s">
        <v>8696</v>
      </c>
      <c r="LMB1" s="15" t="s">
        <v>8697</v>
      </c>
      <c r="LMC1" s="15" t="s">
        <v>8698</v>
      </c>
      <c r="LMD1" s="15" t="s">
        <v>8699</v>
      </c>
      <c r="LME1" s="15" t="s">
        <v>8700</v>
      </c>
      <c r="LMF1" s="15" t="s">
        <v>8701</v>
      </c>
      <c r="LMG1" s="15" t="s">
        <v>8702</v>
      </c>
      <c r="LMH1" s="15" t="s">
        <v>8703</v>
      </c>
      <c r="LMI1" s="15" t="s">
        <v>8704</v>
      </c>
      <c r="LMJ1" s="15" t="s">
        <v>8705</v>
      </c>
      <c r="LMK1" s="15" t="s">
        <v>8706</v>
      </c>
      <c r="LML1" s="15" t="s">
        <v>8707</v>
      </c>
      <c r="LMM1" s="15" t="s">
        <v>8708</v>
      </c>
      <c r="LMN1" s="15" t="s">
        <v>8709</v>
      </c>
      <c r="LMO1" s="15" t="s">
        <v>8710</v>
      </c>
      <c r="LMP1" s="15" t="s">
        <v>8711</v>
      </c>
      <c r="LMQ1" s="15" t="s">
        <v>8712</v>
      </c>
      <c r="LMR1" s="15" t="s">
        <v>8713</v>
      </c>
      <c r="LMS1" s="15" t="s">
        <v>8714</v>
      </c>
      <c r="LMT1" s="15" t="s">
        <v>8715</v>
      </c>
      <c r="LMU1" s="15" t="s">
        <v>8716</v>
      </c>
      <c r="LMV1" s="15" t="s">
        <v>8717</v>
      </c>
      <c r="LMW1" s="15" t="s">
        <v>8718</v>
      </c>
      <c r="LMX1" s="15" t="s">
        <v>8719</v>
      </c>
      <c r="LMY1" s="15" t="s">
        <v>8720</v>
      </c>
      <c r="LMZ1" s="15" t="s">
        <v>8721</v>
      </c>
      <c r="LNA1" s="15" t="s">
        <v>8722</v>
      </c>
      <c r="LNB1" s="15" t="s">
        <v>8723</v>
      </c>
      <c r="LNC1" s="15" t="s">
        <v>8724</v>
      </c>
      <c r="LND1" s="15" t="s">
        <v>8725</v>
      </c>
      <c r="LNE1" s="15" t="s">
        <v>8726</v>
      </c>
      <c r="LNF1" s="15" t="s">
        <v>8727</v>
      </c>
      <c r="LNG1" s="15" t="s">
        <v>8728</v>
      </c>
      <c r="LNH1" s="15" t="s">
        <v>8729</v>
      </c>
      <c r="LNI1" s="15" t="s">
        <v>8730</v>
      </c>
      <c r="LNJ1" s="15" t="s">
        <v>8731</v>
      </c>
      <c r="LNK1" s="15" t="s">
        <v>8732</v>
      </c>
      <c r="LNL1" s="15" t="s">
        <v>8733</v>
      </c>
      <c r="LNM1" s="15" t="s">
        <v>8734</v>
      </c>
      <c r="LNN1" s="15" t="s">
        <v>8735</v>
      </c>
      <c r="LNO1" s="15" t="s">
        <v>8736</v>
      </c>
      <c r="LNP1" s="15" t="s">
        <v>8737</v>
      </c>
      <c r="LNQ1" s="15" t="s">
        <v>8738</v>
      </c>
      <c r="LNR1" s="15" t="s">
        <v>8739</v>
      </c>
      <c r="LNS1" s="15" t="s">
        <v>8740</v>
      </c>
      <c r="LNT1" s="15" t="s">
        <v>8741</v>
      </c>
      <c r="LNU1" s="15" t="s">
        <v>8742</v>
      </c>
      <c r="LNV1" s="15" t="s">
        <v>8743</v>
      </c>
      <c r="LNW1" s="15" t="s">
        <v>8744</v>
      </c>
      <c r="LNX1" s="15" t="s">
        <v>8745</v>
      </c>
      <c r="LNY1" s="15" t="s">
        <v>8746</v>
      </c>
      <c r="LNZ1" s="15" t="s">
        <v>8747</v>
      </c>
      <c r="LOA1" s="15" t="s">
        <v>8748</v>
      </c>
      <c r="LOB1" s="15" t="s">
        <v>8749</v>
      </c>
      <c r="LOC1" s="15" t="s">
        <v>8750</v>
      </c>
      <c r="LOD1" s="15" t="s">
        <v>8751</v>
      </c>
      <c r="LOE1" s="15" t="s">
        <v>8752</v>
      </c>
      <c r="LOF1" s="15" t="s">
        <v>8753</v>
      </c>
      <c r="LOG1" s="15" t="s">
        <v>8754</v>
      </c>
      <c r="LOH1" s="15" t="s">
        <v>8755</v>
      </c>
      <c r="LOI1" s="15" t="s">
        <v>8756</v>
      </c>
      <c r="LOJ1" s="15" t="s">
        <v>8757</v>
      </c>
      <c r="LOK1" s="15" t="s">
        <v>8758</v>
      </c>
      <c r="LOL1" s="15" t="s">
        <v>8759</v>
      </c>
      <c r="LOM1" s="15" t="s">
        <v>8760</v>
      </c>
      <c r="LON1" s="15" t="s">
        <v>8761</v>
      </c>
      <c r="LOO1" s="15" t="s">
        <v>8762</v>
      </c>
      <c r="LOP1" s="15" t="s">
        <v>8763</v>
      </c>
      <c r="LOQ1" s="15" t="s">
        <v>8764</v>
      </c>
      <c r="LOR1" s="15" t="s">
        <v>8765</v>
      </c>
      <c r="LOS1" s="15" t="s">
        <v>8766</v>
      </c>
      <c r="LOT1" s="15" t="s">
        <v>8767</v>
      </c>
      <c r="LOU1" s="15" t="s">
        <v>8768</v>
      </c>
      <c r="LOV1" s="15" t="s">
        <v>8769</v>
      </c>
      <c r="LOW1" s="15" t="s">
        <v>8770</v>
      </c>
      <c r="LOX1" s="15" t="s">
        <v>8771</v>
      </c>
      <c r="LOY1" s="15" t="s">
        <v>8772</v>
      </c>
      <c r="LOZ1" s="15" t="s">
        <v>8773</v>
      </c>
      <c r="LPA1" s="15" t="s">
        <v>8774</v>
      </c>
      <c r="LPB1" s="15" t="s">
        <v>8775</v>
      </c>
      <c r="LPC1" s="15" t="s">
        <v>8776</v>
      </c>
      <c r="LPD1" s="15" t="s">
        <v>8777</v>
      </c>
      <c r="LPE1" s="15" t="s">
        <v>8778</v>
      </c>
      <c r="LPF1" s="15" t="s">
        <v>8779</v>
      </c>
      <c r="LPG1" s="15" t="s">
        <v>8780</v>
      </c>
      <c r="LPH1" s="15" t="s">
        <v>8781</v>
      </c>
      <c r="LPI1" s="15" t="s">
        <v>8782</v>
      </c>
      <c r="LPJ1" s="15" t="s">
        <v>8783</v>
      </c>
      <c r="LPK1" s="15" t="s">
        <v>8784</v>
      </c>
      <c r="LPL1" s="15" t="s">
        <v>8785</v>
      </c>
      <c r="LPM1" s="15" t="s">
        <v>8786</v>
      </c>
      <c r="LPN1" s="15" t="s">
        <v>8787</v>
      </c>
      <c r="LPO1" s="15" t="s">
        <v>8788</v>
      </c>
      <c r="LPP1" s="15" t="s">
        <v>8789</v>
      </c>
      <c r="LPQ1" s="15" t="s">
        <v>8790</v>
      </c>
      <c r="LPR1" s="15" t="s">
        <v>8791</v>
      </c>
      <c r="LPS1" s="15" t="s">
        <v>8792</v>
      </c>
      <c r="LPT1" s="15" t="s">
        <v>8793</v>
      </c>
      <c r="LPU1" s="15" t="s">
        <v>8794</v>
      </c>
      <c r="LPV1" s="15" t="s">
        <v>8795</v>
      </c>
      <c r="LPW1" s="15" t="s">
        <v>8796</v>
      </c>
      <c r="LPX1" s="15" t="s">
        <v>8797</v>
      </c>
      <c r="LPY1" s="15" t="s">
        <v>8798</v>
      </c>
      <c r="LPZ1" s="15" t="s">
        <v>8799</v>
      </c>
      <c r="LQA1" s="15" t="s">
        <v>8800</v>
      </c>
      <c r="LQB1" s="15" t="s">
        <v>8801</v>
      </c>
      <c r="LQC1" s="15" t="s">
        <v>8802</v>
      </c>
      <c r="LQD1" s="15" t="s">
        <v>8803</v>
      </c>
      <c r="LQE1" s="15" t="s">
        <v>8804</v>
      </c>
      <c r="LQF1" s="15" t="s">
        <v>8805</v>
      </c>
      <c r="LQG1" s="15" t="s">
        <v>8806</v>
      </c>
      <c r="LQH1" s="15" t="s">
        <v>8807</v>
      </c>
      <c r="LQI1" s="15" t="s">
        <v>8808</v>
      </c>
      <c r="LQJ1" s="15" t="s">
        <v>8809</v>
      </c>
      <c r="LQK1" s="15" t="s">
        <v>8810</v>
      </c>
      <c r="LQL1" s="15" t="s">
        <v>8811</v>
      </c>
      <c r="LQM1" s="15" t="s">
        <v>8812</v>
      </c>
      <c r="LQN1" s="15" t="s">
        <v>8813</v>
      </c>
      <c r="LQO1" s="15" t="s">
        <v>8814</v>
      </c>
      <c r="LQP1" s="15" t="s">
        <v>8815</v>
      </c>
      <c r="LQQ1" s="15" t="s">
        <v>8816</v>
      </c>
      <c r="LQR1" s="15" t="s">
        <v>8817</v>
      </c>
      <c r="LQS1" s="15" t="s">
        <v>8818</v>
      </c>
      <c r="LQT1" s="15" t="s">
        <v>8819</v>
      </c>
      <c r="LQU1" s="15" t="s">
        <v>8820</v>
      </c>
      <c r="LQV1" s="15" t="s">
        <v>8821</v>
      </c>
      <c r="LQW1" s="15" t="s">
        <v>8822</v>
      </c>
      <c r="LQX1" s="15" t="s">
        <v>8823</v>
      </c>
      <c r="LQY1" s="15" t="s">
        <v>8824</v>
      </c>
      <c r="LQZ1" s="15" t="s">
        <v>8825</v>
      </c>
      <c r="LRA1" s="15" t="s">
        <v>8826</v>
      </c>
      <c r="LRB1" s="15" t="s">
        <v>8827</v>
      </c>
      <c r="LRC1" s="15" t="s">
        <v>8828</v>
      </c>
      <c r="LRD1" s="15" t="s">
        <v>8829</v>
      </c>
      <c r="LRE1" s="15" t="s">
        <v>8830</v>
      </c>
      <c r="LRF1" s="15" t="s">
        <v>8831</v>
      </c>
      <c r="LRG1" s="15" t="s">
        <v>8832</v>
      </c>
      <c r="LRH1" s="15" t="s">
        <v>8833</v>
      </c>
      <c r="LRI1" s="15" t="s">
        <v>8834</v>
      </c>
      <c r="LRJ1" s="15" t="s">
        <v>8835</v>
      </c>
      <c r="LRK1" s="15" t="s">
        <v>8836</v>
      </c>
      <c r="LRL1" s="15" t="s">
        <v>8837</v>
      </c>
      <c r="LRM1" s="15" t="s">
        <v>8838</v>
      </c>
      <c r="LRN1" s="15" t="s">
        <v>8839</v>
      </c>
      <c r="LRO1" s="15" t="s">
        <v>8840</v>
      </c>
      <c r="LRP1" s="15" t="s">
        <v>8841</v>
      </c>
      <c r="LRQ1" s="15" t="s">
        <v>8842</v>
      </c>
      <c r="LRR1" s="15" t="s">
        <v>8843</v>
      </c>
      <c r="LRS1" s="15" t="s">
        <v>8844</v>
      </c>
      <c r="LRT1" s="15" t="s">
        <v>8845</v>
      </c>
      <c r="LRU1" s="15" t="s">
        <v>8846</v>
      </c>
      <c r="LRV1" s="15" t="s">
        <v>8847</v>
      </c>
      <c r="LRW1" s="15" t="s">
        <v>8848</v>
      </c>
      <c r="LRX1" s="15" t="s">
        <v>8849</v>
      </c>
      <c r="LRY1" s="15" t="s">
        <v>8850</v>
      </c>
      <c r="LRZ1" s="15" t="s">
        <v>8851</v>
      </c>
      <c r="LSA1" s="15" t="s">
        <v>8852</v>
      </c>
      <c r="LSB1" s="15" t="s">
        <v>8853</v>
      </c>
      <c r="LSC1" s="15" t="s">
        <v>8854</v>
      </c>
      <c r="LSD1" s="15" t="s">
        <v>8855</v>
      </c>
      <c r="LSE1" s="15" t="s">
        <v>8856</v>
      </c>
      <c r="LSF1" s="15" t="s">
        <v>8857</v>
      </c>
      <c r="LSG1" s="15" t="s">
        <v>8858</v>
      </c>
      <c r="LSH1" s="15" t="s">
        <v>8859</v>
      </c>
      <c r="LSI1" s="15" t="s">
        <v>8860</v>
      </c>
      <c r="LSJ1" s="15" t="s">
        <v>8861</v>
      </c>
      <c r="LSK1" s="15" t="s">
        <v>8862</v>
      </c>
      <c r="LSL1" s="15" t="s">
        <v>8863</v>
      </c>
      <c r="LSM1" s="15" t="s">
        <v>8864</v>
      </c>
      <c r="LSN1" s="15" t="s">
        <v>8865</v>
      </c>
      <c r="LSO1" s="15" t="s">
        <v>8866</v>
      </c>
      <c r="LSP1" s="15" t="s">
        <v>8867</v>
      </c>
      <c r="LSQ1" s="15" t="s">
        <v>8868</v>
      </c>
      <c r="LSR1" s="15" t="s">
        <v>8869</v>
      </c>
      <c r="LSS1" s="15" t="s">
        <v>8870</v>
      </c>
      <c r="LST1" s="15" t="s">
        <v>8871</v>
      </c>
      <c r="LSU1" s="15" t="s">
        <v>8872</v>
      </c>
      <c r="LSV1" s="15" t="s">
        <v>8873</v>
      </c>
      <c r="LSW1" s="15" t="s">
        <v>8874</v>
      </c>
      <c r="LSX1" s="15" t="s">
        <v>8875</v>
      </c>
      <c r="LSY1" s="15" t="s">
        <v>8876</v>
      </c>
      <c r="LSZ1" s="15" t="s">
        <v>8877</v>
      </c>
      <c r="LTA1" s="15" t="s">
        <v>8878</v>
      </c>
      <c r="LTB1" s="15" t="s">
        <v>8879</v>
      </c>
      <c r="LTC1" s="15" t="s">
        <v>8880</v>
      </c>
      <c r="LTD1" s="15" t="s">
        <v>8881</v>
      </c>
      <c r="LTE1" s="15" t="s">
        <v>8882</v>
      </c>
      <c r="LTF1" s="15" t="s">
        <v>8883</v>
      </c>
      <c r="LTG1" s="15" t="s">
        <v>8884</v>
      </c>
      <c r="LTH1" s="15" t="s">
        <v>8885</v>
      </c>
      <c r="LTI1" s="15" t="s">
        <v>8886</v>
      </c>
      <c r="LTJ1" s="15" t="s">
        <v>8887</v>
      </c>
      <c r="LTK1" s="15" t="s">
        <v>8888</v>
      </c>
      <c r="LTL1" s="15" t="s">
        <v>8889</v>
      </c>
      <c r="LTM1" s="15" t="s">
        <v>8890</v>
      </c>
      <c r="LTN1" s="15" t="s">
        <v>8891</v>
      </c>
      <c r="LTO1" s="15" t="s">
        <v>8892</v>
      </c>
      <c r="LTP1" s="15" t="s">
        <v>8893</v>
      </c>
      <c r="LTQ1" s="15" t="s">
        <v>8894</v>
      </c>
      <c r="LTR1" s="15" t="s">
        <v>8895</v>
      </c>
      <c r="LTS1" s="15" t="s">
        <v>8896</v>
      </c>
      <c r="LTT1" s="15" t="s">
        <v>8897</v>
      </c>
      <c r="LTU1" s="15" t="s">
        <v>8898</v>
      </c>
      <c r="LTV1" s="15" t="s">
        <v>8899</v>
      </c>
      <c r="LTW1" s="15" t="s">
        <v>8900</v>
      </c>
      <c r="LTX1" s="15" t="s">
        <v>8901</v>
      </c>
      <c r="LTY1" s="15" t="s">
        <v>8902</v>
      </c>
      <c r="LTZ1" s="15" t="s">
        <v>8903</v>
      </c>
      <c r="LUA1" s="15" t="s">
        <v>8904</v>
      </c>
      <c r="LUB1" s="15" t="s">
        <v>8905</v>
      </c>
      <c r="LUC1" s="15" t="s">
        <v>8906</v>
      </c>
      <c r="LUD1" s="15" t="s">
        <v>8907</v>
      </c>
      <c r="LUE1" s="15" t="s">
        <v>8908</v>
      </c>
      <c r="LUF1" s="15" t="s">
        <v>8909</v>
      </c>
      <c r="LUG1" s="15" t="s">
        <v>8910</v>
      </c>
      <c r="LUH1" s="15" t="s">
        <v>8911</v>
      </c>
      <c r="LUI1" s="15" t="s">
        <v>8912</v>
      </c>
      <c r="LUJ1" s="15" t="s">
        <v>8913</v>
      </c>
      <c r="LUK1" s="15" t="s">
        <v>8914</v>
      </c>
      <c r="LUL1" s="15" t="s">
        <v>8915</v>
      </c>
      <c r="LUM1" s="15" t="s">
        <v>8916</v>
      </c>
      <c r="LUN1" s="15" t="s">
        <v>8917</v>
      </c>
      <c r="LUO1" s="15" t="s">
        <v>8918</v>
      </c>
      <c r="LUP1" s="15" t="s">
        <v>8919</v>
      </c>
      <c r="LUQ1" s="15" t="s">
        <v>8920</v>
      </c>
      <c r="LUR1" s="15" t="s">
        <v>8921</v>
      </c>
      <c r="LUS1" s="15" t="s">
        <v>8922</v>
      </c>
      <c r="LUT1" s="15" t="s">
        <v>8923</v>
      </c>
      <c r="LUU1" s="15" t="s">
        <v>8924</v>
      </c>
      <c r="LUV1" s="15" t="s">
        <v>8925</v>
      </c>
      <c r="LUW1" s="15" t="s">
        <v>8926</v>
      </c>
      <c r="LUX1" s="15" t="s">
        <v>8927</v>
      </c>
      <c r="LUY1" s="15" t="s">
        <v>8928</v>
      </c>
      <c r="LUZ1" s="15" t="s">
        <v>8929</v>
      </c>
      <c r="LVA1" s="15" t="s">
        <v>8930</v>
      </c>
      <c r="LVB1" s="15" t="s">
        <v>8931</v>
      </c>
      <c r="LVC1" s="15" t="s">
        <v>8932</v>
      </c>
      <c r="LVD1" s="15" t="s">
        <v>8933</v>
      </c>
      <c r="LVE1" s="15" t="s">
        <v>8934</v>
      </c>
      <c r="LVF1" s="15" t="s">
        <v>8935</v>
      </c>
      <c r="LVG1" s="15" t="s">
        <v>8936</v>
      </c>
      <c r="LVH1" s="15" t="s">
        <v>8937</v>
      </c>
      <c r="LVI1" s="15" t="s">
        <v>8938</v>
      </c>
      <c r="LVJ1" s="15" t="s">
        <v>8939</v>
      </c>
      <c r="LVK1" s="15" t="s">
        <v>8940</v>
      </c>
      <c r="LVL1" s="15" t="s">
        <v>8941</v>
      </c>
      <c r="LVM1" s="15" t="s">
        <v>8942</v>
      </c>
      <c r="LVN1" s="15" t="s">
        <v>8943</v>
      </c>
      <c r="LVO1" s="15" t="s">
        <v>8944</v>
      </c>
      <c r="LVP1" s="15" t="s">
        <v>8945</v>
      </c>
      <c r="LVQ1" s="15" t="s">
        <v>8946</v>
      </c>
      <c r="LVR1" s="15" t="s">
        <v>8947</v>
      </c>
      <c r="LVS1" s="15" t="s">
        <v>8948</v>
      </c>
      <c r="LVT1" s="15" t="s">
        <v>8949</v>
      </c>
      <c r="LVU1" s="15" t="s">
        <v>8950</v>
      </c>
      <c r="LVV1" s="15" t="s">
        <v>8951</v>
      </c>
      <c r="LVW1" s="15" t="s">
        <v>8952</v>
      </c>
      <c r="LVX1" s="15" t="s">
        <v>8953</v>
      </c>
      <c r="LVY1" s="15" t="s">
        <v>8954</v>
      </c>
      <c r="LVZ1" s="15" t="s">
        <v>8955</v>
      </c>
      <c r="LWA1" s="15" t="s">
        <v>8956</v>
      </c>
      <c r="LWB1" s="15" t="s">
        <v>8957</v>
      </c>
      <c r="LWC1" s="15" t="s">
        <v>8958</v>
      </c>
      <c r="LWD1" s="15" t="s">
        <v>8959</v>
      </c>
      <c r="LWE1" s="15" t="s">
        <v>8960</v>
      </c>
      <c r="LWF1" s="15" t="s">
        <v>8961</v>
      </c>
      <c r="LWG1" s="15" t="s">
        <v>8962</v>
      </c>
      <c r="LWH1" s="15" t="s">
        <v>8963</v>
      </c>
      <c r="LWI1" s="15" t="s">
        <v>8964</v>
      </c>
      <c r="LWJ1" s="15" t="s">
        <v>8965</v>
      </c>
      <c r="LWK1" s="15" t="s">
        <v>8966</v>
      </c>
      <c r="LWL1" s="15" t="s">
        <v>8967</v>
      </c>
      <c r="LWM1" s="15" t="s">
        <v>8968</v>
      </c>
      <c r="LWN1" s="15" t="s">
        <v>8969</v>
      </c>
      <c r="LWO1" s="15" t="s">
        <v>8970</v>
      </c>
      <c r="LWP1" s="15" t="s">
        <v>8971</v>
      </c>
      <c r="LWQ1" s="15" t="s">
        <v>8972</v>
      </c>
      <c r="LWR1" s="15" t="s">
        <v>8973</v>
      </c>
      <c r="LWS1" s="15" t="s">
        <v>8974</v>
      </c>
      <c r="LWT1" s="15" t="s">
        <v>8975</v>
      </c>
      <c r="LWU1" s="15" t="s">
        <v>8976</v>
      </c>
      <c r="LWV1" s="15" t="s">
        <v>8977</v>
      </c>
      <c r="LWW1" s="15" t="s">
        <v>8978</v>
      </c>
      <c r="LWX1" s="15" t="s">
        <v>8979</v>
      </c>
      <c r="LWY1" s="15" t="s">
        <v>8980</v>
      </c>
      <c r="LWZ1" s="15" t="s">
        <v>8981</v>
      </c>
      <c r="LXA1" s="15" t="s">
        <v>8982</v>
      </c>
      <c r="LXB1" s="15" t="s">
        <v>8983</v>
      </c>
      <c r="LXC1" s="15" t="s">
        <v>8984</v>
      </c>
      <c r="LXD1" s="15" t="s">
        <v>8985</v>
      </c>
      <c r="LXE1" s="15" t="s">
        <v>8986</v>
      </c>
      <c r="LXF1" s="15" t="s">
        <v>8987</v>
      </c>
      <c r="LXG1" s="15" t="s">
        <v>8988</v>
      </c>
      <c r="LXH1" s="15" t="s">
        <v>8989</v>
      </c>
      <c r="LXI1" s="15" t="s">
        <v>8990</v>
      </c>
      <c r="LXJ1" s="15" t="s">
        <v>8991</v>
      </c>
      <c r="LXK1" s="15" t="s">
        <v>8992</v>
      </c>
      <c r="LXL1" s="15" t="s">
        <v>8993</v>
      </c>
      <c r="LXM1" s="15" t="s">
        <v>8994</v>
      </c>
      <c r="LXN1" s="15" t="s">
        <v>8995</v>
      </c>
      <c r="LXO1" s="15" t="s">
        <v>8996</v>
      </c>
      <c r="LXP1" s="15" t="s">
        <v>8997</v>
      </c>
      <c r="LXQ1" s="15" t="s">
        <v>8998</v>
      </c>
      <c r="LXR1" s="15" t="s">
        <v>8999</v>
      </c>
      <c r="LXS1" s="15" t="s">
        <v>9000</v>
      </c>
      <c r="LXT1" s="15" t="s">
        <v>9001</v>
      </c>
      <c r="LXU1" s="15" t="s">
        <v>9002</v>
      </c>
      <c r="LXV1" s="15" t="s">
        <v>9003</v>
      </c>
      <c r="LXW1" s="15" t="s">
        <v>9004</v>
      </c>
      <c r="LXX1" s="15" t="s">
        <v>9005</v>
      </c>
      <c r="LXY1" s="15" t="s">
        <v>9006</v>
      </c>
      <c r="LXZ1" s="15" t="s">
        <v>9007</v>
      </c>
      <c r="LYA1" s="15" t="s">
        <v>9008</v>
      </c>
      <c r="LYB1" s="15" t="s">
        <v>9009</v>
      </c>
      <c r="LYC1" s="15" t="s">
        <v>9010</v>
      </c>
      <c r="LYD1" s="15" t="s">
        <v>9011</v>
      </c>
      <c r="LYE1" s="15" t="s">
        <v>9012</v>
      </c>
      <c r="LYF1" s="15" t="s">
        <v>9013</v>
      </c>
      <c r="LYG1" s="15" t="s">
        <v>9014</v>
      </c>
      <c r="LYH1" s="15" t="s">
        <v>9015</v>
      </c>
      <c r="LYI1" s="15" t="s">
        <v>9016</v>
      </c>
      <c r="LYJ1" s="15" t="s">
        <v>9017</v>
      </c>
      <c r="LYK1" s="15" t="s">
        <v>9018</v>
      </c>
      <c r="LYL1" s="15" t="s">
        <v>9019</v>
      </c>
      <c r="LYM1" s="15" t="s">
        <v>9020</v>
      </c>
      <c r="LYN1" s="15" t="s">
        <v>9021</v>
      </c>
      <c r="LYO1" s="15" t="s">
        <v>9022</v>
      </c>
      <c r="LYP1" s="15" t="s">
        <v>9023</v>
      </c>
      <c r="LYQ1" s="15" t="s">
        <v>9024</v>
      </c>
      <c r="LYR1" s="15" t="s">
        <v>9025</v>
      </c>
      <c r="LYS1" s="15" t="s">
        <v>9026</v>
      </c>
      <c r="LYT1" s="15" t="s">
        <v>9027</v>
      </c>
      <c r="LYU1" s="15" t="s">
        <v>9028</v>
      </c>
      <c r="LYV1" s="15" t="s">
        <v>9029</v>
      </c>
      <c r="LYW1" s="15" t="s">
        <v>9030</v>
      </c>
      <c r="LYX1" s="15" t="s">
        <v>9031</v>
      </c>
      <c r="LYY1" s="15" t="s">
        <v>9032</v>
      </c>
      <c r="LYZ1" s="15" t="s">
        <v>9033</v>
      </c>
      <c r="LZA1" s="15" t="s">
        <v>9034</v>
      </c>
      <c r="LZB1" s="15" t="s">
        <v>9035</v>
      </c>
      <c r="LZC1" s="15" t="s">
        <v>9036</v>
      </c>
      <c r="LZD1" s="15" t="s">
        <v>9037</v>
      </c>
      <c r="LZE1" s="15" t="s">
        <v>9038</v>
      </c>
      <c r="LZF1" s="15" t="s">
        <v>9039</v>
      </c>
      <c r="LZG1" s="15" t="s">
        <v>9040</v>
      </c>
      <c r="LZH1" s="15" t="s">
        <v>9041</v>
      </c>
      <c r="LZI1" s="15" t="s">
        <v>9042</v>
      </c>
      <c r="LZJ1" s="15" t="s">
        <v>9043</v>
      </c>
      <c r="LZK1" s="15" t="s">
        <v>9044</v>
      </c>
      <c r="LZL1" s="15" t="s">
        <v>9045</v>
      </c>
      <c r="LZM1" s="15" t="s">
        <v>9046</v>
      </c>
      <c r="LZN1" s="15" t="s">
        <v>9047</v>
      </c>
      <c r="LZO1" s="15" t="s">
        <v>9048</v>
      </c>
      <c r="LZP1" s="15" t="s">
        <v>9049</v>
      </c>
      <c r="LZQ1" s="15" t="s">
        <v>9050</v>
      </c>
      <c r="LZR1" s="15" t="s">
        <v>9051</v>
      </c>
      <c r="LZS1" s="15" t="s">
        <v>9052</v>
      </c>
      <c r="LZT1" s="15" t="s">
        <v>9053</v>
      </c>
      <c r="LZU1" s="15" t="s">
        <v>9054</v>
      </c>
      <c r="LZV1" s="15" t="s">
        <v>9055</v>
      </c>
      <c r="LZW1" s="15" t="s">
        <v>9056</v>
      </c>
      <c r="LZX1" s="15" t="s">
        <v>9057</v>
      </c>
      <c r="LZY1" s="15" t="s">
        <v>9058</v>
      </c>
      <c r="LZZ1" s="15" t="s">
        <v>9059</v>
      </c>
      <c r="MAA1" s="15" t="s">
        <v>9060</v>
      </c>
      <c r="MAB1" s="15" t="s">
        <v>9061</v>
      </c>
      <c r="MAC1" s="15" t="s">
        <v>9062</v>
      </c>
      <c r="MAD1" s="15" t="s">
        <v>9063</v>
      </c>
      <c r="MAE1" s="15" t="s">
        <v>9064</v>
      </c>
      <c r="MAF1" s="15" t="s">
        <v>9065</v>
      </c>
      <c r="MAG1" s="15" t="s">
        <v>9066</v>
      </c>
      <c r="MAH1" s="15" t="s">
        <v>9067</v>
      </c>
      <c r="MAI1" s="15" t="s">
        <v>9068</v>
      </c>
      <c r="MAJ1" s="15" t="s">
        <v>9069</v>
      </c>
      <c r="MAK1" s="15" t="s">
        <v>9070</v>
      </c>
      <c r="MAL1" s="15" t="s">
        <v>9071</v>
      </c>
      <c r="MAM1" s="15" t="s">
        <v>9072</v>
      </c>
      <c r="MAN1" s="15" t="s">
        <v>9073</v>
      </c>
      <c r="MAO1" s="15" t="s">
        <v>9074</v>
      </c>
      <c r="MAP1" s="15" t="s">
        <v>9075</v>
      </c>
      <c r="MAQ1" s="15" t="s">
        <v>9076</v>
      </c>
      <c r="MAR1" s="15" t="s">
        <v>9077</v>
      </c>
      <c r="MAS1" s="15" t="s">
        <v>9078</v>
      </c>
      <c r="MAT1" s="15" t="s">
        <v>9079</v>
      </c>
      <c r="MAU1" s="15" t="s">
        <v>9080</v>
      </c>
      <c r="MAV1" s="15" t="s">
        <v>9081</v>
      </c>
      <c r="MAW1" s="15" t="s">
        <v>9082</v>
      </c>
      <c r="MAX1" s="15" t="s">
        <v>9083</v>
      </c>
      <c r="MAY1" s="15" t="s">
        <v>9084</v>
      </c>
      <c r="MAZ1" s="15" t="s">
        <v>9085</v>
      </c>
      <c r="MBA1" s="15" t="s">
        <v>9086</v>
      </c>
      <c r="MBB1" s="15" t="s">
        <v>9087</v>
      </c>
      <c r="MBC1" s="15" t="s">
        <v>9088</v>
      </c>
      <c r="MBD1" s="15" t="s">
        <v>9089</v>
      </c>
      <c r="MBE1" s="15" t="s">
        <v>9090</v>
      </c>
      <c r="MBF1" s="15" t="s">
        <v>9091</v>
      </c>
      <c r="MBG1" s="15" t="s">
        <v>9092</v>
      </c>
      <c r="MBH1" s="15" t="s">
        <v>9093</v>
      </c>
      <c r="MBI1" s="15" t="s">
        <v>9094</v>
      </c>
      <c r="MBJ1" s="15" t="s">
        <v>9095</v>
      </c>
      <c r="MBK1" s="15" t="s">
        <v>9096</v>
      </c>
      <c r="MBL1" s="15" t="s">
        <v>9097</v>
      </c>
      <c r="MBM1" s="15" t="s">
        <v>9098</v>
      </c>
      <c r="MBN1" s="15" t="s">
        <v>9099</v>
      </c>
      <c r="MBO1" s="15" t="s">
        <v>9100</v>
      </c>
      <c r="MBP1" s="15" t="s">
        <v>9101</v>
      </c>
      <c r="MBQ1" s="15" t="s">
        <v>9102</v>
      </c>
      <c r="MBR1" s="15" t="s">
        <v>9103</v>
      </c>
      <c r="MBS1" s="15" t="s">
        <v>9104</v>
      </c>
      <c r="MBT1" s="15" t="s">
        <v>9105</v>
      </c>
      <c r="MBU1" s="15" t="s">
        <v>9106</v>
      </c>
      <c r="MBV1" s="15" t="s">
        <v>9107</v>
      </c>
      <c r="MBW1" s="15" t="s">
        <v>9108</v>
      </c>
      <c r="MBX1" s="15" t="s">
        <v>9109</v>
      </c>
      <c r="MBY1" s="15" t="s">
        <v>9110</v>
      </c>
      <c r="MBZ1" s="15" t="s">
        <v>9111</v>
      </c>
      <c r="MCA1" s="15" t="s">
        <v>9112</v>
      </c>
      <c r="MCB1" s="15" t="s">
        <v>9113</v>
      </c>
      <c r="MCC1" s="15" t="s">
        <v>9114</v>
      </c>
      <c r="MCD1" s="15" t="s">
        <v>9115</v>
      </c>
      <c r="MCE1" s="15" t="s">
        <v>9116</v>
      </c>
      <c r="MCF1" s="15" t="s">
        <v>9117</v>
      </c>
      <c r="MCG1" s="15" t="s">
        <v>9118</v>
      </c>
      <c r="MCH1" s="15" t="s">
        <v>9119</v>
      </c>
      <c r="MCI1" s="15" t="s">
        <v>9120</v>
      </c>
      <c r="MCJ1" s="15" t="s">
        <v>9121</v>
      </c>
      <c r="MCK1" s="15" t="s">
        <v>9122</v>
      </c>
      <c r="MCL1" s="15" t="s">
        <v>9123</v>
      </c>
      <c r="MCM1" s="15" t="s">
        <v>9124</v>
      </c>
      <c r="MCN1" s="15" t="s">
        <v>9125</v>
      </c>
      <c r="MCO1" s="15" t="s">
        <v>9126</v>
      </c>
      <c r="MCP1" s="15" t="s">
        <v>9127</v>
      </c>
      <c r="MCQ1" s="15" t="s">
        <v>9128</v>
      </c>
      <c r="MCR1" s="15" t="s">
        <v>9129</v>
      </c>
      <c r="MCS1" s="15" t="s">
        <v>9130</v>
      </c>
      <c r="MCT1" s="15" t="s">
        <v>9131</v>
      </c>
      <c r="MCU1" s="15" t="s">
        <v>9132</v>
      </c>
      <c r="MCV1" s="15" t="s">
        <v>9133</v>
      </c>
      <c r="MCW1" s="15" t="s">
        <v>9134</v>
      </c>
      <c r="MCX1" s="15" t="s">
        <v>9135</v>
      </c>
      <c r="MCY1" s="15" t="s">
        <v>9136</v>
      </c>
      <c r="MCZ1" s="15" t="s">
        <v>9137</v>
      </c>
      <c r="MDA1" s="15" t="s">
        <v>9138</v>
      </c>
      <c r="MDB1" s="15" t="s">
        <v>9139</v>
      </c>
      <c r="MDC1" s="15" t="s">
        <v>9140</v>
      </c>
      <c r="MDD1" s="15" t="s">
        <v>9141</v>
      </c>
      <c r="MDE1" s="15" t="s">
        <v>9142</v>
      </c>
      <c r="MDF1" s="15" t="s">
        <v>9143</v>
      </c>
      <c r="MDG1" s="15" t="s">
        <v>9144</v>
      </c>
      <c r="MDH1" s="15" t="s">
        <v>9145</v>
      </c>
      <c r="MDI1" s="15" t="s">
        <v>9146</v>
      </c>
      <c r="MDJ1" s="15" t="s">
        <v>9147</v>
      </c>
      <c r="MDK1" s="15" t="s">
        <v>9148</v>
      </c>
      <c r="MDL1" s="15" t="s">
        <v>9149</v>
      </c>
      <c r="MDM1" s="15" t="s">
        <v>9150</v>
      </c>
      <c r="MDN1" s="15" t="s">
        <v>9151</v>
      </c>
      <c r="MDO1" s="15" t="s">
        <v>9152</v>
      </c>
      <c r="MDP1" s="15" t="s">
        <v>9153</v>
      </c>
      <c r="MDQ1" s="15" t="s">
        <v>9154</v>
      </c>
      <c r="MDR1" s="15" t="s">
        <v>9155</v>
      </c>
      <c r="MDS1" s="15" t="s">
        <v>9156</v>
      </c>
      <c r="MDT1" s="15" t="s">
        <v>9157</v>
      </c>
      <c r="MDU1" s="15" t="s">
        <v>9158</v>
      </c>
      <c r="MDV1" s="15" t="s">
        <v>9159</v>
      </c>
      <c r="MDW1" s="15" t="s">
        <v>9160</v>
      </c>
      <c r="MDX1" s="15" t="s">
        <v>9161</v>
      </c>
      <c r="MDY1" s="15" t="s">
        <v>9162</v>
      </c>
      <c r="MDZ1" s="15" t="s">
        <v>9163</v>
      </c>
      <c r="MEA1" s="15" t="s">
        <v>9164</v>
      </c>
      <c r="MEB1" s="15" t="s">
        <v>9165</v>
      </c>
      <c r="MEC1" s="15" t="s">
        <v>9166</v>
      </c>
      <c r="MED1" s="15" t="s">
        <v>9167</v>
      </c>
      <c r="MEE1" s="15" t="s">
        <v>9168</v>
      </c>
      <c r="MEF1" s="15" t="s">
        <v>9169</v>
      </c>
      <c r="MEG1" s="15" t="s">
        <v>9170</v>
      </c>
      <c r="MEH1" s="15" t="s">
        <v>9171</v>
      </c>
      <c r="MEI1" s="15" t="s">
        <v>9172</v>
      </c>
      <c r="MEJ1" s="15" t="s">
        <v>9173</v>
      </c>
      <c r="MEK1" s="15" t="s">
        <v>9174</v>
      </c>
      <c r="MEL1" s="15" t="s">
        <v>9175</v>
      </c>
      <c r="MEM1" s="15" t="s">
        <v>9176</v>
      </c>
      <c r="MEN1" s="15" t="s">
        <v>9177</v>
      </c>
      <c r="MEO1" s="15" t="s">
        <v>9178</v>
      </c>
      <c r="MEP1" s="15" t="s">
        <v>9179</v>
      </c>
      <c r="MEQ1" s="15" t="s">
        <v>9180</v>
      </c>
      <c r="MER1" s="15" t="s">
        <v>9181</v>
      </c>
      <c r="MES1" s="15" t="s">
        <v>9182</v>
      </c>
      <c r="MET1" s="15" t="s">
        <v>9183</v>
      </c>
      <c r="MEU1" s="15" t="s">
        <v>9184</v>
      </c>
      <c r="MEV1" s="15" t="s">
        <v>9185</v>
      </c>
      <c r="MEW1" s="15" t="s">
        <v>9186</v>
      </c>
      <c r="MEX1" s="15" t="s">
        <v>9187</v>
      </c>
      <c r="MEY1" s="15" t="s">
        <v>9188</v>
      </c>
      <c r="MEZ1" s="15" t="s">
        <v>9189</v>
      </c>
      <c r="MFA1" s="15" t="s">
        <v>9190</v>
      </c>
      <c r="MFB1" s="15" t="s">
        <v>9191</v>
      </c>
      <c r="MFC1" s="15" t="s">
        <v>9192</v>
      </c>
      <c r="MFD1" s="15" t="s">
        <v>9193</v>
      </c>
      <c r="MFE1" s="15" t="s">
        <v>9194</v>
      </c>
      <c r="MFF1" s="15" t="s">
        <v>9195</v>
      </c>
      <c r="MFG1" s="15" t="s">
        <v>9196</v>
      </c>
      <c r="MFH1" s="15" t="s">
        <v>9197</v>
      </c>
      <c r="MFI1" s="15" t="s">
        <v>9198</v>
      </c>
      <c r="MFJ1" s="15" t="s">
        <v>9199</v>
      </c>
      <c r="MFK1" s="15" t="s">
        <v>9200</v>
      </c>
      <c r="MFL1" s="15" t="s">
        <v>9201</v>
      </c>
      <c r="MFM1" s="15" t="s">
        <v>9202</v>
      </c>
      <c r="MFN1" s="15" t="s">
        <v>9203</v>
      </c>
      <c r="MFO1" s="15" t="s">
        <v>9204</v>
      </c>
      <c r="MFP1" s="15" t="s">
        <v>9205</v>
      </c>
      <c r="MFQ1" s="15" t="s">
        <v>9206</v>
      </c>
      <c r="MFR1" s="15" t="s">
        <v>9207</v>
      </c>
      <c r="MFS1" s="15" t="s">
        <v>9208</v>
      </c>
      <c r="MFT1" s="15" t="s">
        <v>9209</v>
      </c>
      <c r="MFU1" s="15" t="s">
        <v>9210</v>
      </c>
      <c r="MFV1" s="15" t="s">
        <v>9211</v>
      </c>
      <c r="MFW1" s="15" t="s">
        <v>9212</v>
      </c>
      <c r="MFX1" s="15" t="s">
        <v>9213</v>
      </c>
      <c r="MFY1" s="15" t="s">
        <v>9214</v>
      </c>
      <c r="MFZ1" s="15" t="s">
        <v>9215</v>
      </c>
      <c r="MGA1" s="15" t="s">
        <v>9216</v>
      </c>
      <c r="MGB1" s="15" t="s">
        <v>9217</v>
      </c>
      <c r="MGC1" s="15" t="s">
        <v>9218</v>
      </c>
      <c r="MGD1" s="15" t="s">
        <v>9219</v>
      </c>
      <c r="MGE1" s="15" t="s">
        <v>9220</v>
      </c>
      <c r="MGF1" s="15" t="s">
        <v>9221</v>
      </c>
      <c r="MGG1" s="15" t="s">
        <v>9222</v>
      </c>
      <c r="MGH1" s="15" t="s">
        <v>9223</v>
      </c>
      <c r="MGI1" s="15" t="s">
        <v>9224</v>
      </c>
      <c r="MGJ1" s="15" t="s">
        <v>9225</v>
      </c>
      <c r="MGK1" s="15" t="s">
        <v>9226</v>
      </c>
      <c r="MGL1" s="15" t="s">
        <v>9227</v>
      </c>
      <c r="MGM1" s="15" t="s">
        <v>9228</v>
      </c>
      <c r="MGN1" s="15" t="s">
        <v>9229</v>
      </c>
      <c r="MGO1" s="15" t="s">
        <v>9230</v>
      </c>
      <c r="MGP1" s="15" t="s">
        <v>9231</v>
      </c>
      <c r="MGQ1" s="15" t="s">
        <v>9232</v>
      </c>
      <c r="MGR1" s="15" t="s">
        <v>9233</v>
      </c>
      <c r="MGS1" s="15" t="s">
        <v>9234</v>
      </c>
      <c r="MGT1" s="15" t="s">
        <v>9235</v>
      </c>
      <c r="MGU1" s="15" t="s">
        <v>9236</v>
      </c>
      <c r="MGV1" s="15" t="s">
        <v>9237</v>
      </c>
      <c r="MGW1" s="15" t="s">
        <v>9238</v>
      </c>
      <c r="MGX1" s="15" t="s">
        <v>9239</v>
      </c>
      <c r="MGY1" s="15" t="s">
        <v>9240</v>
      </c>
      <c r="MGZ1" s="15" t="s">
        <v>9241</v>
      </c>
      <c r="MHA1" s="15" t="s">
        <v>9242</v>
      </c>
      <c r="MHB1" s="15" t="s">
        <v>9243</v>
      </c>
      <c r="MHC1" s="15" t="s">
        <v>9244</v>
      </c>
      <c r="MHD1" s="15" t="s">
        <v>9245</v>
      </c>
      <c r="MHE1" s="15" t="s">
        <v>9246</v>
      </c>
      <c r="MHF1" s="15" t="s">
        <v>9247</v>
      </c>
      <c r="MHG1" s="15" t="s">
        <v>9248</v>
      </c>
      <c r="MHH1" s="15" t="s">
        <v>9249</v>
      </c>
      <c r="MHI1" s="15" t="s">
        <v>9250</v>
      </c>
      <c r="MHJ1" s="15" t="s">
        <v>9251</v>
      </c>
      <c r="MHK1" s="15" t="s">
        <v>9252</v>
      </c>
      <c r="MHL1" s="15" t="s">
        <v>9253</v>
      </c>
      <c r="MHM1" s="15" t="s">
        <v>9254</v>
      </c>
      <c r="MHN1" s="15" t="s">
        <v>9255</v>
      </c>
      <c r="MHO1" s="15" t="s">
        <v>9256</v>
      </c>
      <c r="MHP1" s="15" t="s">
        <v>9257</v>
      </c>
      <c r="MHQ1" s="15" t="s">
        <v>9258</v>
      </c>
      <c r="MHR1" s="15" t="s">
        <v>9259</v>
      </c>
      <c r="MHS1" s="15" t="s">
        <v>9260</v>
      </c>
      <c r="MHT1" s="15" t="s">
        <v>9261</v>
      </c>
      <c r="MHU1" s="15" t="s">
        <v>9262</v>
      </c>
      <c r="MHV1" s="15" t="s">
        <v>9263</v>
      </c>
      <c r="MHW1" s="15" t="s">
        <v>9264</v>
      </c>
      <c r="MHX1" s="15" t="s">
        <v>9265</v>
      </c>
      <c r="MHY1" s="15" t="s">
        <v>9266</v>
      </c>
      <c r="MHZ1" s="15" t="s">
        <v>9267</v>
      </c>
      <c r="MIA1" s="15" t="s">
        <v>9268</v>
      </c>
      <c r="MIB1" s="15" t="s">
        <v>9269</v>
      </c>
      <c r="MIC1" s="15" t="s">
        <v>9270</v>
      </c>
      <c r="MID1" s="15" t="s">
        <v>9271</v>
      </c>
      <c r="MIE1" s="15" t="s">
        <v>9272</v>
      </c>
      <c r="MIF1" s="15" t="s">
        <v>9273</v>
      </c>
      <c r="MIG1" s="15" t="s">
        <v>9274</v>
      </c>
      <c r="MIH1" s="15" t="s">
        <v>9275</v>
      </c>
      <c r="MII1" s="15" t="s">
        <v>9276</v>
      </c>
      <c r="MIJ1" s="15" t="s">
        <v>9277</v>
      </c>
      <c r="MIK1" s="15" t="s">
        <v>9278</v>
      </c>
      <c r="MIL1" s="15" t="s">
        <v>9279</v>
      </c>
      <c r="MIM1" s="15" t="s">
        <v>9280</v>
      </c>
      <c r="MIN1" s="15" t="s">
        <v>9281</v>
      </c>
      <c r="MIO1" s="15" t="s">
        <v>9282</v>
      </c>
      <c r="MIP1" s="15" t="s">
        <v>9283</v>
      </c>
      <c r="MIQ1" s="15" t="s">
        <v>9284</v>
      </c>
      <c r="MIR1" s="15" t="s">
        <v>9285</v>
      </c>
      <c r="MIS1" s="15" t="s">
        <v>9286</v>
      </c>
      <c r="MIT1" s="15" t="s">
        <v>9287</v>
      </c>
      <c r="MIU1" s="15" t="s">
        <v>9288</v>
      </c>
      <c r="MIV1" s="15" t="s">
        <v>9289</v>
      </c>
      <c r="MIW1" s="15" t="s">
        <v>9290</v>
      </c>
      <c r="MIX1" s="15" t="s">
        <v>9291</v>
      </c>
      <c r="MIY1" s="15" t="s">
        <v>9292</v>
      </c>
      <c r="MIZ1" s="15" t="s">
        <v>9293</v>
      </c>
      <c r="MJA1" s="15" t="s">
        <v>9294</v>
      </c>
      <c r="MJB1" s="15" t="s">
        <v>9295</v>
      </c>
      <c r="MJC1" s="15" t="s">
        <v>9296</v>
      </c>
      <c r="MJD1" s="15" t="s">
        <v>9297</v>
      </c>
      <c r="MJE1" s="15" t="s">
        <v>9298</v>
      </c>
      <c r="MJF1" s="15" t="s">
        <v>9299</v>
      </c>
      <c r="MJG1" s="15" t="s">
        <v>9300</v>
      </c>
      <c r="MJH1" s="15" t="s">
        <v>9301</v>
      </c>
      <c r="MJI1" s="15" t="s">
        <v>9302</v>
      </c>
      <c r="MJJ1" s="15" t="s">
        <v>9303</v>
      </c>
      <c r="MJK1" s="15" t="s">
        <v>9304</v>
      </c>
      <c r="MJL1" s="15" t="s">
        <v>9305</v>
      </c>
      <c r="MJM1" s="15" t="s">
        <v>9306</v>
      </c>
      <c r="MJN1" s="15" t="s">
        <v>9307</v>
      </c>
      <c r="MJO1" s="15" t="s">
        <v>9308</v>
      </c>
      <c r="MJP1" s="15" t="s">
        <v>9309</v>
      </c>
      <c r="MJQ1" s="15" t="s">
        <v>9310</v>
      </c>
      <c r="MJR1" s="15" t="s">
        <v>9311</v>
      </c>
      <c r="MJS1" s="15" t="s">
        <v>9312</v>
      </c>
      <c r="MJT1" s="15" t="s">
        <v>9313</v>
      </c>
      <c r="MJU1" s="15" t="s">
        <v>9314</v>
      </c>
      <c r="MJV1" s="15" t="s">
        <v>9315</v>
      </c>
      <c r="MJW1" s="15" t="s">
        <v>9316</v>
      </c>
      <c r="MJX1" s="15" t="s">
        <v>9317</v>
      </c>
      <c r="MJY1" s="15" t="s">
        <v>9318</v>
      </c>
      <c r="MJZ1" s="15" t="s">
        <v>9319</v>
      </c>
      <c r="MKA1" s="15" t="s">
        <v>9320</v>
      </c>
      <c r="MKB1" s="15" t="s">
        <v>9321</v>
      </c>
      <c r="MKC1" s="15" t="s">
        <v>9322</v>
      </c>
      <c r="MKD1" s="15" t="s">
        <v>9323</v>
      </c>
      <c r="MKE1" s="15" t="s">
        <v>9324</v>
      </c>
      <c r="MKF1" s="15" t="s">
        <v>9325</v>
      </c>
      <c r="MKG1" s="15" t="s">
        <v>9326</v>
      </c>
      <c r="MKH1" s="15" t="s">
        <v>9327</v>
      </c>
      <c r="MKI1" s="15" t="s">
        <v>9328</v>
      </c>
      <c r="MKJ1" s="15" t="s">
        <v>9329</v>
      </c>
      <c r="MKK1" s="15" t="s">
        <v>9330</v>
      </c>
      <c r="MKL1" s="15" t="s">
        <v>9331</v>
      </c>
      <c r="MKM1" s="15" t="s">
        <v>9332</v>
      </c>
      <c r="MKN1" s="15" t="s">
        <v>9333</v>
      </c>
      <c r="MKO1" s="15" t="s">
        <v>9334</v>
      </c>
      <c r="MKP1" s="15" t="s">
        <v>9335</v>
      </c>
      <c r="MKQ1" s="15" t="s">
        <v>9336</v>
      </c>
      <c r="MKR1" s="15" t="s">
        <v>9337</v>
      </c>
      <c r="MKS1" s="15" t="s">
        <v>9338</v>
      </c>
      <c r="MKT1" s="15" t="s">
        <v>9339</v>
      </c>
      <c r="MKU1" s="15" t="s">
        <v>9340</v>
      </c>
      <c r="MKV1" s="15" t="s">
        <v>9341</v>
      </c>
      <c r="MKW1" s="15" t="s">
        <v>9342</v>
      </c>
      <c r="MKX1" s="15" t="s">
        <v>9343</v>
      </c>
      <c r="MKY1" s="15" t="s">
        <v>9344</v>
      </c>
      <c r="MKZ1" s="15" t="s">
        <v>9345</v>
      </c>
      <c r="MLA1" s="15" t="s">
        <v>9346</v>
      </c>
      <c r="MLB1" s="15" t="s">
        <v>9347</v>
      </c>
      <c r="MLC1" s="15" t="s">
        <v>9348</v>
      </c>
      <c r="MLD1" s="15" t="s">
        <v>9349</v>
      </c>
      <c r="MLE1" s="15" t="s">
        <v>9350</v>
      </c>
      <c r="MLF1" s="15" t="s">
        <v>9351</v>
      </c>
      <c r="MLG1" s="15" t="s">
        <v>9352</v>
      </c>
      <c r="MLH1" s="15" t="s">
        <v>9353</v>
      </c>
      <c r="MLI1" s="15" t="s">
        <v>9354</v>
      </c>
      <c r="MLJ1" s="15" t="s">
        <v>9355</v>
      </c>
      <c r="MLK1" s="15" t="s">
        <v>9356</v>
      </c>
      <c r="MLL1" s="15" t="s">
        <v>9357</v>
      </c>
      <c r="MLM1" s="15" t="s">
        <v>9358</v>
      </c>
      <c r="MLN1" s="15" t="s">
        <v>9359</v>
      </c>
      <c r="MLO1" s="15" t="s">
        <v>9360</v>
      </c>
      <c r="MLP1" s="15" t="s">
        <v>9361</v>
      </c>
      <c r="MLQ1" s="15" t="s">
        <v>9362</v>
      </c>
      <c r="MLR1" s="15" t="s">
        <v>9363</v>
      </c>
      <c r="MLS1" s="15" t="s">
        <v>9364</v>
      </c>
      <c r="MLT1" s="15" t="s">
        <v>9365</v>
      </c>
      <c r="MLU1" s="15" t="s">
        <v>9366</v>
      </c>
      <c r="MLV1" s="15" t="s">
        <v>9367</v>
      </c>
      <c r="MLW1" s="15" t="s">
        <v>9368</v>
      </c>
      <c r="MLX1" s="15" t="s">
        <v>9369</v>
      </c>
      <c r="MLY1" s="15" t="s">
        <v>9370</v>
      </c>
      <c r="MLZ1" s="15" t="s">
        <v>9371</v>
      </c>
      <c r="MMA1" s="15" t="s">
        <v>9372</v>
      </c>
      <c r="MMB1" s="15" t="s">
        <v>9373</v>
      </c>
      <c r="MMC1" s="15" t="s">
        <v>9374</v>
      </c>
      <c r="MMD1" s="15" t="s">
        <v>9375</v>
      </c>
      <c r="MME1" s="15" t="s">
        <v>9376</v>
      </c>
      <c r="MMF1" s="15" t="s">
        <v>9377</v>
      </c>
      <c r="MMG1" s="15" t="s">
        <v>9378</v>
      </c>
      <c r="MMH1" s="15" t="s">
        <v>9379</v>
      </c>
      <c r="MMI1" s="15" t="s">
        <v>9380</v>
      </c>
      <c r="MMJ1" s="15" t="s">
        <v>9381</v>
      </c>
      <c r="MMK1" s="15" t="s">
        <v>9382</v>
      </c>
      <c r="MML1" s="15" t="s">
        <v>9383</v>
      </c>
      <c r="MMM1" s="15" t="s">
        <v>9384</v>
      </c>
      <c r="MMN1" s="15" t="s">
        <v>9385</v>
      </c>
      <c r="MMO1" s="15" t="s">
        <v>9386</v>
      </c>
      <c r="MMP1" s="15" t="s">
        <v>9387</v>
      </c>
      <c r="MMQ1" s="15" t="s">
        <v>9388</v>
      </c>
      <c r="MMR1" s="15" t="s">
        <v>9389</v>
      </c>
      <c r="MMS1" s="15" t="s">
        <v>9390</v>
      </c>
      <c r="MMT1" s="15" t="s">
        <v>9391</v>
      </c>
      <c r="MMU1" s="15" t="s">
        <v>9392</v>
      </c>
      <c r="MMV1" s="15" t="s">
        <v>9393</v>
      </c>
      <c r="MMW1" s="15" t="s">
        <v>9394</v>
      </c>
      <c r="MMX1" s="15" t="s">
        <v>9395</v>
      </c>
      <c r="MMY1" s="15" t="s">
        <v>9396</v>
      </c>
      <c r="MMZ1" s="15" t="s">
        <v>9397</v>
      </c>
      <c r="MNA1" s="15" t="s">
        <v>9398</v>
      </c>
      <c r="MNB1" s="15" t="s">
        <v>9399</v>
      </c>
      <c r="MNC1" s="15" t="s">
        <v>9400</v>
      </c>
      <c r="MND1" s="15" t="s">
        <v>9401</v>
      </c>
      <c r="MNE1" s="15" t="s">
        <v>9402</v>
      </c>
      <c r="MNF1" s="15" t="s">
        <v>9403</v>
      </c>
      <c r="MNG1" s="15" t="s">
        <v>9404</v>
      </c>
      <c r="MNH1" s="15" t="s">
        <v>9405</v>
      </c>
      <c r="MNI1" s="15" t="s">
        <v>9406</v>
      </c>
      <c r="MNJ1" s="15" t="s">
        <v>9407</v>
      </c>
      <c r="MNK1" s="15" t="s">
        <v>9408</v>
      </c>
      <c r="MNL1" s="15" t="s">
        <v>9409</v>
      </c>
      <c r="MNM1" s="15" t="s">
        <v>9410</v>
      </c>
      <c r="MNN1" s="15" t="s">
        <v>9411</v>
      </c>
      <c r="MNO1" s="15" t="s">
        <v>9412</v>
      </c>
      <c r="MNP1" s="15" t="s">
        <v>9413</v>
      </c>
      <c r="MNQ1" s="15" t="s">
        <v>9414</v>
      </c>
      <c r="MNR1" s="15" t="s">
        <v>9415</v>
      </c>
      <c r="MNS1" s="15" t="s">
        <v>9416</v>
      </c>
      <c r="MNT1" s="15" t="s">
        <v>9417</v>
      </c>
      <c r="MNU1" s="15" t="s">
        <v>9418</v>
      </c>
      <c r="MNV1" s="15" t="s">
        <v>9419</v>
      </c>
      <c r="MNW1" s="15" t="s">
        <v>9420</v>
      </c>
      <c r="MNX1" s="15" t="s">
        <v>9421</v>
      </c>
      <c r="MNY1" s="15" t="s">
        <v>9422</v>
      </c>
      <c r="MNZ1" s="15" t="s">
        <v>9423</v>
      </c>
      <c r="MOA1" s="15" t="s">
        <v>9424</v>
      </c>
      <c r="MOB1" s="15" t="s">
        <v>9425</v>
      </c>
      <c r="MOC1" s="15" t="s">
        <v>9426</v>
      </c>
      <c r="MOD1" s="15" t="s">
        <v>9427</v>
      </c>
      <c r="MOE1" s="15" t="s">
        <v>9428</v>
      </c>
      <c r="MOF1" s="15" t="s">
        <v>9429</v>
      </c>
      <c r="MOG1" s="15" t="s">
        <v>9430</v>
      </c>
      <c r="MOH1" s="15" t="s">
        <v>9431</v>
      </c>
      <c r="MOI1" s="15" t="s">
        <v>9432</v>
      </c>
      <c r="MOJ1" s="15" t="s">
        <v>9433</v>
      </c>
      <c r="MOK1" s="15" t="s">
        <v>9434</v>
      </c>
      <c r="MOL1" s="15" t="s">
        <v>9435</v>
      </c>
      <c r="MOM1" s="15" t="s">
        <v>9436</v>
      </c>
      <c r="MON1" s="15" t="s">
        <v>9437</v>
      </c>
      <c r="MOO1" s="15" t="s">
        <v>9438</v>
      </c>
      <c r="MOP1" s="15" t="s">
        <v>9439</v>
      </c>
      <c r="MOQ1" s="15" t="s">
        <v>9440</v>
      </c>
      <c r="MOR1" s="15" t="s">
        <v>9441</v>
      </c>
      <c r="MOS1" s="15" t="s">
        <v>9442</v>
      </c>
      <c r="MOT1" s="15" t="s">
        <v>9443</v>
      </c>
      <c r="MOU1" s="15" t="s">
        <v>9444</v>
      </c>
      <c r="MOV1" s="15" t="s">
        <v>9445</v>
      </c>
      <c r="MOW1" s="15" t="s">
        <v>9446</v>
      </c>
      <c r="MOX1" s="15" t="s">
        <v>9447</v>
      </c>
      <c r="MOY1" s="15" t="s">
        <v>9448</v>
      </c>
      <c r="MOZ1" s="15" t="s">
        <v>9449</v>
      </c>
      <c r="MPA1" s="15" t="s">
        <v>9450</v>
      </c>
      <c r="MPB1" s="15" t="s">
        <v>9451</v>
      </c>
      <c r="MPC1" s="15" t="s">
        <v>9452</v>
      </c>
      <c r="MPD1" s="15" t="s">
        <v>9453</v>
      </c>
      <c r="MPE1" s="15" t="s">
        <v>9454</v>
      </c>
      <c r="MPF1" s="15" t="s">
        <v>9455</v>
      </c>
      <c r="MPG1" s="15" t="s">
        <v>9456</v>
      </c>
      <c r="MPH1" s="15" t="s">
        <v>9457</v>
      </c>
      <c r="MPI1" s="15" t="s">
        <v>9458</v>
      </c>
      <c r="MPJ1" s="15" t="s">
        <v>9459</v>
      </c>
      <c r="MPK1" s="15" t="s">
        <v>9460</v>
      </c>
      <c r="MPL1" s="15" t="s">
        <v>9461</v>
      </c>
      <c r="MPM1" s="15" t="s">
        <v>9462</v>
      </c>
      <c r="MPN1" s="15" t="s">
        <v>9463</v>
      </c>
      <c r="MPO1" s="15" t="s">
        <v>9464</v>
      </c>
      <c r="MPP1" s="15" t="s">
        <v>9465</v>
      </c>
      <c r="MPQ1" s="15" t="s">
        <v>9466</v>
      </c>
      <c r="MPR1" s="15" t="s">
        <v>9467</v>
      </c>
      <c r="MPS1" s="15" t="s">
        <v>9468</v>
      </c>
      <c r="MPT1" s="15" t="s">
        <v>9469</v>
      </c>
      <c r="MPU1" s="15" t="s">
        <v>9470</v>
      </c>
      <c r="MPV1" s="15" t="s">
        <v>9471</v>
      </c>
      <c r="MPW1" s="15" t="s">
        <v>9472</v>
      </c>
      <c r="MPX1" s="15" t="s">
        <v>9473</v>
      </c>
      <c r="MPY1" s="15" t="s">
        <v>9474</v>
      </c>
      <c r="MPZ1" s="15" t="s">
        <v>9475</v>
      </c>
      <c r="MQA1" s="15" t="s">
        <v>9476</v>
      </c>
      <c r="MQB1" s="15" t="s">
        <v>9477</v>
      </c>
      <c r="MQC1" s="15" t="s">
        <v>9478</v>
      </c>
      <c r="MQD1" s="15" t="s">
        <v>9479</v>
      </c>
      <c r="MQE1" s="15" t="s">
        <v>9480</v>
      </c>
      <c r="MQF1" s="15" t="s">
        <v>9481</v>
      </c>
      <c r="MQG1" s="15" t="s">
        <v>9482</v>
      </c>
      <c r="MQH1" s="15" t="s">
        <v>9483</v>
      </c>
      <c r="MQI1" s="15" t="s">
        <v>9484</v>
      </c>
      <c r="MQJ1" s="15" t="s">
        <v>9485</v>
      </c>
      <c r="MQK1" s="15" t="s">
        <v>9486</v>
      </c>
      <c r="MQL1" s="15" t="s">
        <v>9487</v>
      </c>
      <c r="MQM1" s="15" t="s">
        <v>9488</v>
      </c>
      <c r="MQN1" s="15" t="s">
        <v>9489</v>
      </c>
      <c r="MQO1" s="15" t="s">
        <v>9490</v>
      </c>
      <c r="MQP1" s="15" t="s">
        <v>9491</v>
      </c>
      <c r="MQQ1" s="15" t="s">
        <v>9492</v>
      </c>
      <c r="MQR1" s="15" t="s">
        <v>9493</v>
      </c>
      <c r="MQS1" s="15" t="s">
        <v>9494</v>
      </c>
      <c r="MQT1" s="15" t="s">
        <v>9495</v>
      </c>
      <c r="MQU1" s="15" t="s">
        <v>9496</v>
      </c>
      <c r="MQV1" s="15" t="s">
        <v>9497</v>
      </c>
      <c r="MQW1" s="15" t="s">
        <v>9498</v>
      </c>
      <c r="MQX1" s="15" t="s">
        <v>9499</v>
      </c>
      <c r="MQY1" s="15" t="s">
        <v>9500</v>
      </c>
      <c r="MQZ1" s="15" t="s">
        <v>9501</v>
      </c>
      <c r="MRA1" s="15" t="s">
        <v>9502</v>
      </c>
      <c r="MRB1" s="15" t="s">
        <v>9503</v>
      </c>
      <c r="MRC1" s="15" t="s">
        <v>9504</v>
      </c>
      <c r="MRD1" s="15" t="s">
        <v>9505</v>
      </c>
      <c r="MRE1" s="15" t="s">
        <v>9506</v>
      </c>
      <c r="MRF1" s="15" t="s">
        <v>9507</v>
      </c>
      <c r="MRG1" s="15" t="s">
        <v>9508</v>
      </c>
      <c r="MRH1" s="15" t="s">
        <v>9509</v>
      </c>
      <c r="MRI1" s="15" t="s">
        <v>9510</v>
      </c>
      <c r="MRJ1" s="15" t="s">
        <v>9511</v>
      </c>
      <c r="MRK1" s="15" t="s">
        <v>9512</v>
      </c>
      <c r="MRL1" s="15" t="s">
        <v>9513</v>
      </c>
      <c r="MRM1" s="15" t="s">
        <v>9514</v>
      </c>
      <c r="MRN1" s="15" t="s">
        <v>9515</v>
      </c>
      <c r="MRO1" s="15" t="s">
        <v>9516</v>
      </c>
      <c r="MRP1" s="15" t="s">
        <v>9517</v>
      </c>
      <c r="MRQ1" s="15" t="s">
        <v>9518</v>
      </c>
      <c r="MRR1" s="15" t="s">
        <v>9519</v>
      </c>
      <c r="MRS1" s="15" t="s">
        <v>9520</v>
      </c>
      <c r="MRT1" s="15" t="s">
        <v>9521</v>
      </c>
      <c r="MRU1" s="15" t="s">
        <v>9522</v>
      </c>
      <c r="MRV1" s="15" t="s">
        <v>9523</v>
      </c>
      <c r="MRW1" s="15" t="s">
        <v>9524</v>
      </c>
      <c r="MRX1" s="15" t="s">
        <v>9525</v>
      </c>
      <c r="MRY1" s="15" t="s">
        <v>9526</v>
      </c>
      <c r="MRZ1" s="15" t="s">
        <v>9527</v>
      </c>
      <c r="MSA1" s="15" t="s">
        <v>9528</v>
      </c>
      <c r="MSB1" s="15" t="s">
        <v>9529</v>
      </c>
      <c r="MSC1" s="15" t="s">
        <v>9530</v>
      </c>
      <c r="MSD1" s="15" t="s">
        <v>9531</v>
      </c>
      <c r="MSE1" s="15" t="s">
        <v>9532</v>
      </c>
      <c r="MSF1" s="15" t="s">
        <v>9533</v>
      </c>
      <c r="MSG1" s="15" t="s">
        <v>9534</v>
      </c>
      <c r="MSH1" s="15" t="s">
        <v>9535</v>
      </c>
      <c r="MSI1" s="15" t="s">
        <v>9536</v>
      </c>
      <c r="MSJ1" s="15" t="s">
        <v>9537</v>
      </c>
      <c r="MSK1" s="15" t="s">
        <v>9538</v>
      </c>
      <c r="MSL1" s="15" t="s">
        <v>9539</v>
      </c>
      <c r="MSM1" s="15" t="s">
        <v>9540</v>
      </c>
      <c r="MSN1" s="15" t="s">
        <v>9541</v>
      </c>
      <c r="MSO1" s="15" t="s">
        <v>9542</v>
      </c>
      <c r="MSP1" s="15" t="s">
        <v>9543</v>
      </c>
      <c r="MSQ1" s="15" t="s">
        <v>9544</v>
      </c>
      <c r="MSR1" s="15" t="s">
        <v>9545</v>
      </c>
      <c r="MSS1" s="15" t="s">
        <v>9546</v>
      </c>
      <c r="MST1" s="15" t="s">
        <v>9547</v>
      </c>
      <c r="MSU1" s="15" t="s">
        <v>9548</v>
      </c>
      <c r="MSV1" s="15" t="s">
        <v>9549</v>
      </c>
      <c r="MSW1" s="15" t="s">
        <v>9550</v>
      </c>
      <c r="MSX1" s="15" t="s">
        <v>9551</v>
      </c>
      <c r="MSY1" s="15" t="s">
        <v>9552</v>
      </c>
      <c r="MSZ1" s="15" t="s">
        <v>9553</v>
      </c>
      <c r="MTA1" s="15" t="s">
        <v>9554</v>
      </c>
      <c r="MTB1" s="15" t="s">
        <v>9555</v>
      </c>
      <c r="MTC1" s="15" t="s">
        <v>9556</v>
      </c>
      <c r="MTD1" s="15" t="s">
        <v>9557</v>
      </c>
      <c r="MTE1" s="15" t="s">
        <v>9558</v>
      </c>
      <c r="MTF1" s="15" t="s">
        <v>9559</v>
      </c>
      <c r="MTG1" s="15" t="s">
        <v>9560</v>
      </c>
      <c r="MTH1" s="15" t="s">
        <v>9561</v>
      </c>
      <c r="MTI1" s="15" t="s">
        <v>9562</v>
      </c>
      <c r="MTJ1" s="15" t="s">
        <v>9563</v>
      </c>
      <c r="MTK1" s="15" t="s">
        <v>9564</v>
      </c>
      <c r="MTL1" s="15" t="s">
        <v>9565</v>
      </c>
      <c r="MTM1" s="15" t="s">
        <v>9566</v>
      </c>
      <c r="MTN1" s="15" t="s">
        <v>9567</v>
      </c>
      <c r="MTO1" s="15" t="s">
        <v>9568</v>
      </c>
      <c r="MTP1" s="15" t="s">
        <v>9569</v>
      </c>
      <c r="MTQ1" s="15" t="s">
        <v>9570</v>
      </c>
      <c r="MTR1" s="15" t="s">
        <v>9571</v>
      </c>
      <c r="MTS1" s="15" t="s">
        <v>9572</v>
      </c>
      <c r="MTT1" s="15" t="s">
        <v>9573</v>
      </c>
      <c r="MTU1" s="15" t="s">
        <v>9574</v>
      </c>
      <c r="MTV1" s="15" t="s">
        <v>9575</v>
      </c>
      <c r="MTW1" s="15" t="s">
        <v>9576</v>
      </c>
      <c r="MTX1" s="15" t="s">
        <v>9577</v>
      </c>
      <c r="MTY1" s="15" t="s">
        <v>9578</v>
      </c>
      <c r="MTZ1" s="15" t="s">
        <v>9579</v>
      </c>
      <c r="MUA1" s="15" t="s">
        <v>9580</v>
      </c>
      <c r="MUB1" s="15" t="s">
        <v>9581</v>
      </c>
      <c r="MUC1" s="15" t="s">
        <v>9582</v>
      </c>
      <c r="MUD1" s="15" t="s">
        <v>9583</v>
      </c>
      <c r="MUE1" s="15" t="s">
        <v>9584</v>
      </c>
      <c r="MUF1" s="15" t="s">
        <v>9585</v>
      </c>
      <c r="MUG1" s="15" t="s">
        <v>9586</v>
      </c>
      <c r="MUH1" s="15" t="s">
        <v>9587</v>
      </c>
      <c r="MUI1" s="15" t="s">
        <v>9588</v>
      </c>
      <c r="MUJ1" s="15" t="s">
        <v>9589</v>
      </c>
      <c r="MUK1" s="15" t="s">
        <v>9590</v>
      </c>
      <c r="MUL1" s="15" t="s">
        <v>9591</v>
      </c>
      <c r="MUM1" s="15" t="s">
        <v>9592</v>
      </c>
      <c r="MUN1" s="15" t="s">
        <v>9593</v>
      </c>
      <c r="MUO1" s="15" t="s">
        <v>9594</v>
      </c>
      <c r="MUP1" s="15" t="s">
        <v>9595</v>
      </c>
      <c r="MUQ1" s="15" t="s">
        <v>9596</v>
      </c>
      <c r="MUR1" s="15" t="s">
        <v>9597</v>
      </c>
      <c r="MUS1" s="15" t="s">
        <v>9598</v>
      </c>
      <c r="MUT1" s="15" t="s">
        <v>9599</v>
      </c>
      <c r="MUU1" s="15" t="s">
        <v>9600</v>
      </c>
      <c r="MUV1" s="15" t="s">
        <v>9601</v>
      </c>
      <c r="MUW1" s="15" t="s">
        <v>9602</v>
      </c>
      <c r="MUX1" s="15" t="s">
        <v>9603</v>
      </c>
      <c r="MUY1" s="15" t="s">
        <v>9604</v>
      </c>
      <c r="MUZ1" s="15" t="s">
        <v>9605</v>
      </c>
      <c r="MVA1" s="15" t="s">
        <v>9606</v>
      </c>
      <c r="MVB1" s="15" t="s">
        <v>9607</v>
      </c>
      <c r="MVC1" s="15" t="s">
        <v>9608</v>
      </c>
      <c r="MVD1" s="15" t="s">
        <v>9609</v>
      </c>
      <c r="MVE1" s="15" t="s">
        <v>9610</v>
      </c>
      <c r="MVF1" s="15" t="s">
        <v>9611</v>
      </c>
      <c r="MVG1" s="15" t="s">
        <v>9612</v>
      </c>
      <c r="MVH1" s="15" t="s">
        <v>9613</v>
      </c>
      <c r="MVI1" s="15" t="s">
        <v>9614</v>
      </c>
      <c r="MVJ1" s="15" t="s">
        <v>9615</v>
      </c>
      <c r="MVK1" s="15" t="s">
        <v>9616</v>
      </c>
      <c r="MVL1" s="15" t="s">
        <v>9617</v>
      </c>
      <c r="MVM1" s="15" t="s">
        <v>9618</v>
      </c>
      <c r="MVN1" s="15" t="s">
        <v>9619</v>
      </c>
      <c r="MVO1" s="15" t="s">
        <v>9620</v>
      </c>
      <c r="MVP1" s="15" t="s">
        <v>9621</v>
      </c>
      <c r="MVQ1" s="15" t="s">
        <v>9622</v>
      </c>
      <c r="MVR1" s="15" t="s">
        <v>9623</v>
      </c>
      <c r="MVS1" s="15" t="s">
        <v>9624</v>
      </c>
      <c r="MVT1" s="15" t="s">
        <v>9625</v>
      </c>
      <c r="MVU1" s="15" t="s">
        <v>9626</v>
      </c>
      <c r="MVV1" s="15" t="s">
        <v>9627</v>
      </c>
      <c r="MVW1" s="15" t="s">
        <v>9628</v>
      </c>
      <c r="MVX1" s="15" t="s">
        <v>9629</v>
      </c>
      <c r="MVY1" s="15" t="s">
        <v>9630</v>
      </c>
      <c r="MVZ1" s="15" t="s">
        <v>9631</v>
      </c>
      <c r="MWA1" s="15" t="s">
        <v>9632</v>
      </c>
      <c r="MWB1" s="15" t="s">
        <v>9633</v>
      </c>
      <c r="MWC1" s="15" t="s">
        <v>9634</v>
      </c>
      <c r="MWD1" s="15" t="s">
        <v>9635</v>
      </c>
      <c r="MWE1" s="15" t="s">
        <v>9636</v>
      </c>
      <c r="MWF1" s="15" t="s">
        <v>9637</v>
      </c>
      <c r="MWG1" s="15" t="s">
        <v>9638</v>
      </c>
      <c r="MWH1" s="15" t="s">
        <v>9639</v>
      </c>
      <c r="MWI1" s="15" t="s">
        <v>9640</v>
      </c>
      <c r="MWJ1" s="15" t="s">
        <v>9641</v>
      </c>
      <c r="MWK1" s="15" t="s">
        <v>9642</v>
      </c>
      <c r="MWL1" s="15" t="s">
        <v>9643</v>
      </c>
      <c r="MWM1" s="15" t="s">
        <v>9644</v>
      </c>
      <c r="MWN1" s="15" t="s">
        <v>9645</v>
      </c>
      <c r="MWO1" s="15" t="s">
        <v>9646</v>
      </c>
      <c r="MWP1" s="15" t="s">
        <v>9647</v>
      </c>
      <c r="MWQ1" s="15" t="s">
        <v>9648</v>
      </c>
      <c r="MWR1" s="15" t="s">
        <v>9649</v>
      </c>
      <c r="MWS1" s="15" t="s">
        <v>9650</v>
      </c>
      <c r="MWT1" s="15" t="s">
        <v>9651</v>
      </c>
      <c r="MWU1" s="15" t="s">
        <v>9652</v>
      </c>
      <c r="MWV1" s="15" t="s">
        <v>9653</v>
      </c>
      <c r="MWW1" s="15" t="s">
        <v>9654</v>
      </c>
      <c r="MWX1" s="15" t="s">
        <v>9655</v>
      </c>
      <c r="MWY1" s="15" t="s">
        <v>9656</v>
      </c>
      <c r="MWZ1" s="15" t="s">
        <v>9657</v>
      </c>
      <c r="MXA1" s="15" t="s">
        <v>9658</v>
      </c>
      <c r="MXB1" s="15" t="s">
        <v>9659</v>
      </c>
      <c r="MXC1" s="15" t="s">
        <v>9660</v>
      </c>
      <c r="MXD1" s="15" t="s">
        <v>9661</v>
      </c>
      <c r="MXE1" s="15" t="s">
        <v>9662</v>
      </c>
      <c r="MXF1" s="15" t="s">
        <v>9663</v>
      </c>
      <c r="MXG1" s="15" t="s">
        <v>9664</v>
      </c>
      <c r="MXH1" s="15" t="s">
        <v>9665</v>
      </c>
      <c r="MXI1" s="15" t="s">
        <v>9666</v>
      </c>
      <c r="MXJ1" s="15" t="s">
        <v>9667</v>
      </c>
      <c r="MXK1" s="15" t="s">
        <v>9668</v>
      </c>
      <c r="MXL1" s="15" t="s">
        <v>9669</v>
      </c>
      <c r="MXM1" s="15" t="s">
        <v>9670</v>
      </c>
      <c r="MXN1" s="15" t="s">
        <v>9671</v>
      </c>
      <c r="MXO1" s="15" t="s">
        <v>9672</v>
      </c>
      <c r="MXP1" s="15" t="s">
        <v>9673</v>
      </c>
      <c r="MXQ1" s="15" t="s">
        <v>9674</v>
      </c>
      <c r="MXR1" s="15" t="s">
        <v>9675</v>
      </c>
      <c r="MXS1" s="15" t="s">
        <v>9676</v>
      </c>
      <c r="MXT1" s="15" t="s">
        <v>9677</v>
      </c>
      <c r="MXU1" s="15" t="s">
        <v>9678</v>
      </c>
      <c r="MXV1" s="15" t="s">
        <v>9679</v>
      </c>
      <c r="MXW1" s="15" t="s">
        <v>9680</v>
      </c>
      <c r="MXX1" s="15" t="s">
        <v>9681</v>
      </c>
      <c r="MXY1" s="15" t="s">
        <v>9682</v>
      </c>
      <c r="MXZ1" s="15" t="s">
        <v>9683</v>
      </c>
      <c r="MYA1" s="15" t="s">
        <v>9684</v>
      </c>
      <c r="MYB1" s="15" t="s">
        <v>9685</v>
      </c>
      <c r="MYC1" s="15" t="s">
        <v>9686</v>
      </c>
      <c r="MYD1" s="15" t="s">
        <v>9687</v>
      </c>
      <c r="MYE1" s="15" t="s">
        <v>9688</v>
      </c>
      <c r="MYF1" s="15" t="s">
        <v>9689</v>
      </c>
      <c r="MYG1" s="15" t="s">
        <v>9690</v>
      </c>
      <c r="MYH1" s="15" t="s">
        <v>9691</v>
      </c>
      <c r="MYI1" s="15" t="s">
        <v>9692</v>
      </c>
      <c r="MYJ1" s="15" t="s">
        <v>9693</v>
      </c>
      <c r="MYK1" s="15" t="s">
        <v>9694</v>
      </c>
      <c r="MYL1" s="15" t="s">
        <v>9695</v>
      </c>
      <c r="MYM1" s="15" t="s">
        <v>9696</v>
      </c>
      <c r="MYN1" s="15" t="s">
        <v>9697</v>
      </c>
      <c r="MYO1" s="15" t="s">
        <v>9698</v>
      </c>
      <c r="MYP1" s="15" t="s">
        <v>9699</v>
      </c>
      <c r="MYQ1" s="15" t="s">
        <v>9700</v>
      </c>
      <c r="MYR1" s="15" t="s">
        <v>9701</v>
      </c>
      <c r="MYS1" s="15" t="s">
        <v>9702</v>
      </c>
      <c r="MYT1" s="15" t="s">
        <v>9703</v>
      </c>
      <c r="MYU1" s="15" t="s">
        <v>9704</v>
      </c>
      <c r="MYV1" s="15" t="s">
        <v>9705</v>
      </c>
      <c r="MYW1" s="15" t="s">
        <v>9706</v>
      </c>
      <c r="MYX1" s="15" t="s">
        <v>9707</v>
      </c>
      <c r="MYY1" s="15" t="s">
        <v>9708</v>
      </c>
      <c r="MYZ1" s="15" t="s">
        <v>9709</v>
      </c>
      <c r="MZA1" s="15" t="s">
        <v>9710</v>
      </c>
      <c r="MZB1" s="15" t="s">
        <v>9711</v>
      </c>
      <c r="MZC1" s="15" t="s">
        <v>9712</v>
      </c>
      <c r="MZD1" s="15" t="s">
        <v>9713</v>
      </c>
      <c r="MZE1" s="15" t="s">
        <v>9714</v>
      </c>
      <c r="MZF1" s="15" t="s">
        <v>9715</v>
      </c>
      <c r="MZG1" s="15" t="s">
        <v>9716</v>
      </c>
      <c r="MZH1" s="15" t="s">
        <v>9717</v>
      </c>
      <c r="MZI1" s="15" t="s">
        <v>9718</v>
      </c>
      <c r="MZJ1" s="15" t="s">
        <v>9719</v>
      </c>
      <c r="MZK1" s="15" t="s">
        <v>9720</v>
      </c>
      <c r="MZL1" s="15" t="s">
        <v>9721</v>
      </c>
      <c r="MZM1" s="15" t="s">
        <v>9722</v>
      </c>
      <c r="MZN1" s="15" t="s">
        <v>9723</v>
      </c>
      <c r="MZO1" s="15" t="s">
        <v>9724</v>
      </c>
      <c r="MZP1" s="15" t="s">
        <v>9725</v>
      </c>
      <c r="MZQ1" s="15" t="s">
        <v>9726</v>
      </c>
      <c r="MZR1" s="15" t="s">
        <v>9727</v>
      </c>
      <c r="MZS1" s="15" t="s">
        <v>9728</v>
      </c>
      <c r="MZT1" s="15" t="s">
        <v>9729</v>
      </c>
      <c r="MZU1" s="15" t="s">
        <v>9730</v>
      </c>
      <c r="MZV1" s="15" t="s">
        <v>9731</v>
      </c>
      <c r="MZW1" s="15" t="s">
        <v>9732</v>
      </c>
      <c r="MZX1" s="15" t="s">
        <v>9733</v>
      </c>
      <c r="MZY1" s="15" t="s">
        <v>9734</v>
      </c>
      <c r="MZZ1" s="15" t="s">
        <v>9735</v>
      </c>
      <c r="NAA1" s="15" t="s">
        <v>9736</v>
      </c>
      <c r="NAB1" s="15" t="s">
        <v>9737</v>
      </c>
      <c r="NAC1" s="15" t="s">
        <v>9738</v>
      </c>
      <c r="NAD1" s="15" t="s">
        <v>9739</v>
      </c>
      <c r="NAE1" s="15" t="s">
        <v>9740</v>
      </c>
      <c r="NAF1" s="15" t="s">
        <v>9741</v>
      </c>
      <c r="NAG1" s="15" t="s">
        <v>9742</v>
      </c>
      <c r="NAH1" s="15" t="s">
        <v>9743</v>
      </c>
      <c r="NAI1" s="15" t="s">
        <v>9744</v>
      </c>
      <c r="NAJ1" s="15" t="s">
        <v>9745</v>
      </c>
      <c r="NAK1" s="15" t="s">
        <v>9746</v>
      </c>
      <c r="NAL1" s="15" t="s">
        <v>9747</v>
      </c>
      <c r="NAM1" s="15" t="s">
        <v>9748</v>
      </c>
      <c r="NAN1" s="15" t="s">
        <v>9749</v>
      </c>
      <c r="NAO1" s="15" t="s">
        <v>9750</v>
      </c>
      <c r="NAP1" s="15" t="s">
        <v>9751</v>
      </c>
      <c r="NAQ1" s="15" t="s">
        <v>9752</v>
      </c>
      <c r="NAR1" s="15" t="s">
        <v>9753</v>
      </c>
      <c r="NAS1" s="15" t="s">
        <v>9754</v>
      </c>
      <c r="NAT1" s="15" t="s">
        <v>9755</v>
      </c>
      <c r="NAU1" s="15" t="s">
        <v>9756</v>
      </c>
      <c r="NAV1" s="15" t="s">
        <v>9757</v>
      </c>
      <c r="NAW1" s="15" t="s">
        <v>9758</v>
      </c>
      <c r="NAX1" s="15" t="s">
        <v>9759</v>
      </c>
      <c r="NAY1" s="15" t="s">
        <v>9760</v>
      </c>
      <c r="NAZ1" s="15" t="s">
        <v>9761</v>
      </c>
      <c r="NBA1" s="15" t="s">
        <v>9762</v>
      </c>
      <c r="NBB1" s="15" t="s">
        <v>9763</v>
      </c>
      <c r="NBC1" s="15" t="s">
        <v>9764</v>
      </c>
      <c r="NBD1" s="15" t="s">
        <v>9765</v>
      </c>
      <c r="NBE1" s="15" t="s">
        <v>9766</v>
      </c>
      <c r="NBF1" s="15" t="s">
        <v>9767</v>
      </c>
      <c r="NBG1" s="15" t="s">
        <v>9768</v>
      </c>
      <c r="NBH1" s="15" t="s">
        <v>9769</v>
      </c>
      <c r="NBI1" s="15" t="s">
        <v>9770</v>
      </c>
      <c r="NBJ1" s="15" t="s">
        <v>9771</v>
      </c>
      <c r="NBK1" s="15" t="s">
        <v>9772</v>
      </c>
      <c r="NBL1" s="15" t="s">
        <v>9773</v>
      </c>
      <c r="NBM1" s="15" t="s">
        <v>9774</v>
      </c>
      <c r="NBN1" s="15" t="s">
        <v>9775</v>
      </c>
      <c r="NBO1" s="15" t="s">
        <v>9776</v>
      </c>
      <c r="NBP1" s="15" t="s">
        <v>9777</v>
      </c>
      <c r="NBQ1" s="15" t="s">
        <v>9778</v>
      </c>
      <c r="NBR1" s="15" t="s">
        <v>9779</v>
      </c>
      <c r="NBS1" s="15" t="s">
        <v>9780</v>
      </c>
      <c r="NBT1" s="15" t="s">
        <v>9781</v>
      </c>
      <c r="NBU1" s="15" t="s">
        <v>9782</v>
      </c>
      <c r="NBV1" s="15" t="s">
        <v>9783</v>
      </c>
      <c r="NBW1" s="15" t="s">
        <v>9784</v>
      </c>
      <c r="NBX1" s="15" t="s">
        <v>9785</v>
      </c>
      <c r="NBY1" s="15" t="s">
        <v>9786</v>
      </c>
      <c r="NBZ1" s="15" t="s">
        <v>9787</v>
      </c>
      <c r="NCA1" s="15" t="s">
        <v>9788</v>
      </c>
      <c r="NCB1" s="15" t="s">
        <v>9789</v>
      </c>
      <c r="NCC1" s="15" t="s">
        <v>9790</v>
      </c>
      <c r="NCD1" s="15" t="s">
        <v>9791</v>
      </c>
      <c r="NCE1" s="15" t="s">
        <v>9792</v>
      </c>
      <c r="NCF1" s="15" t="s">
        <v>9793</v>
      </c>
      <c r="NCG1" s="15" t="s">
        <v>9794</v>
      </c>
      <c r="NCH1" s="15" t="s">
        <v>9795</v>
      </c>
      <c r="NCI1" s="15" t="s">
        <v>9796</v>
      </c>
      <c r="NCJ1" s="15" t="s">
        <v>9797</v>
      </c>
      <c r="NCK1" s="15" t="s">
        <v>9798</v>
      </c>
      <c r="NCL1" s="15" t="s">
        <v>9799</v>
      </c>
      <c r="NCM1" s="15" t="s">
        <v>9800</v>
      </c>
      <c r="NCN1" s="15" t="s">
        <v>9801</v>
      </c>
      <c r="NCO1" s="15" t="s">
        <v>9802</v>
      </c>
      <c r="NCP1" s="15" t="s">
        <v>9803</v>
      </c>
      <c r="NCQ1" s="15" t="s">
        <v>9804</v>
      </c>
      <c r="NCR1" s="15" t="s">
        <v>9805</v>
      </c>
      <c r="NCS1" s="15" t="s">
        <v>9806</v>
      </c>
      <c r="NCT1" s="15" t="s">
        <v>9807</v>
      </c>
      <c r="NCU1" s="15" t="s">
        <v>9808</v>
      </c>
      <c r="NCV1" s="15" t="s">
        <v>9809</v>
      </c>
      <c r="NCW1" s="15" t="s">
        <v>9810</v>
      </c>
      <c r="NCX1" s="15" t="s">
        <v>9811</v>
      </c>
      <c r="NCY1" s="15" t="s">
        <v>9812</v>
      </c>
      <c r="NCZ1" s="15" t="s">
        <v>9813</v>
      </c>
      <c r="NDA1" s="15" t="s">
        <v>9814</v>
      </c>
      <c r="NDB1" s="15" t="s">
        <v>9815</v>
      </c>
      <c r="NDC1" s="15" t="s">
        <v>9816</v>
      </c>
      <c r="NDD1" s="15" t="s">
        <v>9817</v>
      </c>
      <c r="NDE1" s="15" t="s">
        <v>9818</v>
      </c>
      <c r="NDF1" s="15" t="s">
        <v>9819</v>
      </c>
      <c r="NDG1" s="15" t="s">
        <v>9820</v>
      </c>
      <c r="NDH1" s="15" t="s">
        <v>9821</v>
      </c>
      <c r="NDI1" s="15" t="s">
        <v>9822</v>
      </c>
      <c r="NDJ1" s="15" t="s">
        <v>9823</v>
      </c>
      <c r="NDK1" s="15" t="s">
        <v>9824</v>
      </c>
      <c r="NDL1" s="15" t="s">
        <v>9825</v>
      </c>
      <c r="NDM1" s="15" t="s">
        <v>9826</v>
      </c>
      <c r="NDN1" s="15" t="s">
        <v>9827</v>
      </c>
      <c r="NDO1" s="15" t="s">
        <v>9828</v>
      </c>
      <c r="NDP1" s="15" t="s">
        <v>9829</v>
      </c>
      <c r="NDQ1" s="15" t="s">
        <v>9830</v>
      </c>
      <c r="NDR1" s="15" t="s">
        <v>9831</v>
      </c>
      <c r="NDS1" s="15" t="s">
        <v>9832</v>
      </c>
      <c r="NDT1" s="15" t="s">
        <v>9833</v>
      </c>
      <c r="NDU1" s="15" t="s">
        <v>9834</v>
      </c>
      <c r="NDV1" s="15" t="s">
        <v>9835</v>
      </c>
      <c r="NDW1" s="15" t="s">
        <v>9836</v>
      </c>
      <c r="NDX1" s="15" t="s">
        <v>9837</v>
      </c>
      <c r="NDY1" s="15" t="s">
        <v>9838</v>
      </c>
      <c r="NDZ1" s="15" t="s">
        <v>9839</v>
      </c>
      <c r="NEA1" s="15" t="s">
        <v>9840</v>
      </c>
      <c r="NEB1" s="15" t="s">
        <v>9841</v>
      </c>
      <c r="NEC1" s="15" t="s">
        <v>9842</v>
      </c>
      <c r="NED1" s="15" t="s">
        <v>9843</v>
      </c>
      <c r="NEE1" s="15" t="s">
        <v>9844</v>
      </c>
      <c r="NEF1" s="15" t="s">
        <v>9845</v>
      </c>
      <c r="NEG1" s="15" t="s">
        <v>9846</v>
      </c>
      <c r="NEH1" s="15" t="s">
        <v>9847</v>
      </c>
      <c r="NEI1" s="15" t="s">
        <v>9848</v>
      </c>
      <c r="NEJ1" s="15" t="s">
        <v>9849</v>
      </c>
      <c r="NEK1" s="15" t="s">
        <v>9850</v>
      </c>
      <c r="NEL1" s="15" t="s">
        <v>9851</v>
      </c>
      <c r="NEM1" s="15" t="s">
        <v>9852</v>
      </c>
      <c r="NEN1" s="15" t="s">
        <v>9853</v>
      </c>
      <c r="NEO1" s="15" t="s">
        <v>9854</v>
      </c>
      <c r="NEP1" s="15" t="s">
        <v>9855</v>
      </c>
      <c r="NEQ1" s="15" t="s">
        <v>9856</v>
      </c>
      <c r="NER1" s="15" t="s">
        <v>9857</v>
      </c>
      <c r="NES1" s="15" t="s">
        <v>9858</v>
      </c>
      <c r="NET1" s="15" t="s">
        <v>9859</v>
      </c>
      <c r="NEU1" s="15" t="s">
        <v>9860</v>
      </c>
      <c r="NEV1" s="15" t="s">
        <v>9861</v>
      </c>
      <c r="NEW1" s="15" t="s">
        <v>9862</v>
      </c>
      <c r="NEX1" s="15" t="s">
        <v>9863</v>
      </c>
      <c r="NEY1" s="15" t="s">
        <v>9864</v>
      </c>
      <c r="NEZ1" s="15" t="s">
        <v>9865</v>
      </c>
      <c r="NFA1" s="15" t="s">
        <v>9866</v>
      </c>
      <c r="NFB1" s="15" t="s">
        <v>9867</v>
      </c>
      <c r="NFC1" s="15" t="s">
        <v>9868</v>
      </c>
      <c r="NFD1" s="15" t="s">
        <v>9869</v>
      </c>
      <c r="NFE1" s="15" t="s">
        <v>9870</v>
      </c>
      <c r="NFF1" s="15" t="s">
        <v>9871</v>
      </c>
      <c r="NFG1" s="15" t="s">
        <v>9872</v>
      </c>
      <c r="NFH1" s="15" t="s">
        <v>9873</v>
      </c>
      <c r="NFI1" s="15" t="s">
        <v>9874</v>
      </c>
      <c r="NFJ1" s="15" t="s">
        <v>9875</v>
      </c>
      <c r="NFK1" s="15" t="s">
        <v>9876</v>
      </c>
      <c r="NFL1" s="15" t="s">
        <v>9877</v>
      </c>
      <c r="NFM1" s="15" t="s">
        <v>9878</v>
      </c>
      <c r="NFN1" s="15" t="s">
        <v>9879</v>
      </c>
      <c r="NFO1" s="15" t="s">
        <v>9880</v>
      </c>
      <c r="NFP1" s="15" t="s">
        <v>9881</v>
      </c>
      <c r="NFQ1" s="15" t="s">
        <v>9882</v>
      </c>
      <c r="NFR1" s="15" t="s">
        <v>9883</v>
      </c>
      <c r="NFS1" s="15" t="s">
        <v>9884</v>
      </c>
      <c r="NFT1" s="15" t="s">
        <v>9885</v>
      </c>
      <c r="NFU1" s="15" t="s">
        <v>9886</v>
      </c>
      <c r="NFV1" s="15" t="s">
        <v>9887</v>
      </c>
      <c r="NFW1" s="15" t="s">
        <v>9888</v>
      </c>
      <c r="NFX1" s="15" t="s">
        <v>9889</v>
      </c>
      <c r="NFY1" s="15" t="s">
        <v>9890</v>
      </c>
      <c r="NFZ1" s="15" t="s">
        <v>9891</v>
      </c>
      <c r="NGA1" s="15" t="s">
        <v>9892</v>
      </c>
      <c r="NGB1" s="15" t="s">
        <v>9893</v>
      </c>
      <c r="NGC1" s="15" t="s">
        <v>9894</v>
      </c>
      <c r="NGD1" s="15" t="s">
        <v>9895</v>
      </c>
      <c r="NGE1" s="15" t="s">
        <v>9896</v>
      </c>
      <c r="NGF1" s="15" t="s">
        <v>9897</v>
      </c>
      <c r="NGG1" s="15" t="s">
        <v>9898</v>
      </c>
      <c r="NGH1" s="15" t="s">
        <v>9899</v>
      </c>
      <c r="NGI1" s="15" t="s">
        <v>9900</v>
      </c>
      <c r="NGJ1" s="15" t="s">
        <v>9901</v>
      </c>
      <c r="NGK1" s="15" t="s">
        <v>9902</v>
      </c>
      <c r="NGL1" s="15" t="s">
        <v>9903</v>
      </c>
      <c r="NGM1" s="15" t="s">
        <v>9904</v>
      </c>
      <c r="NGN1" s="15" t="s">
        <v>9905</v>
      </c>
      <c r="NGO1" s="15" t="s">
        <v>9906</v>
      </c>
      <c r="NGP1" s="15" t="s">
        <v>9907</v>
      </c>
      <c r="NGQ1" s="15" t="s">
        <v>9908</v>
      </c>
      <c r="NGR1" s="15" t="s">
        <v>9909</v>
      </c>
      <c r="NGS1" s="15" t="s">
        <v>9910</v>
      </c>
      <c r="NGT1" s="15" t="s">
        <v>9911</v>
      </c>
      <c r="NGU1" s="15" t="s">
        <v>9912</v>
      </c>
      <c r="NGV1" s="15" t="s">
        <v>9913</v>
      </c>
      <c r="NGW1" s="15" t="s">
        <v>9914</v>
      </c>
      <c r="NGX1" s="15" t="s">
        <v>9915</v>
      </c>
      <c r="NGY1" s="15" t="s">
        <v>9916</v>
      </c>
      <c r="NGZ1" s="15" t="s">
        <v>9917</v>
      </c>
      <c r="NHA1" s="15" t="s">
        <v>9918</v>
      </c>
      <c r="NHB1" s="15" t="s">
        <v>9919</v>
      </c>
      <c r="NHC1" s="15" t="s">
        <v>9920</v>
      </c>
      <c r="NHD1" s="15" t="s">
        <v>9921</v>
      </c>
      <c r="NHE1" s="15" t="s">
        <v>9922</v>
      </c>
      <c r="NHF1" s="15" t="s">
        <v>9923</v>
      </c>
      <c r="NHG1" s="15" t="s">
        <v>9924</v>
      </c>
      <c r="NHH1" s="15" t="s">
        <v>9925</v>
      </c>
      <c r="NHI1" s="15" t="s">
        <v>9926</v>
      </c>
      <c r="NHJ1" s="15" t="s">
        <v>9927</v>
      </c>
      <c r="NHK1" s="15" t="s">
        <v>9928</v>
      </c>
      <c r="NHL1" s="15" t="s">
        <v>9929</v>
      </c>
      <c r="NHM1" s="15" t="s">
        <v>9930</v>
      </c>
      <c r="NHN1" s="15" t="s">
        <v>9931</v>
      </c>
      <c r="NHO1" s="15" t="s">
        <v>9932</v>
      </c>
      <c r="NHP1" s="15" t="s">
        <v>9933</v>
      </c>
      <c r="NHQ1" s="15" t="s">
        <v>9934</v>
      </c>
      <c r="NHR1" s="15" t="s">
        <v>9935</v>
      </c>
      <c r="NHS1" s="15" t="s">
        <v>9936</v>
      </c>
      <c r="NHT1" s="15" t="s">
        <v>9937</v>
      </c>
      <c r="NHU1" s="15" t="s">
        <v>9938</v>
      </c>
      <c r="NHV1" s="15" t="s">
        <v>9939</v>
      </c>
      <c r="NHW1" s="15" t="s">
        <v>9940</v>
      </c>
      <c r="NHX1" s="15" t="s">
        <v>9941</v>
      </c>
      <c r="NHY1" s="15" t="s">
        <v>9942</v>
      </c>
      <c r="NHZ1" s="15" t="s">
        <v>9943</v>
      </c>
      <c r="NIA1" s="15" t="s">
        <v>9944</v>
      </c>
      <c r="NIB1" s="15" t="s">
        <v>9945</v>
      </c>
      <c r="NIC1" s="15" t="s">
        <v>9946</v>
      </c>
      <c r="NID1" s="15" t="s">
        <v>9947</v>
      </c>
      <c r="NIE1" s="15" t="s">
        <v>9948</v>
      </c>
      <c r="NIF1" s="15" t="s">
        <v>9949</v>
      </c>
      <c r="NIG1" s="15" t="s">
        <v>9950</v>
      </c>
      <c r="NIH1" s="15" t="s">
        <v>9951</v>
      </c>
      <c r="NII1" s="15" t="s">
        <v>9952</v>
      </c>
      <c r="NIJ1" s="15" t="s">
        <v>9953</v>
      </c>
      <c r="NIK1" s="15" t="s">
        <v>9954</v>
      </c>
      <c r="NIL1" s="15" t="s">
        <v>9955</v>
      </c>
      <c r="NIM1" s="15" t="s">
        <v>9956</v>
      </c>
      <c r="NIN1" s="15" t="s">
        <v>9957</v>
      </c>
      <c r="NIO1" s="15" t="s">
        <v>9958</v>
      </c>
      <c r="NIP1" s="15" t="s">
        <v>9959</v>
      </c>
      <c r="NIQ1" s="15" t="s">
        <v>9960</v>
      </c>
      <c r="NIR1" s="15" t="s">
        <v>9961</v>
      </c>
      <c r="NIS1" s="15" t="s">
        <v>9962</v>
      </c>
      <c r="NIT1" s="15" t="s">
        <v>9963</v>
      </c>
      <c r="NIU1" s="15" t="s">
        <v>9964</v>
      </c>
      <c r="NIV1" s="15" t="s">
        <v>9965</v>
      </c>
      <c r="NIW1" s="15" t="s">
        <v>9966</v>
      </c>
      <c r="NIX1" s="15" t="s">
        <v>9967</v>
      </c>
      <c r="NIY1" s="15" t="s">
        <v>9968</v>
      </c>
      <c r="NIZ1" s="15" t="s">
        <v>9969</v>
      </c>
      <c r="NJA1" s="15" t="s">
        <v>9970</v>
      </c>
      <c r="NJB1" s="15" t="s">
        <v>9971</v>
      </c>
      <c r="NJC1" s="15" t="s">
        <v>9972</v>
      </c>
      <c r="NJD1" s="15" t="s">
        <v>9973</v>
      </c>
      <c r="NJE1" s="15" t="s">
        <v>9974</v>
      </c>
      <c r="NJF1" s="15" t="s">
        <v>9975</v>
      </c>
      <c r="NJG1" s="15" t="s">
        <v>9976</v>
      </c>
      <c r="NJH1" s="15" t="s">
        <v>9977</v>
      </c>
      <c r="NJI1" s="15" t="s">
        <v>9978</v>
      </c>
      <c r="NJJ1" s="15" t="s">
        <v>9979</v>
      </c>
      <c r="NJK1" s="15" t="s">
        <v>9980</v>
      </c>
      <c r="NJL1" s="15" t="s">
        <v>9981</v>
      </c>
      <c r="NJM1" s="15" t="s">
        <v>9982</v>
      </c>
      <c r="NJN1" s="15" t="s">
        <v>9983</v>
      </c>
      <c r="NJO1" s="15" t="s">
        <v>9984</v>
      </c>
      <c r="NJP1" s="15" t="s">
        <v>9985</v>
      </c>
      <c r="NJQ1" s="15" t="s">
        <v>9986</v>
      </c>
      <c r="NJR1" s="15" t="s">
        <v>9987</v>
      </c>
      <c r="NJS1" s="15" t="s">
        <v>9988</v>
      </c>
      <c r="NJT1" s="15" t="s">
        <v>9989</v>
      </c>
      <c r="NJU1" s="15" t="s">
        <v>9990</v>
      </c>
      <c r="NJV1" s="15" t="s">
        <v>9991</v>
      </c>
      <c r="NJW1" s="15" t="s">
        <v>9992</v>
      </c>
      <c r="NJX1" s="15" t="s">
        <v>9993</v>
      </c>
      <c r="NJY1" s="15" t="s">
        <v>9994</v>
      </c>
      <c r="NJZ1" s="15" t="s">
        <v>9995</v>
      </c>
      <c r="NKA1" s="15" t="s">
        <v>9996</v>
      </c>
      <c r="NKB1" s="15" t="s">
        <v>9997</v>
      </c>
      <c r="NKC1" s="15" t="s">
        <v>9998</v>
      </c>
      <c r="NKD1" s="15" t="s">
        <v>9999</v>
      </c>
      <c r="NKE1" s="15" t="s">
        <v>10000</v>
      </c>
      <c r="NKF1" s="15" t="s">
        <v>10001</v>
      </c>
      <c r="NKG1" s="15" t="s">
        <v>10002</v>
      </c>
      <c r="NKH1" s="15" t="s">
        <v>10003</v>
      </c>
      <c r="NKI1" s="15" t="s">
        <v>10004</v>
      </c>
      <c r="NKJ1" s="15" t="s">
        <v>10005</v>
      </c>
      <c r="NKK1" s="15" t="s">
        <v>10006</v>
      </c>
      <c r="NKL1" s="15" t="s">
        <v>10007</v>
      </c>
      <c r="NKM1" s="15" t="s">
        <v>10008</v>
      </c>
      <c r="NKN1" s="15" t="s">
        <v>10009</v>
      </c>
      <c r="NKO1" s="15" t="s">
        <v>10010</v>
      </c>
      <c r="NKP1" s="15" t="s">
        <v>10011</v>
      </c>
      <c r="NKQ1" s="15" t="s">
        <v>10012</v>
      </c>
      <c r="NKR1" s="15" t="s">
        <v>10013</v>
      </c>
      <c r="NKS1" s="15" t="s">
        <v>10014</v>
      </c>
      <c r="NKT1" s="15" t="s">
        <v>10015</v>
      </c>
      <c r="NKU1" s="15" t="s">
        <v>10016</v>
      </c>
      <c r="NKV1" s="15" t="s">
        <v>10017</v>
      </c>
      <c r="NKW1" s="15" t="s">
        <v>10018</v>
      </c>
      <c r="NKX1" s="15" t="s">
        <v>10019</v>
      </c>
      <c r="NKY1" s="15" t="s">
        <v>10020</v>
      </c>
      <c r="NKZ1" s="15" t="s">
        <v>10021</v>
      </c>
      <c r="NLA1" s="15" t="s">
        <v>10022</v>
      </c>
      <c r="NLB1" s="15" t="s">
        <v>10023</v>
      </c>
      <c r="NLC1" s="15" t="s">
        <v>10024</v>
      </c>
      <c r="NLD1" s="15" t="s">
        <v>10025</v>
      </c>
      <c r="NLE1" s="15" t="s">
        <v>10026</v>
      </c>
      <c r="NLF1" s="15" t="s">
        <v>10027</v>
      </c>
      <c r="NLG1" s="15" t="s">
        <v>10028</v>
      </c>
      <c r="NLH1" s="15" t="s">
        <v>10029</v>
      </c>
      <c r="NLI1" s="15" t="s">
        <v>10030</v>
      </c>
      <c r="NLJ1" s="15" t="s">
        <v>10031</v>
      </c>
      <c r="NLK1" s="15" t="s">
        <v>10032</v>
      </c>
      <c r="NLL1" s="15" t="s">
        <v>10033</v>
      </c>
      <c r="NLM1" s="15" t="s">
        <v>10034</v>
      </c>
      <c r="NLN1" s="15" t="s">
        <v>10035</v>
      </c>
      <c r="NLO1" s="15" t="s">
        <v>10036</v>
      </c>
      <c r="NLP1" s="15" t="s">
        <v>10037</v>
      </c>
      <c r="NLQ1" s="15" t="s">
        <v>10038</v>
      </c>
      <c r="NLR1" s="15" t="s">
        <v>10039</v>
      </c>
      <c r="NLS1" s="15" t="s">
        <v>10040</v>
      </c>
      <c r="NLT1" s="15" t="s">
        <v>10041</v>
      </c>
      <c r="NLU1" s="15" t="s">
        <v>10042</v>
      </c>
      <c r="NLV1" s="15" t="s">
        <v>10043</v>
      </c>
      <c r="NLW1" s="15" t="s">
        <v>10044</v>
      </c>
      <c r="NLX1" s="15" t="s">
        <v>10045</v>
      </c>
      <c r="NLY1" s="15" t="s">
        <v>10046</v>
      </c>
      <c r="NLZ1" s="15" t="s">
        <v>10047</v>
      </c>
      <c r="NMA1" s="15" t="s">
        <v>10048</v>
      </c>
      <c r="NMB1" s="15" t="s">
        <v>10049</v>
      </c>
      <c r="NMC1" s="15" t="s">
        <v>10050</v>
      </c>
      <c r="NMD1" s="15" t="s">
        <v>10051</v>
      </c>
      <c r="NME1" s="15" t="s">
        <v>10052</v>
      </c>
      <c r="NMF1" s="15" t="s">
        <v>10053</v>
      </c>
      <c r="NMG1" s="15" t="s">
        <v>10054</v>
      </c>
      <c r="NMH1" s="15" t="s">
        <v>10055</v>
      </c>
      <c r="NMI1" s="15" t="s">
        <v>10056</v>
      </c>
      <c r="NMJ1" s="15" t="s">
        <v>10057</v>
      </c>
      <c r="NMK1" s="15" t="s">
        <v>10058</v>
      </c>
      <c r="NML1" s="15" t="s">
        <v>10059</v>
      </c>
      <c r="NMM1" s="15" t="s">
        <v>10060</v>
      </c>
      <c r="NMN1" s="15" t="s">
        <v>10061</v>
      </c>
      <c r="NMO1" s="15" t="s">
        <v>10062</v>
      </c>
      <c r="NMP1" s="15" t="s">
        <v>10063</v>
      </c>
      <c r="NMQ1" s="15" t="s">
        <v>10064</v>
      </c>
      <c r="NMR1" s="15" t="s">
        <v>10065</v>
      </c>
      <c r="NMS1" s="15" t="s">
        <v>10066</v>
      </c>
      <c r="NMT1" s="15" t="s">
        <v>10067</v>
      </c>
      <c r="NMU1" s="15" t="s">
        <v>10068</v>
      </c>
      <c r="NMV1" s="15" t="s">
        <v>10069</v>
      </c>
      <c r="NMW1" s="15" t="s">
        <v>10070</v>
      </c>
      <c r="NMX1" s="15" t="s">
        <v>10071</v>
      </c>
      <c r="NMY1" s="15" t="s">
        <v>10072</v>
      </c>
      <c r="NMZ1" s="15" t="s">
        <v>10073</v>
      </c>
      <c r="NNA1" s="15" t="s">
        <v>10074</v>
      </c>
      <c r="NNB1" s="15" t="s">
        <v>10075</v>
      </c>
      <c r="NNC1" s="15" t="s">
        <v>10076</v>
      </c>
      <c r="NND1" s="15" t="s">
        <v>10077</v>
      </c>
      <c r="NNE1" s="15" t="s">
        <v>10078</v>
      </c>
      <c r="NNF1" s="15" t="s">
        <v>10079</v>
      </c>
      <c r="NNG1" s="15" t="s">
        <v>10080</v>
      </c>
      <c r="NNH1" s="15" t="s">
        <v>10081</v>
      </c>
      <c r="NNI1" s="15" t="s">
        <v>10082</v>
      </c>
      <c r="NNJ1" s="15" t="s">
        <v>10083</v>
      </c>
      <c r="NNK1" s="15" t="s">
        <v>10084</v>
      </c>
      <c r="NNL1" s="15" t="s">
        <v>10085</v>
      </c>
      <c r="NNM1" s="15" t="s">
        <v>10086</v>
      </c>
      <c r="NNN1" s="15" t="s">
        <v>10087</v>
      </c>
      <c r="NNO1" s="15" t="s">
        <v>10088</v>
      </c>
      <c r="NNP1" s="15" t="s">
        <v>10089</v>
      </c>
      <c r="NNQ1" s="15" t="s">
        <v>10090</v>
      </c>
      <c r="NNR1" s="15" t="s">
        <v>10091</v>
      </c>
      <c r="NNS1" s="15" t="s">
        <v>10092</v>
      </c>
      <c r="NNT1" s="15" t="s">
        <v>10093</v>
      </c>
      <c r="NNU1" s="15" t="s">
        <v>10094</v>
      </c>
      <c r="NNV1" s="15" t="s">
        <v>10095</v>
      </c>
      <c r="NNW1" s="15" t="s">
        <v>10096</v>
      </c>
      <c r="NNX1" s="15" t="s">
        <v>10097</v>
      </c>
      <c r="NNY1" s="15" t="s">
        <v>10098</v>
      </c>
      <c r="NNZ1" s="15" t="s">
        <v>10099</v>
      </c>
      <c r="NOA1" s="15" t="s">
        <v>10100</v>
      </c>
      <c r="NOB1" s="15" t="s">
        <v>10101</v>
      </c>
      <c r="NOC1" s="15" t="s">
        <v>10102</v>
      </c>
      <c r="NOD1" s="15" t="s">
        <v>10103</v>
      </c>
      <c r="NOE1" s="15" t="s">
        <v>10104</v>
      </c>
      <c r="NOF1" s="15" t="s">
        <v>10105</v>
      </c>
      <c r="NOG1" s="15" t="s">
        <v>10106</v>
      </c>
      <c r="NOH1" s="15" t="s">
        <v>10107</v>
      </c>
      <c r="NOI1" s="15" t="s">
        <v>10108</v>
      </c>
      <c r="NOJ1" s="15" t="s">
        <v>10109</v>
      </c>
      <c r="NOK1" s="15" t="s">
        <v>10110</v>
      </c>
      <c r="NOL1" s="15" t="s">
        <v>10111</v>
      </c>
      <c r="NOM1" s="15" t="s">
        <v>10112</v>
      </c>
      <c r="NON1" s="15" t="s">
        <v>10113</v>
      </c>
      <c r="NOO1" s="15" t="s">
        <v>10114</v>
      </c>
      <c r="NOP1" s="15" t="s">
        <v>10115</v>
      </c>
      <c r="NOQ1" s="15" t="s">
        <v>10116</v>
      </c>
      <c r="NOR1" s="15" t="s">
        <v>10117</v>
      </c>
      <c r="NOS1" s="15" t="s">
        <v>10118</v>
      </c>
      <c r="NOT1" s="15" t="s">
        <v>10119</v>
      </c>
      <c r="NOU1" s="15" t="s">
        <v>10120</v>
      </c>
      <c r="NOV1" s="15" t="s">
        <v>10121</v>
      </c>
      <c r="NOW1" s="15" t="s">
        <v>10122</v>
      </c>
      <c r="NOX1" s="15" t="s">
        <v>10123</v>
      </c>
      <c r="NOY1" s="15" t="s">
        <v>10124</v>
      </c>
      <c r="NOZ1" s="15" t="s">
        <v>10125</v>
      </c>
      <c r="NPA1" s="15" t="s">
        <v>10126</v>
      </c>
      <c r="NPB1" s="15" t="s">
        <v>10127</v>
      </c>
      <c r="NPC1" s="15" t="s">
        <v>10128</v>
      </c>
      <c r="NPD1" s="15" t="s">
        <v>10129</v>
      </c>
      <c r="NPE1" s="15" t="s">
        <v>10130</v>
      </c>
      <c r="NPF1" s="15" t="s">
        <v>10131</v>
      </c>
      <c r="NPG1" s="15" t="s">
        <v>10132</v>
      </c>
      <c r="NPH1" s="15" t="s">
        <v>10133</v>
      </c>
      <c r="NPI1" s="15" t="s">
        <v>10134</v>
      </c>
      <c r="NPJ1" s="15" t="s">
        <v>10135</v>
      </c>
      <c r="NPK1" s="15" t="s">
        <v>10136</v>
      </c>
      <c r="NPL1" s="15" t="s">
        <v>10137</v>
      </c>
      <c r="NPM1" s="15" t="s">
        <v>10138</v>
      </c>
      <c r="NPN1" s="15" t="s">
        <v>10139</v>
      </c>
      <c r="NPO1" s="15" t="s">
        <v>10140</v>
      </c>
      <c r="NPP1" s="15" t="s">
        <v>10141</v>
      </c>
      <c r="NPQ1" s="15" t="s">
        <v>10142</v>
      </c>
      <c r="NPR1" s="15" t="s">
        <v>10143</v>
      </c>
      <c r="NPS1" s="15" t="s">
        <v>10144</v>
      </c>
      <c r="NPT1" s="15" t="s">
        <v>10145</v>
      </c>
      <c r="NPU1" s="15" t="s">
        <v>10146</v>
      </c>
      <c r="NPV1" s="15" t="s">
        <v>10147</v>
      </c>
      <c r="NPW1" s="15" t="s">
        <v>10148</v>
      </c>
      <c r="NPX1" s="15" t="s">
        <v>10149</v>
      </c>
      <c r="NPY1" s="15" t="s">
        <v>10150</v>
      </c>
      <c r="NPZ1" s="15" t="s">
        <v>10151</v>
      </c>
      <c r="NQA1" s="15" t="s">
        <v>10152</v>
      </c>
      <c r="NQB1" s="15" t="s">
        <v>10153</v>
      </c>
      <c r="NQC1" s="15" t="s">
        <v>10154</v>
      </c>
      <c r="NQD1" s="15" t="s">
        <v>10155</v>
      </c>
      <c r="NQE1" s="15" t="s">
        <v>10156</v>
      </c>
      <c r="NQF1" s="15" t="s">
        <v>10157</v>
      </c>
      <c r="NQG1" s="15" t="s">
        <v>10158</v>
      </c>
      <c r="NQH1" s="15" t="s">
        <v>10159</v>
      </c>
      <c r="NQI1" s="15" t="s">
        <v>10160</v>
      </c>
      <c r="NQJ1" s="15" t="s">
        <v>10161</v>
      </c>
      <c r="NQK1" s="15" t="s">
        <v>10162</v>
      </c>
      <c r="NQL1" s="15" t="s">
        <v>10163</v>
      </c>
      <c r="NQM1" s="15" t="s">
        <v>10164</v>
      </c>
      <c r="NQN1" s="15" t="s">
        <v>10165</v>
      </c>
      <c r="NQO1" s="15" t="s">
        <v>10166</v>
      </c>
      <c r="NQP1" s="15" t="s">
        <v>10167</v>
      </c>
      <c r="NQQ1" s="15" t="s">
        <v>10168</v>
      </c>
      <c r="NQR1" s="15" t="s">
        <v>10169</v>
      </c>
      <c r="NQS1" s="15" t="s">
        <v>10170</v>
      </c>
      <c r="NQT1" s="15" t="s">
        <v>10171</v>
      </c>
      <c r="NQU1" s="15" t="s">
        <v>10172</v>
      </c>
      <c r="NQV1" s="15" t="s">
        <v>10173</v>
      </c>
      <c r="NQW1" s="15" t="s">
        <v>10174</v>
      </c>
      <c r="NQX1" s="15" t="s">
        <v>10175</v>
      </c>
      <c r="NQY1" s="15" t="s">
        <v>10176</v>
      </c>
      <c r="NQZ1" s="15" t="s">
        <v>10177</v>
      </c>
      <c r="NRA1" s="15" t="s">
        <v>10178</v>
      </c>
      <c r="NRB1" s="15" t="s">
        <v>10179</v>
      </c>
      <c r="NRC1" s="15" t="s">
        <v>10180</v>
      </c>
      <c r="NRD1" s="15" t="s">
        <v>10181</v>
      </c>
      <c r="NRE1" s="15" t="s">
        <v>10182</v>
      </c>
      <c r="NRF1" s="15" t="s">
        <v>10183</v>
      </c>
      <c r="NRG1" s="15" t="s">
        <v>10184</v>
      </c>
      <c r="NRH1" s="15" t="s">
        <v>10185</v>
      </c>
      <c r="NRI1" s="15" t="s">
        <v>10186</v>
      </c>
      <c r="NRJ1" s="15" t="s">
        <v>10187</v>
      </c>
      <c r="NRK1" s="15" t="s">
        <v>10188</v>
      </c>
      <c r="NRL1" s="15" t="s">
        <v>10189</v>
      </c>
      <c r="NRM1" s="15" t="s">
        <v>10190</v>
      </c>
      <c r="NRN1" s="15" t="s">
        <v>10191</v>
      </c>
      <c r="NRO1" s="15" t="s">
        <v>10192</v>
      </c>
      <c r="NRP1" s="15" t="s">
        <v>10193</v>
      </c>
      <c r="NRQ1" s="15" t="s">
        <v>10194</v>
      </c>
      <c r="NRR1" s="15" t="s">
        <v>10195</v>
      </c>
      <c r="NRS1" s="15" t="s">
        <v>10196</v>
      </c>
      <c r="NRT1" s="15" t="s">
        <v>10197</v>
      </c>
      <c r="NRU1" s="15" t="s">
        <v>10198</v>
      </c>
      <c r="NRV1" s="15" t="s">
        <v>10199</v>
      </c>
      <c r="NRW1" s="15" t="s">
        <v>10200</v>
      </c>
      <c r="NRX1" s="15" t="s">
        <v>10201</v>
      </c>
      <c r="NRY1" s="15" t="s">
        <v>10202</v>
      </c>
      <c r="NRZ1" s="15" t="s">
        <v>10203</v>
      </c>
      <c r="NSA1" s="15" t="s">
        <v>10204</v>
      </c>
      <c r="NSB1" s="15" t="s">
        <v>10205</v>
      </c>
      <c r="NSC1" s="15" t="s">
        <v>10206</v>
      </c>
      <c r="NSD1" s="15" t="s">
        <v>10207</v>
      </c>
      <c r="NSE1" s="15" t="s">
        <v>10208</v>
      </c>
      <c r="NSF1" s="15" t="s">
        <v>10209</v>
      </c>
      <c r="NSG1" s="15" t="s">
        <v>10210</v>
      </c>
      <c r="NSH1" s="15" t="s">
        <v>10211</v>
      </c>
      <c r="NSI1" s="15" t="s">
        <v>10212</v>
      </c>
      <c r="NSJ1" s="15" t="s">
        <v>10213</v>
      </c>
      <c r="NSK1" s="15" t="s">
        <v>10214</v>
      </c>
      <c r="NSL1" s="15" t="s">
        <v>10215</v>
      </c>
      <c r="NSM1" s="15" t="s">
        <v>10216</v>
      </c>
      <c r="NSN1" s="15" t="s">
        <v>10217</v>
      </c>
      <c r="NSO1" s="15" t="s">
        <v>10218</v>
      </c>
      <c r="NSP1" s="15" t="s">
        <v>10219</v>
      </c>
      <c r="NSQ1" s="15" t="s">
        <v>10220</v>
      </c>
      <c r="NSR1" s="15" t="s">
        <v>10221</v>
      </c>
      <c r="NSS1" s="15" t="s">
        <v>10222</v>
      </c>
      <c r="NST1" s="15" t="s">
        <v>10223</v>
      </c>
      <c r="NSU1" s="15" t="s">
        <v>10224</v>
      </c>
      <c r="NSV1" s="15" t="s">
        <v>10225</v>
      </c>
      <c r="NSW1" s="15" t="s">
        <v>10226</v>
      </c>
      <c r="NSX1" s="15" t="s">
        <v>10227</v>
      </c>
      <c r="NSY1" s="15" t="s">
        <v>10228</v>
      </c>
      <c r="NSZ1" s="15" t="s">
        <v>10229</v>
      </c>
      <c r="NTA1" s="15" t="s">
        <v>10230</v>
      </c>
      <c r="NTB1" s="15" t="s">
        <v>10231</v>
      </c>
      <c r="NTC1" s="15" t="s">
        <v>10232</v>
      </c>
      <c r="NTD1" s="15" t="s">
        <v>10233</v>
      </c>
      <c r="NTE1" s="15" t="s">
        <v>10234</v>
      </c>
      <c r="NTF1" s="15" t="s">
        <v>10235</v>
      </c>
      <c r="NTG1" s="15" t="s">
        <v>10236</v>
      </c>
      <c r="NTH1" s="15" t="s">
        <v>10237</v>
      </c>
      <c r="NTI1" s="15" t="s">
        <v>10238</v>
      </c>
      <c r="NTJ1" s="15" t="s">
        <v>10239</v>
      </c>
      <c r="NTK1" s="15" t="s">
        <v>10240</v>
      </c>
      <c r="NTL1" s="15" t="s">
        <v>10241</v>
      </c>
      <c r="NTM1" s="15" t="s">
        <v>10242</v>
      </c>
      <c r="NTN1" s="15" t="s">
        <v>10243</v>
      </c>
      <c r="NTO1" s="15" t="s">
        <v>10244</v>
      </c>
      <c r="NTP1" s="15" t="s">
        <v>10245</v>
      </c>
      <c r="NTQ1" s="15" t="s">
        <v>10246</v>
      </c>
      <c r="NTR1" s="15" t="s">
        <v>10247</v>
      </c>
      <c r="NTS1" s="15" t="s">
        <v>10248</v>
      </c>
      <c r="NTT1" s="15" t="s">
        <v>10249</v>
      </c>
      <c r="NTU1" s="15" t="s">
        <v>10250</v>
      </c>
      <c r="NTV1" s="15" t="s">
        <v>10251</v>
      </c>
      <c r="NTW1" s="15" t="s">
        <v>10252</v>
      </c>
      <c r="NTX1" s="15" t="s">
        <v>10253</v>
      </c>
      <c r="NTY1" s="15" t="s">
        <v>10254</v>
      </c>
      <c r="NTZ1" s="15" t="s">
        <v>10255</v>
      </c>
      <c r="NUA1" s="15" t="s">
        <v>10256</v>
      </c>
      <c r="NUB1" s="15" t="s">
        <v>10257</v>
      </c>
      <c r="NUC1" s="15" t="s">
        <v>10258</v>
      </c>
      <c r="NUD1" s="15" t="s">
        <v>10259</v>
      </c>
      <c r="NUE1" s="15" t="s">
        <v>10260</v>
      </c>
      <c r="NUF1" s="15" t="s">
        <v>10261</v>
      </c>
      <c r="NUG1" s="15" t="s">
        <v>10262</v>
      </c>
      <c r="NUH1" s="15" t="s">
        <v>10263</v>
      </c>
      <c r="NUI1" s="15" t="s">
        <v>10264</v>
      </c>
      <c r="NUJ1" s="15" t="s">
        <v>10265</v>
      </c>
      <c r="NUK1" s="15" t="s">
        <v>10266</v>
      </c>
      <c r="NUL1" s="15" t="s">
        <v>10267</v>
      </c>
      <c r="NUM1" s="15" t="s">
        <v>10268</v>
      </c>
      <c r="NUN1" s="15" t="s">
        <v>10269</v>
      </c>
      <c r="NUO1" s="15" t="s">
        <v>10270</v>
      </c>
      <c r="NUP1" s="15" t="s">
        <v>10271</v>
      </c>
      <c r="NUQ1" s="15" t="s">
        <v>10272</v>
      </c>
      <c r="NUR1" s="15" t="s">
        <v>10273</v>
      </c>
      <c r="NUS1" s="15" t="s">
        <v>10274</v>
      </c>
      <c r="NUT1" s="15" t="s">
        <v>10275</v>
      </c>
      <c r="NUU1" s="15" t="s">
        <v>10276</v>
      </c>
      <c r="NUV1" s="15" t="s">
        <v>10277</v>
      </c>
      <c r="NUW1" s="15" t="s">
        <v>10278</v>
      </c>
      <c r="NUX1" s="15" t="s">
        <v>10279</v>
      </c>
      <c r="NUY1" s="15" t="s">
        <v>10280</v>
      </c>
      <c r="NUZ1" s="15" t="s">
        <v>10281</v>
      </c>
      <c r="NVA1" s="15" t="s">
        <v>10282</v>
      </c>
      <c r="NVB1" s="15" t="s">
        <v>10283</v>
      </c>
      <c r="NVC1" s="15" t="s">
        <v>10284</v>
      </c>
      <c r="NVD1" s="15" t="s">
        <v>10285</v>
      </c>
      <c r="NVE1" s="15" t="s">
        <v>10286</v>
      </c>
      <c r="NVF1" s="15" t="s">
        <v>10287</v>
      </c>
      <c r="NVG1" s="15" t="s">
        <v>10288</v>
      </c>
      <c r="NVH1" s="15" t="s">
        <v>10289</v>
      </c>
      <c r="NVI1" s="15" t="s">
        <v>10290</v>
      </c>
      <c r="NVJ1" s="15" t="s">
        <v>10291</v>
      </c>
      <c r="NVK1" s="15" t="s">
        <v>10292</v>
      </c>
      <c r="NVL1" s="15" t="s">
        <v>10293</v>
      </c>
      <c r="NVM1" s="15" t="s">
        <v>10294</v>
      </c>
      <c r="NVN1" s="15" t="s">
        <v>10295</v>
      </c>
      <c r="NVO1" s="15" t="s">
        <v>10296</v>
      </c>
      <c r="NVP1" s="15" t="s">
        <v>10297</v>
      </c>
      <c r="NVQ1" s="15" t="s">
        <v>10298</v>
      </c>
      <c r="NVR1" s="15" t="s">
        <v>10299</v>
      </c>
      <c r="NVS1" s="15" t="s">
        <v>10300</v>
      </c>
      <c r="NVT1" s="15" t="s">
        <v>10301</v>
      </c>
      <c r="NVU1" s="15" t="s">
        <v>10302</v>
      </c>
      <c r="NVV1" s="15" t="s">
        <v>10303</v>
      </c>
      <c r="NVW1" s="15" t="s">
        <v>10304</v>
      </c>
      <c r="NVX1" s="15" t="s">
        <v>10305</v>
      </c>
      <c r="NVY1" s="15" t="s">
        <v>10306</v>
      </c>
      <c r="NVZ1" s="15" t="s">
        <v>10307</v>
      </c>
      <c r="NWA1" s="15" t="s">
        <v>10308</v>
      </c>
      <c r="NWB1" s="15" t="s">
        <v>10309</v>
      </c>
      <c r="NWC1" s="15" t="s">
        <v>10310</v>
      </c>
      <c r="NWD1" s="15" t="s">
        <v>10311</v>
      </c>
      <c r="NWE1" s="15" t="s">
        <v>10312</v>
      </c>
      <c r="NWF1" s="15" t="s">
        <v>10313</v>
      </c>
      <c r="NWG1" s="15" t="s">
        <v>10314</v>
      </c>
      <c r="NWH1" s="15" t="s">
        <v>10315</v>
      </c>
      <c r="NWI1" s="15" t="s">
        <v>10316</v>
      </c>
      <c r="NWJ1" s="15" t="s">
        <v>10317</v>
      </c>
      <c r="NWK1" s="15" t="s">
        <v>10318</v>
      </c>
      <c r="NWL1" s="15" t="s">
        <v>10319</v>
      </c>
      <c r="NWM1" s="15" t="s">
        <v>10320</v>
      </c>
      <c r="NWN1" s="15" t="s">
        <v>10321</v>
      </c>
      <c r="NWO1" s="15" t="s">
        <v>10322</v>
      </c>
      <c r="NWP1" s="15" t="s">
        <v>10323</v>
      </c>
      <c r="NWQ1" s="15" t="s">
        <v>10324</v>
      </c>
      <c r="NWR1" s="15" t="s">
        <v>10325</v>
      </c>
      <c r="NWS1" s="15" t="s">
        <v>10326</v>
      </c>
      <c r="NWT1" s="15" t="s">
        <v>10327</v>
      </c>
      <c r="NWU1" s="15" t="s">
        <v>10328</v>
      </c>
      <c r="NWV1" s="15" t="s">
        <v>10329</v>
      </c>
      <c r="NWW1" s="15" t="s">
        <v>10330</v>
      </c>
      <c r="NWX1" s="15" t="s">
        <v>10331</v>
      </c>
      <c r="NWY1" s="15" t="s">
        <v>10332</v>
      </c>
      <c r="NWZ1" s="15" t="s">
        <v>10333</v>
      </c>
      <c r="NXA1" s="15" t="s">
        <v>10334</v>
      </c>
      <c r="NXB1" s="15" t="s">
        <v>10335</v>
      </c>
      <c r="NXC1" s="15" t="s">
        <v>10336</v>
      </c>
      <c r="NXD1" s="15" t="s">
        <v>10337</v>
      </c>
      <c r="NXE1" s="15" t="s">
        <v>10338</v>
      </c>
      <c r="NXF1" s="15" t="s">
        <v>10339</v>
      </c>
      <c r="NXG1" s="15" t="s">
        <v>10340</v>
      </c>
      <c r="NXH1" s="15" t="s">
        <v>10341</v>
      </c>
      <c r="NXI1" s="15" t="s">
        <v>10342</v>
      </c>
      <c r="NXJ1" s="15" t="s">
        <v>10343</v>
      </c>
      <c r="NXK1" s="15" t="s">
        <v>10344</v>
      </c>
      <c r="NXL1" s="15" t="s">
        <v>10345</v>
      </c>
      <c r="NXM1" s="15" t="s">
        <v>10346</v>
      </c>
      <c r="NXN1" s="15" t="s">
        <v>10347</v>
      </c>
      <c r="NXO1" s="15" t="s">
        <v>10348</v>
      </c>
      <c r="NXP1" s="15" t="s">
        <v>10349</v>
      </c>
      <c r="NXQ1" s="15" t="s">
        <v>10350</v>
      </c>
      <c r="NXR1" s="15" t="s">
        <v>10351</v>
      </c>
      <c r="NXS1" s="15" t="s">
        <v>10352</v>
      </c>
      <c r="NXT1" s="15" t="s">
        <v>10353</v>
      </c>
      <c r="NXU1" s="15" t="s">
        <v>10354</v>
      </c>
      <c r="NXV1" s="15" t="s">
        <v>10355</v>
      </c>
      <c r="NXW1" s="15" t="s">
        <v>10356</v>
      </c>
      <c r="NXX1" s="15" t="s">
        <v>10357</v>
      </c>
      <c r="NXY1" s="15" t="s">
        <v>10358</v>
      </c>
      <c r="NXZ1" s="15" t="s">
        <v>10359</v>
      </c>
      <c r="NYA1" s="15" t="s">
        <v>10360</v>
      </c>
      <c r="NYB1" s="15" t="s">
        <v>10361</v>
      </c>
      <c r="NYC1" s="15" t="s">
        <v>10362</v>
      </c>
      <c r="NYD1" s="15" t="s">
        <v>10363</v>
      </c>
      <c r="NYE1" s="15" t="s">
        <v>10364</v>
      </c>
      <c r="NYF1" s="15" t="s">
        <v>10365</v>
      </c>
      <c r="NYG1" s="15" t="s">
        <v>10366</v>
      </c>
      <c r="NYH1" s="15" t="s">
        <v>10367</v>
      </c>
      <c r="NYI1" s="15" t="s">
        <v>10368</v>
      </c>
      <c r="NYJ1" s="15" t="s">
        <v>10369</v>
      </c>
      <c r="NYK1" s="15" t="s">
        <v>10370</v>
      </c>
      <c r="NYL1" s="15" t="s">
        <v>10371</v>
      </c>
      <c r="NYM1" s="15" t="s">
        <v>10372</v>
      </c>
      <c r="NYN1" s="15" t="s">
        <v>10373</v>
      </c>
      <c r="NYO1" s="15" t="s">
        <v>10374</v>
      </c>
      <c r="NYP1" s="15" t="s">
        <v>10375</v>
      </c>
      <c r="NYQ1" s="15" t="s">
        <v>10376</v>
      </c>
      <c r="NYR1" s="15" t="s">
        <v>10377</v>
      </c>
      <c r="NYS1" s="15" t="s">
        <v>10378</v>
      </c>
      <c r="NYT1" s="15" t="s">
        <v>10379</v>
      </c>
      <c r="NYU1" s="15" t="s">
        <v>10380</v>
      </c>
      <c r="NYV1" s="15" t="s">
        <v>10381</v>
      </c>
      <c r="NYW1" s="15" t="s">
        <v>10382</v>
      </c>
      <c r="NYX1" s="15" t="s">
        <v>10383</v>
      </c>
      <c r="NYY1" s="15" t="s">
        <v>10384</v>
      </c>
      <c r="NYZ1" s="15" t="s">
        <v>10385</v>
      </c>
      <c r="NZA1" s="15" t="s">
        <v>10386</v>
      </c>
      <c r="NZB1" s="15" t="s">
        <v>10387</v>
      </c>
      <c r="NZC1" s="15" t="s">
        <v>10388</v>
      </c>
      <c r="NZD1" s="15" t="s">
        <v>10389</v>
      </c>
      <c r="NZE1" s="15" t="s">
        <v>10390</v>
      </c>
      <c r="NZF1" s="15" t="s">
        <v>10391</v>
      </c>
      <c r="NZG1" s="15" t="s">
        <v>10392</v>
      </c>
      <c r="NZH1" s="15" t="s">
        <v>10393</v>
      </c>
      <c r="NZI1" s="15" t="s">
        <v>10394</v>
      </c>
      <c r="NZJ1" s="15" t="s">
        <v>10395</v>
      </c>
      <c r="NZK1" s="15" t="s">
        <v>10396</v>
      </c>
      <c r="NZL1" s="15" t="s">
        <v>10397</v>
      </c>
      <c r="NZM1" s="15" t="s">
        <v>10398</v>
      </c>
      <c r="NZN1" s="15" t="s">
        <v>10399</v>
      </c>
      <c r="NZO1" s="15" t="s">
        <v>10400</v>
      </c>
      <c r="NZP1" s="15" t="s">
        <v>10401</v>
      </c>
      <c r="NZQ1" s="15" t="s">
        <v>10402</v>
      </c>
      <c r="NZR1" s="15" t="s">
        <v>10403</v>
      </c>
      <c r="NZS1" s="15" t="s">
        <v>10404</v>
      </c>
      <c r="NZT1" s="15" t="s">
        <v>10405</v>
      </c>
      <c r="NZU1" s="15" t="s">
        <v>10406</v>
      </c>
      <c r="NZV1" s="15" t="s">
        <v>10407</v>
      </c>
      <c r="NZW1" s="15" t="s">
        <v>10408</v>
      </c>
      <c r="NZX1" s="15" t="s">
        <v>10409</v>
      </c>
      <c r="NZY1" s="15" t="s">
        <v>10410</v>
      </c>
      <c r="NZZ1" s="15" t="s">
        <v>10411</v>
      </c>
      <c r="OAA1" s="15" t="s">
        <v>10412</v>
      </c>
      <c r="OAB1" s="15" t="s">
        <v>10413</v>
      </c>
      <c r="OAC1" s="15" t="s">
        <v>10414</v>
      </c>
      <c r="OAD1" s="15" t="s">
        <v>10415</v>
      </c>
      <c r="OAE1" s="15" t="s">
        <v>10416</v>
      </c>
      <c r="OAF1" s="15" t="s">
        <v>10417</v>
      </c>
      <c r="OAG1" s="15" t="s">
        <v>10418</v>
      </c>
      <c r="OAH1" s="15" t="s">
        <v>10419</v>
      </c>
      <c r="OAI1" s="15" t="s">
        <v>10420</v>
      </c>
      <c r="OAJ1" s="15" t="s">
        <v>10421</v>
      </c>
      <c r="OAK1" s="15" t="s">
        <v>10422</v>
      </c>
      <c r="OAL1" s="15" t="s">
        <v>10423</v>
      </c>
      <c r="OAM1" s="15" t="s">
        <v>10424</v>
      </c>
      <c r="OAN1" s="15" t="s">
        <v>10425</v>
      </c>
      <c r="OAO1" s="15" t="s">
        <v>10426</v>
      </c>
      <c r="OAP1" s="15" t="s">
        <v>10427</v>
      </c>
      <c r="OAQ1" s="15" t="s">
        <v>10428</v>
      </c>
      <c r="OAR1" s="15" t="s">
        <v>10429</v>
      </c>
      <c r="OAS1" s="15" t="s">
        <v>10430</v>
      </c>
      <c r="OAT1" s="15" t="s">
        <v>10431</v>
      </c>
      <c r="OAU1" s="15" t="s">
        <v>10432</v>
      </c>
      <c r="OAV1" s="15" t="s">
        <v>10433</v>
      </c>
      <c r="OAW1" s="15" t="s">
        <v>10434</v>
      </c>
      <c r="OAX1" s="15" t="s">
        <v>10435</v>
      </c>
      <c r="OAY1" s="15" t="s">
        <v>10436</v>
      </c>
      <c r="OAZ1" s="15" t="s">
        <v>10437</v>
      </c>
      <c r="OBA1" s="15" t="s">
        <v>10438</v>
      </c>
      <c r="OBB1" s="15" t="s">
        <v>10439</v>
      </c>
      <c r="OBC1" s="15" t="s">
        <v>10440</v>
      </c>
      <c r="OBD1" s="15" t="s">
        <v>10441</v>
      </c>
      <c r="OBE1" s="15" t="s">
        <v>10442</v>
      </c>
      <c r="OBF1" s="15" t="s">
        <v>10443</v>
      </c>
      <c r="OBG1" s="15" t="s">
        <v>10444</v>
      </c>
      <c r="OBH1" s="15" t="s">
        <v>10445</v>
      </c>
      <c r="OBI1" s="15" t="s">
        <v>10446</v>
      </c>
      <c r="OBJ1" s="15" t="s">
        <v>10447</v>
      </c>
      <c r="OBK1" s="15" t="s">
        <v>10448</v>
      </c>
      <c r="OBL1" s="15" t="s">
        <v>10449</v>
      </c>
      <c r="OBM1" s="15" t="s">
        <v>10450</v>
      </c>
      <c r="OBN1" s="15" t="s">
        <v>10451</v>
      </c>
      <c r="OBO1" s="15" t="s">
        <v>10452</v>
      </c>
      <c r="OBP1" s="15" t="s">
        <v>10453</v>
      </c>
      <c r="OBQ1" s="15" t="s">
        <v>10454</v>
      </c>
      <c r="OBR1" s="15" t="s">
        <v>10455</v>
      </c>
      <c r="OBS1" s="15" t="s">
        <v>10456</v>
      </c>
      <c r="OBT1" s="15" t="s">
        <v>10457</v>
      </c>
      <c r="OBU1" s="15" t="s">
        <v>10458</v>
      </c>
      <c r="OBV1" s="15" t="s">
        <v>10459</v>
      </c>
      <c r="OBW1" s="15" t="s">
        <v>10460</v>
      </c>
      <c r="OBX1" s="15" t="s">
        <v>10461</v>
      </c>
      <c r="OBY1" s="15" t="s">
        <v>10462</v>
      </c>
      <c r="OBZ1" s="15" t="s">
        <v>10463</v>
      </c>
      <c r="OCA1" s="15" t="s">
        <v>10464</v>
      </c>
      <c r="OCB1" s="15" t="s">
        <v>10465</v>
      </c>
      <c r="OCC1" s="15" t="s">
        <v>10466</v>
      </c>
      <c r="OCD1" s="15" t="s">
        <v>10467</v>
      </c>
      <c r="OCE1" s="15" t="s">
        <v>10468</v>
      </c>
      <c r="OCF1" s="15" t="s">
        <v>10469</v>
      </c>
      <c r="OCG1" s="15" t="s">
        <v>10470</v>
      </c>
      <c r="OCH1" s="15" t="s">
        <v>10471</v>
      </c>
      <c r="OCI1" s="15" t="s">
        <v>10472</v>
      </c>
      <c r="OCJ1" s="15" t="s">
        <v>10473</v>
      </c>
      <c r="OCK1" s="15" t="s">
        <v>10474</v>
      </c>
      <c r="OCL1" s="15" t="s">
        <v>10475</v>
      </c>
      <c r="OCM1" s="15" t="s">
        <v>10476</v>
      </c>
      <c r="OCN1" s="15" t="s">
        <v>10477</v>
      </c>
      <c r="OCO1" s="15" t="s">
        <v>10478</v>
      </c>
      <c r="OCP1" s="15" t="s">
        <v>10479</v>
      </c>
      <c r="OCQ1" s="15" t="s">
        <v>10480</v>
      </c>
      <c r="OCR1" s="15" t="s">
        <v>10481</v>
      </c>
      <c r="OCS1" s="15" t="s">
        <v>10482</v>
      </c>
      <c r="OCT1" s="15" t="s">
        <v>10483</v>
      </c>
      <c r="OCU1" s="15" t="s">
        <v>10484</v>
      </c>
      <c r="OCV1" s="15" t="s">
        <v>10485</v>
      </c>
      <c r="OCW1" s="15" t="s">
        <v>10486</v>
      </c>
      <c r="OCX1" s="15" t="s">
        <v>10487</v>
      </c>
      <c r="OCY1" s="15" t="s">
        <v>10488</v>
      </c>
      <c r="OCZ1" s="15" t="s">
        <v>10489</v>
      </c>
      <c r="ODA1" s="15" t="s">
        <v>10490</v>
      </c>
      <c r="ODB1" s="15" t="s">
        <v>10491</v>
      </c>
      <c r="ODC1" s="15" t="s">
        <v>10492</v>
      </c>
      <c r="ODD1" s="15" t="s">
        <v>10493</v>
      </c>
      <c r="ODE1" s="15" t="s">
        <v>10494</v>
      </c>
      <c r="ODF1" s="15" t="s">
        <v>10495</v>
      </c>
      <c r="ODG1" s="15" t="s">
        <v>10496</v>
      </c>
      <c r="ODH1" s="15" t="s">
        <v>10497</v>
      </c>
      <c r="ODI1" s="15" t="s">
        <v>10498</v>
      </c>
      <c r="ODJ1" s="15" t="s">
        <v>10499</v>
      </c>
      <c r="ODK1" s="15" t="s">
        <v>10500</v>
      </c>
      <c r="ODL1" s="15" t="s">
        <v>10501</v>
      </c>
      <c r="ODM1" s="15" t="s">
        <v>10502</v>
      </c>
      <c r="ODN1" s="15" t="s">
        <v>10503</v>
      </c>
      <c r="ODO1" s="15" t="s">
        <v>10504</v>
      </c>
      <c r="ODP1" s="15" t="s">
        <v>10505</v>
      </c>
      <c r="ODQ1" s="15" t="s">
        <v>10506</v>
      </c>
      <c r="ODR1" s="15" t="s">
        <v>10507</v>
      </c>
      <c r="ODS1" s="15" t="s">
        <v>10508</v>
      </c>
      <c r="ODT1" s="15" t="s">
        <v>10509</v>
      </c>
      <c r="ODU1" s="15" t="s">
        <v>10510</v>
      </c>
      <c r="ODV1" s="15" t="s">
        <v>10511</v>
      </c>
      <c r="ODW1" s="15" t="s">
        <v>10512</v>
      </c>
      <c r="ODX1" s="15" t="s">
        <v>10513</v>
      </c>
      <c r="ODY1" s="15" t="s">
        <v>10514</v>
      </c>
      <c r="ODZ1" s="15" t="s">
        <v>10515</v>
      </c>
      <c r="OEA1" s="15" t="s">
        <v>10516</v>
      </c>
      <c r="OEB1" s="15" t="s">
        <v>10517</v>
      </c>
      <c r="OEC1" s="15" t="s">
        <v>10518</v>
      </c>
      <c r="OED1" s="15" t="s">
        <v>10519</v>
      </c>
      <c r="OEE1" s="15" t="s">
        <v>10520</v>
      </c>
      <c r="OEF1" s="15" t="s">
        <v>10521</v>
      </c>
      <c r="OEG1" s="15" t="s">
        <v>10522</v>
      </c>
      <c r="OEH1" s="15" t="s">
        <v>10523</v>
      </c>
      <c r="OEI1" s="15" t="s">
        <v>10524</v>
      </c>
      <c r="OEJ1" s="15" t="s">
        <v>10525</v>
      </c>
      <c r="OEK1" s="15" t="s">
        <v>10526</v>
      </c>
      <c r="OEL1" s="15" t="s">
        <v>10527</v>
      </c>
      <c r="OEM1" s="15" t="s">
        <v>10528</v>
      </c>
      <c r="OEN1" s="15" t="s">
        <v>10529</v>
      </c>
      <c r="OEO1" s="15" t="s">
        <v>10530</v>
      </c>
      <c r="OEP1" s="15" t="s">
        <v>10531</v>
      </c>
      <c r="OEQ1" s="15" t="s">
        <v>10532</v>
      </c>
      <c r="OER1" s="15" t="s">
        <v>10533</v>
      </c>
      <c r="OES1" s="15" t="s">
        <v>10534</v>
      </c>
      <c r="OET1" s="15" t="s">
        <v>10535</v>
      </c>
      <c r="OEU1" s="15" t="s">
        <v>10536</v>
      </c>
      <c r="OEV1" s="15" t="s">
        <v>10537</v>
      </c>
      <c r="OEW1" s="15" t="s">
        <v>10538</v>
      </c>
      <c r="OEX1" s="15" t="s">
        <v>10539</v>
      </c>
      <c r="OEY1" s="15" t="s">
        <v>10540</v>
      </c>
      <c r="OEZ1" s="15" t="s">
        <v>10541</v>
      </c>
      <c r="OFA1" s="15" t="s">
        <v>10542</v>
      </c>
      <c r="OFB1" s="15" t="s">
        <v>10543</v>
      </c>
      <c r="OFC1" s="15" t="s">
        <v>10544</v>
      </c>
      <c r="OFD1" s="15" t="s">
        <v>10545</v>
      </c>
      <c r="OFE1" s="15" t="s">
        <v>10546</v>
      </c>
      <c r="OFF1" s="15" t="s">
        <v>10547</v>
      </c>
      <c r="OFG1" s="15" t="s">
        <v>10548</v>
      </c>
      <c r="OFH1" s="15" t="s">
        <v>10549</v>
      </c>
      <c r="OFI1" s="15" t="s">
        <v>10550</v>
      </c>
      <c r="OFJ1" s="15" t="s">
        <v>10551</v>
      </c>
      <c r="OFK1" s="15" t="s">
        <v>10552</v>
      </c>
      <c r="OFL1" s="15" t="s">
        <v>10553</v>
      </c>
      <c r="OFM1" s="15" t="s">
        <v>10554</v>
      </c>
      <c r="OFN1" s="15" t="s">
        <v>10555</v>
      </c>
      <c r="OFO1" s="15" t="s">
        <v>10556</v>
      </c>
      <c r="OFP1" s="15" t="s">
        <v>10557</v>
      </c>
      <c r="OFQ1" s="15" t="s">
        <v>10558</v>
      </c>
      <c r="OFR1" s="15" t="s">
        <v>10559</v>
      </c>
      <c r="OFS1" s="15" t="s">
        <v>10560</v>
      </c>
      <c r="OFT1" s="15" t="s">
        <v>10561</v>
      </c>
      <c r="OFU1" s="15" t="s">
        <v>10562</v>
      </c>
      <c r="OFV1" s="15" t="s">
        <v>10563</v>
      </c>
      <c r="OFW1" s="15" t="s">
        <v>10564</v>
      </c>
      <c r="OFX1" s="15" t="s">
        <v>10565</v>
      </c>
      <c r="OFY1" s="15" t="s">
        <v>10566</v>
      </c>
      <c r="OFZ1" s="15" t="s">
        <v>10567</v>
      </c>
      <c r="OGA1" s="15" t="s">
        <v>10568</v>
      </c>
      <c r="OGB1" s="15" t="s">
        <v>10569</v>
      </c>
      <c r="OGC1" s="15" t="s">
        <v>10570</v>
      </c>
      <c r="OGD1" s="15" t="s">
        <v>10571</v>
      </c>
      <c r="OGE1" s="15" t="s">
        <v>10572</v>
      </c>
      <c r="OGF1" s="15" t="s">
        <v>10573</v>
      </c>
      <c r="OGG1" s="15" t="s">
        <v>10574</v>
      </c>
      <c r="OGH1" s="15" t="s">
        <v>10575</v>
      </c>
      <c r="OGI1" s="15" t="s">
        <v>10576</v>
      </c>
      <c r="OGJ1" s="15" t="s">
        <v>10577</v>
      </c>
      <c r="OGK1" s="15" t="s">
        <v>10578</v>
      </c>
      <c r="OGL1" s="15" t="s">
        <v>10579</v>
      </c>
      <c r="OGM1" s="15" t="s">
        <v>10580</v>
      </c>
      <c r="OGN1" s="15" t="s">
        <v>10581</v>
      </c>
      <c r="OGO1" s="15" t="s">
        <v>10582</v>
      </c>
      <c r="OGP1" s="15" t="s">
        <v>10583</v>
      </c>
      <c r="OGQ1" s="15" t="s">
        <v>10584</v>
      </c>
      <c r="OGR1" s="15" t="s">
        <v>10585</v>
      </c>
      <c r="OGS1" s="15" t="s">
        <v>10586</v>
      </c>
      <c r="OGT1" s="15" t="s">
        <v>10587</v>
      </c>
      <c r="OGU1" s="15" t="s">
        <v>10588</v>
      </c>
      <c r="OGV1" s="15" t="s">
        <v>10589</v>
      </c>
      <c r="OGW1" s="15" t="s">
        <v>10590</v>
      </c>
      <c r="OGX1" s="15" t="s">
        <v>10591</v>
      </c>
      <c r="OGY1" s="15" t="s">
        <v>10592</v>
      </c>
      <c r="OGZ1" s="15" t="s">
        <v>10593</v>
      </c>
      <c r="OHA1" s="15" t="s">
        <v>10594</v>
      </c>
      <c r="OHB1" s="15" t="s">
        <v>10595</v>
      </c>
      <c r="OHC1" s="15" t="s">
        <v>10596</v>
      </c>
      <c r="OHD1" s="15" t="s">
        <v>10597</v>
      </c>
      <c r="OHE1" s="15" t="s">
        <v>10598</v>
      </c>
      <c r="OHF1" s="15" t="s">
        <v>10599</v>
      </c>
      <c r="OHG1" s="15" t="s">
        <v>10600</v>
      </c>
      <c r="OHH1" s="15" t="s">
        <v>10601</v>
      </c>
      <c r="OHI1" s="15" t="s">
        <v>10602</v>
      </c>
      <c r="OHJ1" s="15" t="s">
        <v>10603</v>
      </c>
      <c r="OHK1" s="15" t="s">
        <v>10604</v>
      </c>
      <c r="OHL1" s="15" t="s">
        <v>10605</v>
      </c>
      <c r="OHM1" s="15" t="s">
        <v>10606</v>
      </c>
      <c r="OHN1" s="15" t="s">
        <v>10607</v>
      </c>
      <c r="OHO1" s="15" t="s">
        <v>10608</v>
      </c>
      <c r="OHP1" s="15" t="s">
        <v>10609</v>
      </c>
      <c r="OHQ1" s="15" t="s">
        <v>10610</v>
      </c>
      <c r="OHR1" s="15" t="s">
        <v>10611</v>
      </c>
      <c r="OHS1" s="15" t="s">
        <v>10612</v>
      </c>
      <c r="OHT1" s="15" t="s">
        <v>10613</v>
      </c>
      <c r="OHU1" s="15" t="s">
        <v>10614</v>
      </c>
      <c r="OHV1" s="15" t="s">
        <v>10615</v>
      </c>
      <c r="OHW1" s="15" t="s">
        <v>10616</v>
      </c>
      <c r="OHX1" s="15" t="s">
        <v>10617</v>
      </c>
      <c r="OHY1" s="15" t="s">
        <v>10618</v>
      </c>
      <c r="OHZ1" s="15" t="s">
        <v>10619</v>
      </c>
      <c r="OIA1" s="15" t="s">
        <v>10620</v>
      </c>
      <c r="OIB1" s="15" t="s">
        <v>10621</v>
      </c>
      <c r="OIC1" s="15" t="s">
        <v>10622</v>
      </c>
      <c r="OID1" s="15" t="s">
        <v>10623</v>
      </c>
      <c r="OIE1" s="15" t="s">
        <v>10624</v>
      </c>
      <c r="OIF1" s="15" t="s">
        <v>10625</v>
      </c>
      <c r="OIG1" s="15" t="s">
        <v>10626</v>
      </c>
      <c r="OIH1" s="15" t="s">
        <v>10627</v>
      </c>
      <c r="OII1" s="15" t="s">
        <v>10628</v>
      </c>
      <c r="OIJ1" s="15" t="s">
        <v>10629</v>
      </c>
      <c r="OIK1" s="15" t="s">
        <v>10630</v>
      </c>
      <c r="OIL1" s="15" t="s">
        <v>10631</v>
      </c>
      <c r="OIM1" s="15" t="s">
        <v>10632</v>
      </c>
      <c r="OIN1" s="15" t="s">
        <v>10633</v>
      </c>
      <c r="OIO1" s="15" t="s">
        <v>10634</v>
      </c>
      <c r="OIP1" s="15" t="s">
        <v>10635</v>
      </c>
      <c r="OIQ1" s="15" t="s">
        <v>10636</v>
      </c>
      <c r="OIR1" s="15" t="s">
        <v>10637</v>
      </c>
      <c r="OIS1" s="15" t="s">
        <v>10638</v>
      </c>
      <c r="OIT1" s="15" t="s">
        <v>10639</v>
      </c>
      <c r="OIU1" s="15" t="s">
        <v>10640</v>
      </c>
      <c r="OIV1" s="15" t="s">
        <v>10641</v>
      </c>
      <c r="OIW1" s="15" t="s">
        <v>10642</v>
      </c>
      <c r="OIX1" s="15" t="s">
        <v>10643</v>
      </c>
      <c r="OIY1" s="15" t="s">
        <v>10644</v>
      </c>
      <c r="OIZ1" s="15" t="s">
        <v>10645</v>
      </c>
      <c r="OJA1" s="15" t="s">
        <v>10646</v>
      </c>
      <c r="OJB1" s="15" t="s">
        <v>10647</v>
      </c>
      <c r="OJC1" s="15" t="s">
        <v>10648</v>
      </c>
      <c r="OJD1" s="15" t="s">
        <v>10649</v>
      </c>
      <c r="OJE1" s="15" t="s">
        <v>10650</v>
      </c>
      <c r="OJF1" s="15" t="s">
        <v>10651</v>
      </c>
      <c r="OJG1" s="15" t="s">
        <v>10652</v>
      </c>
      <c r="OJH1" s="15" t="s">
        <v>10653</v>
      </c>
      <c r="OJI1" s="15" t="s">
        <v>10654</v>
      </c>
      <c r="OJJ1" s="15" t="s">
        <v>10655</v>
      </c>
      <c r="OJK1" s="15" t="s">
        <v>10656</v>
      </c>
      <c r="OJL1" s="15" t="s">
        <v>10657</v>
      </c>
      <c r="OJM1" s="15" t="s">
        <v>10658</v>
      </c>
      <c r="OJN1" s="15" t="s">
        <v>10659</v>
      </c>
      <c r="OJO1" s="15" t="s">
        <v>10660</v>
      </c>
      <c r="OJP1" s="15" t="s">
        <v>10661</v>
      </c>
      <c r="OJQ1" s="15" t="s">
        <v>10662</v>
      </c>
      <c r="OJR1" s="15" t="s">
        <v>10663</v>
      </c>
      <c r="OJS1" s="15" t="s">
        <v>10664</v>
      </c>
      <c r="OJT1" s="15" t="s">
        <v>10665</v>
      </c>
      <c r="OJU1" s="15" t="s">
        <v>10666</v>
      </c>
      <c r="OJV1" s="15" t="s">
        <v>10667</v>
      </c>
      <c r="OJW1" s="15" t="s">
        <v>10668</v>
      </c>
      <c r="OJX1" s="15" t="s">
        <v>10669</v>
      </c>
      <c r="OJY1" s="15" t="s">
        <v>10670</v>
      </c>
      <c r="OJZ1" s="15" t="s">
        <v>10671</v>
      </c>
      <c r="OKA1" s="15" t="s">
        <v>10672</v>
      </c>
      <c r="OKB1" s="15" t="s">
        <v>10673</v>
      </c>
      <c r="OKC1" s="15" t="s">
        <v>10674</v>
      </c>
      <c r="OKD1" s="15" t="s">
        <v>10675</v>
      </c>
      <c r="OKE1" s="15" t="s">
        <v>10676</v>
      </c>
      <c r="OKF1" s="15" t="s">
        <v>10677</v>
      </c>
      <c r="OKG1" s="15" t="s">
        <v>10678</v>
      </c>
      <c r="OKH1" s="15" t="s">
        <v>10679</v>
      </c>
      <c r="OKI1" s="15" t="s">
        <v>10680</v>
      </c>
      <c r="OKJ1" s="15" t="s">
        <v>10681</v>
      </c>
      <c r="OKK1" s="15" t="s">
        <v>10682</v>
      </c>
      <c r="OKL1" s="15" t="s">
        <v>10683</v>
      </c>
      <c r="OKM1" s="15" t="s">
        <v>10684</v>
      </c>
      <c r="OKN1" s="15" t="s">
        <v>10685</v>
      </c>
      <c r="OKO1" s="15" t="s">
        <v>10686</v>
      </c>
      <c r="OKP1" s="15" t="s">
        <v>10687</v>
      </c>
      <c r="OKQ1" s="15" t="s">
        <v>10688</v>
      </c>
      <c r="OKR1" s="15" t="s">
        <v>10689</v>
      </c>
      <c r="OKS1" s="15" t="s">
        <v>10690</v>
      </c>
      <c r="OKT1" s="15" t="s">
        <v>10691</v>
      </c>
      <c r="OKU1" s="15" t="s">
        <v>10692</v>
      </c>
      <c r="OKV1" s="15" t="s">
        <v>10693</v>
      </c>
      <c r="OKW1" s="15" t="s">
        <v>10694</v>
      </c>
      <c r="OKX1" s="15" t="s">
        <v>10695</v>
      </c>
      <c r="OKY1" s="15" t="s">
        <v>10696</v>
      </c>
      <c r="OKZ1" s="15" t="s">
        <v>10697</v>
      </c>
      <c r="OLA1" s="15" t="s">
        <v>10698</v>
      </c>
      <c r="OLB1" s="15" t="s">
        <v>10699</v>
      </c>
      <c r="OLC1" s="15" t="s">
        <v>10700</v>
      </c>
      <c r="OLD1" s="15" t="s">
        <v>10701</v>
      </c>
      <c r="OLE1" s="15" t="s">
        <v>10702</v>
      </c>
      <c r="OLF1" s="15" t="s">
        <v>10703</v>
      </c>
      <c r="OLG1" s="15" t="s">
        <v>10704</v>
      </c>
      <c r="OLH1" s="15" t="s">
        <v>10705</v>
      </c>
      <c r="OLI1" s="15" t="s">
        <v>10706</v>
      </c>
      <c r="OLJ1" s="15" t="s">
        <v>10707</v>
      </c>
      <c r="OLK1" s="15" t="s">
        <v>10708</v>
      </c>
      <c r="OLL1" s="15" t="s">
        <v>10709</v>
      </c>
      <c r="OLM1" s="15" t="s">
        <v>10710</v>
      </c>
      <c r="OLN1" s="15" t="s">
        <v>10711</v>
      </c>
      <c r="OLO1" s="15" t="s">
        <v>10712</v>
      </c>
      <c r="OLP1" s="15" t="s">
        <v>10713</v>
      </c>
      <c r="OLQ1" s="15" t="s">
        <v>10714</v>
      </c>
      <c r="OLR1" s="15" t="s">
        <v>10715</v>
      </c>
      <c r="OLS1" s="15" t="s">
        <v>10716</v>
      </c>
      <c r="OLT1" s="15" t="s">
        <v>10717</v>
      </c>
      <c r="OLU1" s="15" t="s">
        <v>10718</v>
      </c>
      <c r="OLV1" s="15" t="s">
        <v>10719</v>
      </c>
      <c r="OLW1" s="15" t="s">
        <v>10720</v>
      </c>
      <c r="OLX1" s="15" t="s">
        <v>10721</v>
      </c>
      <c r="OLY1" s="15" t="s">
        <v>10722</v>
      </c>
      <c r="OLZ1" s="15" t="s">
        <v>10723</v>
      </c>
      <c r="OMA1" s="15" t="s">
        <v>10724</v>
      </c>
      <c r="OMB1" s="15" t="s">
        <v>10725</v>
      </c>
      <c r="OMC1" s="15" t="s">
        <v>10726</v>
      </c>
      <c r="OMD1" s="15" t="s">
        <v>10727</v>
      </c>
      <c r="OME1" s="15" t="s">
        <v>10728</v>
      </c>
      <c r="OMF1" s="15" t="s">
        <v>10729</v>
      </c>
      <c r="OMG1" s="15" t="s">
        <v>10730</v>
      </c>
      <c r="OMH1" s="15" t="s">
        <v>10731</v>
      </c>
      <c r="OMI1" s="15" t="s">
        <v>10732</v>
      </c>
      <c r="OMJ1" s="15" t="s">
        <v>10733</v>
      </c>
      <c r="OMK1" s="15" t="s">
        <v>10734</v>
      </c>
      <c r="OML1" s="15" t="s">
        <v>10735</v>
      </c>
      <c r="OMM1" s="15" t="s">
        <v>10736</v>
      </c>
      <c r="OMN1" s="15" t="s">
        <v>10737</v>
      </c>
      <c r="OMO1" s="15" t="s">
        <v>10738</v>
      </c>
      <c r="OMP1" s="15" t="s">
        <v>10739</v>
      </c>
      <c r="OMQ1" s="15" t="s">
        <v>10740</v>
      </c>
      <c r="OMR1" s="15" t="s">
        <v>10741</v>
      </c>
      <c r="OMS1" s="15" t="s">
        <v>10742</v>
      </c>
      <c r="OMT1" s="15" t="s">
        <v>10743</v>
      </c>
      <c r="OMU1" s="15" t="s">
        <v>10744</v>
      </c>
      <c r="OMV1" s="15" t="s">
        <v>10745</v>
      </c>
      <c r="OMW1" s="15" t="s">
        <v>10746</v>
      </c>
      <c r="OMX1" s="15" t="s">
        <v>10747</v>
      </c>
      <c r="OMY1" s="15" t="s">
        <v>10748</v>
      </c>
      <c r="OMZ1" s="15" t="s">
        <v>10749</v>
      </c>
      <c r="ONA1" s="15" t="s">
        <v>10750</v>
      </c>
      <c r="ONB1" s="15" t="s">
        <v>10751</v>
      </c>
      <c r="ONC1" s="15" t="s">
        <v>10752</v>
      </c>
      <c r="OND1" s="15" t="s">
        <v>10753</v>
      </c>
      <c r="ONE1" s="15" t="s">
        <v>10754</v>
      </c>
      <c r="ONF1" s="15" t="s">
        <v>10755</v>
      </c>
      <c r="ONG1" s="15" t="s">
        <v>10756</v>
      </c>
      <c r="ONH1" s="15" t="s">
        <v>10757</v>
      </c>
      <c r="ONI1" s="15" t="s">
        <v>10758</v>
      </c>
      <c r="ONJ1" s="15" t="s">
        <v>10759</v>
      </c>
      <c r="ONK1" s="15" t="s">
        <v>10760</v>
      </c>
      <c r="ONL1" s="15" t="s">
        <v>10761</v>
      </c>
      <c r="ONM1" s="15" t="s">
        <v>10762</v>
      </c>
      <c r="ONN1" s="15" t="s">
        <v>10763</v>
      </c>
      <c r="ONO1" s="15" t="s">
        <v>10764</v>
      </c>
      <c r="ONP1" s="15" t="s">
        <v>10765</v>
      </c>
      <c r="ONQ1" s="15" t="s">
        <v>10766</v>
      </c>
      <c r="ONR1" s="15" t="s">
        <v>10767</v>
      </c>
      <c r="ONS1" s="15" t="s">
        <v>10768</v>
      </c>
      <c r="ONT1" s="15" t="s">
        <v>10769</v>
      </c>
      <c r="ONU1" s="15" t="s">
        <v>10770</v>
      </c>
      <c r="ONV1" s="15" t="s">
        <v>10771</v>
      </c>
      <c r="ONW1" s="15" t="s">
        <v>10772</v>
      </c>
      <c r="ONX1" s="15" t="s">
        <v>10773</v>
      </c>
      <c r="ONY1" s="15" t="s">
        <v>10774</v>
      </c>
      <c r="ONZ1" s="15" t="s">
        <v>10775</v>
      </c>
      <c r="OOA1" s="15" t="s">
        <v>10776</v>
      </c>
      <c r="OOB1" s="15" t="s">
        <v>10777</v>
      </c>
      <c r="OOC1" s="15" t="s">
        <v>10778</v>
      </c>
      <c r="OOD1" s="15" t="s">
        <v>10779</v>
      </c>
      <c r="OOE1" s="15" t="s">
        <v>10780</v>
      </c>
      <c r="OOF1" s="15" t="s">
        <v>10781</v>
      </c>
      <c r="OOG1" s="15" t="s">
        <v>10782</v>
      </c>
      <c r="OOH1" s="15" t="s">
        <v>10783</v>
      </c>
      <c r="OOI1" s="15" t="s">
        <v>10784</v>
      </c>
      <c r="OOJ1" s="15" t="s">
        <v>10785</v>
      </c>
      <c r="OOK1" s="15" t="s">
        <v>10786</v>
      </c>
      <c r="OOL1" s="15" t="s">
        <v>10787</v>
      </c>
      <c r="OOM1" s="15" t="s">
        <v>10788</v>
      </c>
      <c r="OON1" s="15" t="s">
        <v>10789</v>
      </c>
      <c r="OOO1" s="15" t="s">
        <v>10790</v>
      </c>
      <c r="OOP1" s="15" t="s">
        <v>10791</v>
      </c>
      <c r="OOQ1" s="15" t="s">
        <v>10792</v>
      </c>
      <c r="OOR1" s="15" t="s">
        <v>10793</v>
      </c>
      <c r="OOS1" s="15" t="s">
        <v>10794</v>
      </c>
      <c r="OOT1" s="15" t="s">
        <v>10795</v>
      </c>
      <c r="OOU1" s="15" t="s">
        <v>10796</v>
      </c>
      <c r="OOV1" s="15" t="s">
        <v>10797</v>
      </c>
      <c r="OOW1" s="15" t="s">
        <v>10798</v>
      </c>
      <c r="OOX1" s="15" t="s">
        <v>10799</v>
      </c>
      <c r="OOY1" s="15" t="s">
        <v>10800</v>
      </c>
      <c r="OOZ1" s="15" t="s">
        <v>10801</v>
      </c>
      <c r="OPA1" s="15" t="s">
        <v>10802</v>
      </c>
      <c r="OPB1" s="15" t="s">
        <v>10803</v>
      </c>
      <c r="OPC1" s="15" t="s">
        <v>10804</v>
      </c>
      <c r="OPD1" s="15" t="s">
        <v>10805</v>
      </c>
      <c r="OPE1" s="15" t="s">
        <v>10806</v>
      </c>
      <c r="OPF1" s="15" t="s">
        <v>10807</v>
      </c>
      <c r="OPG1" s="15" t="s">
        <v>10808</v>
      </c>
      <c r="OPH1" s="15" t="s">
        <v>10809</v>
      </c>
      <c r="OPI1" s="15" t="s">
        <v>10810</v>
      </c>
      <c r="OPJ1" s="15" t="s">
        <v>10811</v>
      </c>
      <c r="OPK1" s="15" t="s">
        <v>10812</v>
      </c>
      <c r="OPL1" s="15" t="s">
        <v>10813</v>
      </c>
      <c r="OPM1" s="15" t="s">
        <v>10814</v>
      </c>
      <c r="OPN1" s="15" t="s">
        <v>10815</v>
      </c>
      <c r="OPO1" s="15" t="s">
        <v>10816</v>
      </c>
      <c r="OPP1" s="15" t="s">
        <v>10817</v>
      </c>
      <c r="OPQ1" s="15" t="s">
        <v>10818</v>
      </c>
      <c r="OPR1" s="15" t="s">
        <v>10819</v>
      </c>
      <c r="OPS1" s="15" t="s">
        <v>10820</v>
      </c>
      <c r="OPT1" s="15" t="s">
        <v>10821</v>
      </c>
      <c r="OPU1" s="15" t="s">
        <v>10822</v>
      </c>
      <c r="OPV1" s="15" t="s">
        <v>10823</v>
      </c>
      <c r="OPW1" s="15" t="s">
        <v>10824</v>
      </c>
      <c r="OPX1" s="15" t="s">
        <v>10825</v>
      </c>
      <c r="OPY1" s="15" t="s">
        <v>10826</v>
      </c>
      <c r="OPZ1" s="15" t="s">
        <v>10827</v>
      </c>
      <c r="OQA1" s="15" t="s">
        <v>10828</v>
      </c>
      <c r="OQB1" s="15" t="s">
        <v>10829</v>
      </c>
      <c r="OQC1" s="15" t="s">
        <v>10830</v>
      </c>
      <c r="OQD1" s="15" t="s">
        <v>10831</v>
      </c>
      <c r="OQE1" s="15" t="s">
        <v>10832</v>
      </c>
      <c r="OQF1" s="15" t="s">
        <v>10833</v>
      </c>
      <c r="OQG1" s="15" t="s">
        <v>10834</v>
      </c>
      <c r="OQH1" s="15" t="s">
        <v>10835</v>
      </c>
      <c r="OQI1" s="15" t="s">
        <v>10836</v>
      </c>
      <c r="OQJ1" s="15" t="s">
        <v>10837</v>
      </c>
      <c r="OQK1" s="15" t="s">
        <v>10838</v>
      </c>
      <c r="OQL1" s="15" t="s">
        <v>10839</v>
      </c>
      <c r="OQM1" s="15" t="s">
        <v>10840</v>
      </c>
      <c r="OQN1" s="15" t="s">
        <v>10841</v>
      </c>
      <c r="OQO1" s="15" t="s">
        <v>10842</v>
      </c>
      <c r="OQP1" s="15" t="s">
        <v>10843</v>
      </c>
      <c r="OQQ1" s="15" t="s">
        <v>10844</v>
      </c>
      <c r="OQR1" s="15" t="s">
        <v>10845</v>
      </c>
      <c r="OQS1" s="15" t="s">
        <v>10846</v>
      </c>
      <c r="OQT1" s="15" t="s">
        <v>10847</v>
      </c>
      <c r="OQU1" s="15" t="s">
        <v>10848</v>
      </c>
      <c r="OQV1" s="15" t="s">
        <v>10849</v>
      </c>
      <c r="OQW1" s="15" t="s">
        <v>10850</v>
      </c>
      <c r="OQX1" s="15" t="s">
        <v>10851</v>
      </c>
      <c r="OQY1" s="15" t="s">
        <v>10852</v>
      </c>
      <c r="OQZ1" s="15" t="s">
        <v>10853</v>
      </c>
      <c r="ORA1" s="15" t="s">
        <v>10854</v>
      </c>
      <c r="ORB1" s="15" t="s">
        <v>10855</v>
      </c>
      <c r="ORC1" s="15" t="s">
        <v>10856</v>
      </c>
      <c r="ORD1" s="15" t="s">
        <v>10857</v>
      </c>
      <c r="ORE1" s="15" t="s">
        <v>10858</v>
      </c>
      <c r="ORF1" s="15" t="s">
        <v>10859</v>
      </c>
      <c r="ORG1" s="15" t="s">
        <v>10860</v>
      </c>
      <c r="ORH1" s="15" t="s">
        <v>10861</v>
      </c>
      <c r="ORI1" s="15" t="s">
        <v>10862</v>
      </c>
      <c r="ORJ1" s="15" t="s">
        <v>10863</v>
      </c>
      <c r="ORK1" s="15" t="s">
        <v>10864</v>
      </c>
      <c r="ORL1" s="15" t="s">
        <v>10865</v>
      </c>
      <c r="ORM1" s="15" t="s">
        <v>10866</v>
      </c>
      <c r="ORN1" s="15" t="s">
        <v>10867</v>
      </c>
      <c r="ORO1" s="15" t="s">
        <v>10868</v>
      </c>
      <c r="ORP1" s="15" t="s">
        <v>10869</v>
      </c>
      <c r="ORQ1" s="15" t="s">
        <v>10870</v>
      </c>
      <c r="ORR1" s="15" t="s">
        <v>10871</v>
      </c>
      <c r="ORS1" s="15" t="s">
        <v>10872</v>
      </c>
      <c r="ORT1" s="15" t="s">
        <v>10873</v>
      </c>
      <c r="ORU1" s="15" t="s">
        <v>10874</v>
      </c>
      <c r="ORV1" s="15" t="s">
        <v>10875</v>
      </c>
      <c r="ORW1" s="15" t="s">
        <v>10876</v>
      </c>
      <c r="ORX1" s="15" t="s">
        <v>10877</v>
      </c>
      <c r="ORY1" s="15" t="s">
        <v>10878</v>
      </c>
      <c r="ORZ1" s="15" t="s">
        <v>10879</v>
      </c>
      <c r="OSA1" s="15" t="s">
        <v>10880</v>
      </c>
      <c r="OSB1" s="15" t="s">
        <v>10881</v>
      </c>
      <c r="OSC1" s="15" t="s">
        <v>10882</v>
      </c>
      <c r="OSD1" s="15" t="s">
        <v>10883</v>
      </c>
      <c r="OSE1" s="15" t="s">
        <v>10884</v>
      </c>
      <c r="OSF1" s="15" t="s">
        <v>10885</v>
      </c>
      <c r="OSG1" s="15" t="s">
        <v>10886</v>
      </c>
      <c r="OSH1" s="15" t="s">
        <v>10887</v>
      </c>
      <c r="OSI1" s="15" t="s">
        <v>10888</v>
      </c>
      <c r="OSJ1" s="15" t="s">
        <v>10889</v>
      </c>
      <c r="OSK1" s="15" t="s">
        <v>10890</v>
      </c>
      <c r="OSL1" s="15" t="s">
        <v>10891</v>
      </c>
      <c r="OSM1" s="15" t="s">
        <v>10892</v>
      </c>
      <c r="OSN1" s="15" t="s">
        <v>10893</v>
      </c>
      <c r="OSO1" s="15" t="s">
        <v>10894</v>
      </c>
      <c r="OSP1" s="15" t="s">
        <v>10895</v>
      </c>
      <c r="OSQ1" s="15" t="s">
        <v>10896</v>
      </c>
      <c r="OSR1" s="15" t="s">
        <v>10897</v>
      </c>
      <c r="OSS1" s="15" t="s">
        <v>10898</v>
      </c>
      <c r="OST1" s="15" t="s">
        <v>10899</v>
      </c>
      <c r="OSU1" s="15" t="s">
        <v>10900</v>
      </c>
      <c r="OSV1" s="15" t="s">
        <v>10901</v>
      </c>
      <c r="OSW1" s="15" t="s">
        <v>10902</v>
      </c>
      <c r="OSX1" s="15" t="s">
        <v>10903</v>
      </c>
      <c r="OSY1" s="15" t="s">
        <v>10904</v>
      </c>
      <c r="OSZ1" s="15" t="s">
        <v>10905</v>
      </c>
      <c r="OTA1" s="15" t="s">
        <v>10906</v>
      </c>
      <c r="OTB1" s="15" t="s">
        <v>10907</v>
      </c>
      <c r="OTC1" s="15" t="s">
        <v>10908</v>
      </c>
      <c r="OTD1" s="15" t="s">
        <v>10909</v>
      </c>
      <c r="OTE1" s="15" t="s">
        <v>10910</v>
      </c>
      <c r="OTF1" s="15" t="s">
        <v>10911</v>
      </c>
      <c r="OTG1" s="15" t="s">
        <v>10912</v>
      </c>
      <c r="OTH1" s="15" t="s">
        <v>10913</v>
      </c>
      <c r="OTI1" s="15" t="s">
        <v>10914</v>
      </c>
      <c r="OTJ1" s="15" t="s">
        <v>10915</v>
      </c>
      <c r="OTK1" s="15" t="s">
        <v>10916</v>
      </c>
      <c r="OTL1" s="15" t="s">
        <v>10917</v>
      </c>
      <c r="OTM1" s="15" t="s">
        <v>10918</v>
      </c>
      <c r="OTN1" s="15" t="s">
        <v>10919</v>
      </c>
      <c r="OTO1" s="15" t="s">
        <v>10920</v>
      </c>
      <c r="OTP1" s="15" t="s">
        <v>10921</v>
      </c>
      <c r="OTQ1" s="15" t="s">
        <v>10922</v>
      </c>
      <c r="OTR1" s="15" t="s">
        <v>10923</v>
      </c>
      <c r="OTS1" s="15" t="s">
        <v>10924</v>
      </c>
      <c r="OTT1" s="15" t="s">
        <v>10925</v>
      </c>
      <c r="OTU1" s="15" t="s">
        <v>10926</v>
      </c>
      <c r="OTV1" s="15" t="s">
        <v>10927</v>
      </c>
      <c r="OTW1" s="15" t="s">
        <v>10928</v>
      </c>
      <c r="OTX1" s="15" t="s">
        <v>10929</v>
      </c>
      <c r="OTY1" s="15" t="s">
        <v>10930</v>
      </c>
      <c r="OTZ1" s="15" t="s">
        <v>10931</v>
      </c>
      <c r="OUA1" s="15" t="s">
        <v>10932</v>
      </c>
      <c r="OUB1" s="15" t="s">
        <v>10933</v>
      </c>
      <c r="OUC1" s="15" t="s">
        <v>10934</v>
      </c>
      <c r="OUD1" s="15" t="s">
        <v>10935</v>
      </c>
      <c r="OUE1" s="15" t="s">
        <v>10936</v>
      </c>
      <c r="OUF1" s="15" t="s">
        <v>10937</v>
      </c>
      <c r="OUG1" s="15" t="s">
        <v>10938</v>
      </c>
      <c r="OUH1" s="15" t="s">
        <v>10939</v>
      </c>
      <c r="OUI1" s="15" t="s">
        <v>10940</v>
      </c>
      <c r="OUJ1" s="15" t="s">
        <v>10941</v>
      </c>
      <c r="OUK1" s="15" t="s">
        <v>10942</v>
      </c>
      <c r="OUL1" s="15" t="s">
        <v>10943</v>
      </c>
      <c r="OUM1" s="15" t="s">
        <v>10944</v>
      </c>
      <c r="OUN1" s="15" t="s">
        <v>10945</v>
      </c>
      <c r="OUO1" s="15" t="s">
        <v>10946</v>
      </c>
      <c r="OUP1" s="15" t="s">
        <v>10947</v>
      </c>
      <c r="OUQ1" s="15" t="s">
        <v>10948</v>
      </c>
      <c r="OUR1" s="15" t="s">
        <v>10949</v>
      </c>
      <c r="OUS1" s="15" t="s">
        <v>10950</v>
      </c>
      <c r="OUT1" s="15" t="s">
        <v>10951</v>
      </c>
      <c r="OUU1" s="15" t="s">
        <v>10952</v>
      </c>
      <c r="OUV1" s="15" t="s">
        <v>10953</v>
      </c>
      <c r="OUW1" s="15" t="s">
        <v>10954</v>
      </c>
      <c r="OUX1" s="15" t="s">
        <v>10955</v>
      </c>
      <c r="OUY1" s="15" t="s">
        <v>10956</v>
      </c>
      <c r="OUZ1" s="15" t="s">
        <v>10957</v>
      </c>
      <c r="OVA1" s="15" t="s">
        <v>10958</v>
      </c>
      <c r="OVB1" s="15" t="s">
        <v>10959</v>
      </c>
      <c r="OVC1" s="15" t="s">
        <v>10960</v>
      </c>
      <c r="OVD1" s="15" t="s">
        <v>10961</v>
      </c>
      <c r="OVE1" s="15" t="s">
        <v>10962</v>
      </c>
      <c r="OVF1" s="15" t="s">
        <v>10963</v>
      </c>
      <c r="OVG1" s="15" t="s">
        <v>10964</v>
      </c>
      <c r="OVH1" s="15" t="s">
        <v>10965</v>
      </c>
      <c r="OVI1" s="15" t="s">
        <v>10966</v>
      </c>
      <c r="OVJ1" s="15" t="s">
        <v>10967</v>
      </c>
      <c r="OVK1" s="15" t="s">
        <v>10968</v>
      </c>
      <c r="OVL1" s="15" t="s">
        <v>10969</v>
      </c>
      <c r="OVM1" s="15" t="s">
        <v>10970</v>
      </c>
      <c r="OVN1" s="15" t="s">
        <v>10971</v>
      </c>
      <c r="OVO1" s="15" t="s">
        <v>10972</v>
      </c>
      <c r="OVP1" s="15" t="s">
        <v>10973</v>
      </c>
      <c r="OVQ1" s="15" t="s">
        <v>10974</v>
      </c>
      <c r="OVR1" s="15" t="s">
        <v>10975</v>
      </c>
      <c r="OVS1" s="15" t="s">
        <v>10976</v>
      </c>
      <c r="OVT1" s="15" t="s">
        <v>10977</v>
      </c>
      <c r="OVU1" s="15" t="s">
        <v>10978</v>
      </c>
      <c r="OVV1" s="15" t="s">
        <v>10979</v>
      </c>
      <c r="OVW1" s="15" t="s">
        <v>10980</v>
      </c>
      <c r="OVX1" s="15" t="s">
        <v>10981</v>
      </c>
      <c r="OVY1" s="15" t="s">
        <v>10982</v>
      </c>
      <c r="OVZ1" s="15" t="s">
        <v>10983</v>
      </c>
      <c r="OWA1" s="15" t="s">
        <v>10984</v>
      </c>
      <c r="OWB1" s="15" t="s">
        <v>10985</v>
      </c>
      <c r="OWC1" s="15" t="s">
        <v>10986</v>
      </c>
      <c r="OWD1" s="15" t="s">
        <v>10987</v>
      </c>
      <c r="OWE1" s="15" t="s">
        <v>10988</v>
      </c>
      <c r="OWF1" s="15" t="s">
        <v>10989</v>
      </c>
      <c r="OWG1" s="15" t="s">
        <v>10990</v>
      </c>
      <c r="OWH1" s="15" t="s">
        <v>10991</v>
      </c>
      <c r="OWI1" s="15" t="s">
        <v>10992</v>
      </c>
      <c r="OWJ1" s="15" t="s">
        <v>10993</v>
      </c>
      <c r="OWK1" s="15" t="s">
        <v>10994</v>
      </c>
      <c r="OWL1" s="15" t="s">
        <v>10995</v>
      </c>
      <c r="OWM1" s="15" t="s">
        <v>10996</v>
      </c>
      <c r="OWN1" s="15" t="s">
        <v>10997</v>
      </c>
      <c r="OWO1" s="15" t="s">
        <v>10998</v>
      </c>
      <c r="OWP1" s="15" t="s">
        <v>10999</v>
      </c>
      <c r="OWQ1" s="15" t="s">
        <v>11000</v>
      </c>
      <c r="OWR1" s="15" t="s">
        <v>11001</v>
      </c>
      <c r="OWS1" s="15" t="s">
        <v>11002</v>
      </c>
      <c r="OWT1" s="15" t="s">
        <v>11003</v>
      </c>
      <c r="OWU1" s="15" t="s">
        <v>11004</v>
      </c>
      <c r="OWV1" s="15" t="s">
        <v>11005</v>
      </c>
      <c r="OWW1" s="15" t="s">
        <v>11006</v>
      </c>
      <c r="OWX1" s="15" t="s">
        <v>11007</v>
      </c>
      <c r="OWY1" s="15" t="s">
        <v>11008</v>
      </c>
      <c r="OWZ1" s="15" t="s">
        <v>11009</v>
      </c>
      <c r="OXA1" s="15" t="s">
        <v>11010</v>
      </c>
      <c r="OXB1" s="15" t="s">
        <v>11011</v>
      </c>
      <c r="OXC1" s="15" t="s">
        <v>11012</v>
      </c>
      <c r="OXD1" s="15" t="s">
        <v>11013</v>
      </c>
      <c r="OXE1" s="15" t="s">
        <v>11014</v>
      </c>
      <c r="OXF1" s="15" t="s">
        <v>11015</v>
      </c>
      <c r="OXG1" s="15" t="s">
        <v>11016</v>
      </c>
      <c r="OXH1" s="15" t="s">
        <v>11017</v>
      </c>
      <c r="OXI1" s="15" t="s">
        <v>11018</v>
      </c>
      <c r="OXJ1" s="15" t="s">
        <v>11019</v>
      </c>
      <c r="OXK1" s="15" t="s">
        <v>11020</v>
      </c>
      <c r="OXL1" s="15" t="s">
        <v>11021</v>
      </c>
      <c r="OXM1" s="15" t="s">
        <v>11022</v>
      </c>
      <c r="OXN1" s="15" t="s">
        <v>11023</v>
      </c>
      <c r="OXO1" s="15" t="s">
        <v>11024</v>
      </c>
      <c r="OXP1" s="15" t="s">
        <v>11025</v>
      </c>
      <c r="OXQ1" s="15" t="s">
        <v>11026</v>
      </c>
      <c r="OXR1" s="15" t="s">
        <v>11027</v>
      </c>
      <c r="OXS1" s="15" t="s">
        <v>11028</v>
      </c>
      <c r="OXT1" s="15" t="s">
        <v>11029</v>
      </c>
      <c r="OXU1" s="15" t="s">
        <v>11030</v>
      </c>
      <c r="OXV1" s="15" t="s">
        <v>11031</v>
      </c>
      <c r="OXW1" s="15" t="s">
        <v>11032</v>
      </c>
      <c r="OXX1" s="15" t="s">
        <v>11033</v>
      </c>
      <c r="OXY1" s="15" t="s">
        <v>11034</v>
      </c>
      <c r="OXZ1" s="15" t="s">
        <v>11035</v>
      </c>
      <c r="OYA1" s="15" t="s">
        <v>11036</v>
      </c>
      <c r="OYB1" s="15" t="s">
        <v>11037</v>
      </c>
      <c r="OYC1" s="15" t="s">
        <v>11038</v>
      </c>
      <c r="OYD1" s="15" t="s">
        <v>11039</v>
      </c>
      <c r="OYE1" s="15" t="s">
        <v>11040</v>
      </c>
      <c r="OYF1" s="15" t="s">
        <v>11041</v>
      </c>
      <c r="OYG1" s="15" t="s">
        <v>11042</v>
      </c>
      <c r="OYH1" s="15" t="s">
        <v>11043</v>
      </c>
      <c r="OYI1" s="15" t="s">
        <v>11044</v>
      </c>
      <c r="OYJ1" s="15" t="s">
        <v>11045</v>
      </c>
      <c r="OYK1" s="15" t="s">
        <v>11046</v>
      </c>
      <c r="OYL1" s="15" t="s">
        <v>11047</v>
      </c>
      <c r="OYM1" s="15" t="s">
        <v>11048</v>
      </c>
      <c r="OYN1" s="15" t="s">
        <v>11049</v>
      </c>
      <c r="OYO1" s="15" t="s">
        <v>11050</v>
      </c>
      <c r="OYP1" s="15" t="s">
        <v>11051</v>
      </c>
      <c r="OYQ1" s="15" t="s">
        <v>11052</v>
      </c>
      <c r="OYR1" s="15" t="s">
        <v>11053</v>
      </c>
      <c r="OYS1" s="15" t="s">
        <v>11054</v>
      </c>
      <c r="OYT1" s="15" t="s">
        <v>11055</v>
      </c>
      <c r="OYU1" s="15" t="s">
        <v>11056</v>
      </c>
      <c r="OYV1" s="15" t="s">
        <v>11057</v>
      </c>
      <c r="OYW1" s="15" t="s">
        <v>11058</v>
      </c>
      <c r="OYX1" s="15" t="s">
        <v>11059</v>
      </c>
      <c r="OYY1" s="15" t="s">
        <v>11060</v>
      </c>
      <c r="OYZ1" s="15" t="s">
        <v>11061</v>
      </c>
      <c r="OZA1" s="15" t="s">
        <v>11062</v>
      </c>
      <c r="OZB1" s="15" t="s">
        <v>11063</v>
      </c>
      <c r="OZC1" s="15" t="s">
        <v>11064</v>
      </c>
      <c r="OZD1" s="15" t="s">
        <v>11065</v>
      </c>
      <c r="OZE1" s="15" t="s">
        <v>11066</v>
      </c>
      <c r="OZF1" s="15" t="s">
        <v>11067</v>
      </c>
      <c r="OZG1" s="15" t="s">
        <v>11068</v>
      </c>
      <c r="OZH1" s="15" t="s">
        <v>11069</v>
      </c>
      <c r="OZI1" s="15" t="s">
        <v>11070</v>
      </c>
      <c r="OZJ1" s="15" t="s">
        <v>11071</v>
      </c>
      <c r="OZK1" s="15" t="s">
        <v>11072</v>
      </c>
      <c r="OZL1" s="15" t="s">
        <v>11073</v>
      </c>
      <c r="OZM1" s="15" t="s">
        <v>11074</v>
      </c>
      <c r="OZN1" s="15" t="s">
        <v>11075</v>
      </c>
      <c r="OZO1" s="15" t="s">
        <v>11076</v>
      </c>
      <c r="OZP1" s="15" t="s">
        <v>11077</v>
      </c>
      <c r="OZQ1" s="15" t="s">
        <v>11078</v>
      </c>
      <c r="OZR1" s="15" t="s">
        <v>11079</v>
      </c>
      <c r="OZS1" s="15" t="s">
        <v>11080</v>
      </c>
      <c r="OZT1" s="15" t="s">
        <v>11081</v>
      </c>
      <c r="OZU1" s="15" t="s">
        <v>11082</v>
      </c>
      <c r="OZV1" s="15" t="s">
        <v>11083</v>
      </c>
      <c r="OZW1" s="15" t="s">
        <v>11084</v>
      </c>
      <c r="OZX1" s="15" t="s">
        <v>11085</v>
      </c>
      <c r="OZY1" s="15" t="s">
        <v>11086</v>
      </c>
      <c r="OZZ1" s="15" t="s">
        <v>11087</v>
      </c>
      <c r="PAA1" s="15" t="s">
        <v>11088</v>
      </c>
      <c r="PAB1" s="15" t="s">
        <v>11089</v>
      </c>
      <c r="PAC1" s="15" t="s">
        <v>11090</v>
      </c>
      <c r="PAD1" s="15" t="s">
        <v>11091</v>
      </c>
      <c r="PAE1" s="15" t="s">
        <v>11092</v>
      </c>
      <c r="PAF1" s="15" t="s">
        <v>11093</v>
      </c>
      <c r="PAG1" s="15" t="s">
        <v>11094</v>
      </c>
      <c r="PAH1" s="15" t="s">
        <v>11095</v>
      </c>
      <c r="PAI1" s="15" t="s">
        <v>11096</v>
      </c>
      <c r="PAJ1" s="15" t="s">
        <v>11097</v>
      </c>
      <c r="PAK1" s="15" t="s">
        <v>11098</v>
      </c>
      <c r="PAL1" s="15" t="s">
        <v>11099</v>
      </c>
      <c r="PAM1" s="15" t="s">
        <v>11100</v>
      </c>
      <c r="PAN1" s="15" t="s">
        <v>11101</v>
      </c>
      <c r="PAO1" s="15" t="s">
        <v>11102</v>
      </c>
      <c r="PAP1" s="15" t="s">
        <v>11103</v>
      </c>
      <c r="PAQ1" s="15" t="s">
        <v>11104</v>
      </c>
      <c r="PAR1" s="15" t="s">
        <v>11105</v>
      </c>
      <c r="PAS1" s="15" t="s">
        <v>11106</v>
      </c>
      <c r="PAT1" s="15" t="s">
        <v>11107</v>
      </c>
      <c r="PAU1" s="15" t="s">
        <v>11108</v>
      </c>
      <c r="PAV1" s="15" t="s">
        <v>11109</v>
      </c>
      <c r="PAW1" s="15" t="s">
        <v>11110</v>
      </c>
      <c r="PAX1" s="15" t="s">
        <v>11111</v>
      </c>
      <c r="PAY1" s="15" t="s">
        <v>11112</v>
      </c>
      <c r="PAZ1" s="15" t="s">
        <v>11113</v>
      </c>
      <c r="PBA1" s="15" t="s">
        <v>11114</v>
      </c>
      <c r="PBB1" s="15" t="s">
        <v>11115</v>
      </c>
      <c r="PBC1" s="15" t="s">
        <v>11116</v>
      </c>
      <c r="PBD1" s="15" t="s">
        <v>11117</v>
      </c>
      <c r="PBE1" s="15" t="s">
        <v>11118</v>
      </c>
      <c r="PBF1" s="15" t="s">
        <v>11119</v>
      </c>
      <c r="PBG1" s="15" t="s">
        <v>11120</v>
      </c>
      <c r="PBH1" s="15" t="s">
        <v>11121</v>
      </c>
      <c r="PBI1" s="15" t="s">
        <v>11122</v>
      </c>
      <c r="PBJ1" s="15" t="s">
        <v>11123</v>
      </c>
      <c r="PBK1" s="15" t="s">
        <v>11124</v>
      </c>
      <c r="PBL1" s="15" t="s">
        <v>11125</v>
      </c>
      <c r="PBM1" s="15" t="s">
        <v>11126</v>
      </c>
      <c r="PBN1" s="15" t="s">
        <v>11127</v>
      </c>
      <c r="PBO1" s="15" t="s">
        <v>11128</v>
      </c>
      <c r="PBP1" s="15" t="s">
        <v>11129</v>
      </c>
      <c r="PBQ1" s="15" t="s">
        <v>11130</v>
      </c>
      <c r="PBR1" s="15" t="s">
        <v>11131</v>
      </c>
      <c r="PBS1" s="15" t="s">
        <v>11132</v>
      </c>
      <c r="PBT1" s="15" t="s">
        <v>11133</v>
      </c>
      <c r="PBU1" s="15" t="s">
        <v>11134</v>
      </c>
      <c r="PBV1" s="15" t="s">
        <v>11135</v>
      </c>
      <c r="PBW1" s="15" t="s">
        <v>11136</v>
      </c>
      <c r="PBX1" s="15" t="s">
        <v>11137</v>
      </c>
      <c r="PBY1" s="15" t="s">
        <v>11138</v>
      </c>
      <c r="PBZ1" s="15" t="s">
        <v>11139</v>
      </c>
      <c r="PCA1" s="15" t="s">
        <v>11140</v>
      </c>
      <c r="PCB1" s="15" t="s">
        <v>11141</v>
      </c>
      <c r="PCC1" s="15" t="s">
        <v>11142</v>
      </c>
      <c r="PCD1" s="15" t="s">
        <v>11143</v>
      </c>
      <c r="PCE1" s="15" t="s">
        <v>11144</v>
      </c>
      <c r="PCF1" s="15" t="s">
        <v>11145</v>
      </c>
      <c r="PCG1" s="15" t="s">
        <v>11146</v>
      </c>
      <c r="PCH1" s="15" t="s">
        <v>11147</v>
      </c>
      <c r="PCI1" s="15" t="s">
        <v>11148</v>
      </c>
      <c r="PCJ1" s="15" t="s">
        <v>11149</v>
      </c>
      <c r="PCK1" s="15" t="s">
        <v>11150</v>
      </c>
      <c r="PCL1" s="15" t="s">
        <v>11151</v>
      </c>
      <c r="PCM1" s="15" t="s">
        <v>11152</v>
      </c>
      <c r="PCN1" s="15" t="s">
        <v>11153</v>
      </c>
      <c r="PCO1" s="15" t="s">
        <v>11154</v>
      </c>
      <c r="PCP1" s="15" t="s">
        <v>11155</v>
      </c>
      <c r="PCQ1" s="15" t="s">
        <v>11156</v>
      </c>
      <c r="PCR1" s="15" t="s">
        <v>11157</v>
      </c>
      <c r="PCS1" s="15" t="s">
        <v>11158</v>
      </c>
      <c r="PCT1" s="15" t="s">
        <v>11159</v>
      </c>
      <c r="PCU1" s="15" t="s">
        <v>11160</v>
      </c>
      <c r="PCV1" s="15" t="s">
        <v>11161</v>
      </c>
      <c r="PCW1" s="15" t="s">
        <v>11162</v>
      </c>
      <c r="PCX1" s="15" t="s">
        <v>11163</v>
      </c>
      <c r="PCY1" s="15" t="s">
        <v>11164</v>
      </c>
      <c r="PCZ1" s="15" t="s">
        <v>11165</v>
      </c>
      <c r="PDA1" s="15" t="s">
        <v>11166</v>
      </c>
      <c r="PDB1" s="15" t="s">
        <v>11167</v>
      </c>
      <c r="PDC1" s="15" t="s">
        <v>11168</v>
      </c>
      <c r="PDD1" s="15" t="s">
        <v>11169</v>
      </c>
      <c r="PDE1" s="15" t="s">
        <v>11170</v>
      </c>
      <c r="PDF1" s="15" t="s">
        <v>11171</v>
      </c>
      <c r="PDG1" s="15" t="s">
        <v>11172</v>
      </c>
      <c r="PDH1" s="15" t="s">
        <v>11173</v>
      </c>
      <c r="PDI1" s="15" t="s">
        <v>11174</v>
      </c>
      <c r="PDJ1" s="15" t="s">
        <v>11175</v>
      </c>
      <c r="PDK1" s="15" t="s">
        <v>11176</v>
      </c>
      <c r="PDL1" s="15" t="s">
        <v>11177</v>
      </c>
      <c r="PDM1" s="15" t="s">
        <v>11178</v>
      </c>
      <c r="PDN1" s="15" t="s">
        <v>11179</v>
      </c>
      <c r="PDO1" s="15" t="s">
        <v>11180</v>
      </c>
      <c r="PDP1" s="15" t="s">
        <v>11181</v>
      </c>
      <c r="PDQ1" s="15" t="s">
        <v>11182</v>
      </c>
      <c r="PDR1" s="15" t="s">
        <v>11183</v>
      </c>
      <c r="PDS1" s="15" t="s">
        <v>11184</v>
      </c>
      <c r="PDT1" s="15" t="s">
        <v>11185</v>
      </c>
      <c r="PDU1" s="15" t="s">
        <v>11186</v>
      </c>
      <c r="PDV1" s="15" t="s">
        <v>11187</v>
      </c>
      <c r="PDW1" s="15" t="s">
        <v>11188</v>
      </c>
      <c r="PDX1" s="15" t="s">
        <v>11189</v>
      </c>
      <c r="PDY1" s="15" t="s">
        <v>11190</v>
      </c>
      <c r="PDZ1" s="15" t="s">
        <v>11191</v>
      </c>
      <c r="PEA1" s="15" t="s">
        <v>11192</v>
      </c>
      <c r="PEB1" s="15" t="s">
        <v>11193</v>
      </c>
      <c r="PEC1" s="15" t="s">
        <v>11194</v>
      </c>
      <c r="PED1" s="15" t="s">
        <v>11195</v>
      </c>
      <c r="PEE1" s="15" t="s">
        <v>11196</v>
      </c>
      <c r="PEF1" s="15" t="s">
        <v>11197</v>
      </c>
      <c r="PEG1" s="15" t="s">
        <v>11198</v>
      </c>
      <c r="PEH1" s="15" t="s">
        <v>11199</v>
      </c>
      <c r="PEI1" s="15" t="s">
        <v>11200</v>
      </c>
      <c r="PEJ1" s="15" t="s">
        <v>11201</v>
      </c>
      <c r="PEK1" s="15" t="s">
        <v>11202</v>
      </c>
      <c r="PEL1" s="15" t="s">
        <v>11203</v>
      </c>
      <c r="PEM1" s="15" t="s">
        <v>11204</v>
      </c>
      <c r="PEN1" s="15" t="s">
        <v>11205</v>
      </c>
      <c r="PEO1" s="15" t="s">
        <v>11206</v>
      </c>
      <c r="PEP1" s="15" t="s">
        <v>11207</v>
      </c>
      <c r="PEQ1" s="15" t="s">
        <v>11208</v>
      </c>
      <c r="PER1" s="15" t="s">
        <v>11209</v>
      </c>
      <c r="PES1" s="15" t="s">
        <v>11210</v>
      </c>
      <c r="PET1" s="15" t="s">
        <v>11211</v>
      </c>
      <c r="PEU1" s="15" t="s">
        <v>11212</v>
      </c>
      <c r="PEV1" s="15" t="s">
        <v>11213</v>
      </c>
      <c r="PEW1" s="15" t="s">
        <v>11214</v>
      </c>
      <c r="PEX1" s="15" t="s">
        <v>11215</v>
      </c>
      <c r="PEY1" s="15" t="s">
        <v>11216</v>
      </c>
      <c r="PEZ1" s="15" t="s">
        <v>11217</v>
      </c>
      <c r="PFA1" s="15" t="s">
        <v>11218</v>
      </c>
      <c r="PFB1" s="15" t="s">
        <v>11219</v>
      </c>
      <c r="PFC1" s="15" t="s">
        <v>11220</v>
      </c>
      <c r="PFD1" s="15" t="s">
        <v>11221</v>
      </c>
      <c r="PFE1" s="15" t="s">
        <v>11222</v>
      </c>
      <c r="PFF1" s="15" t="s">
        <v>11223</v>
      </c>
      <c r="PFG1" s="15" t="s">
        <v>11224</v>
      </c>
      <c r="PFH1" s="15" t="s">
        <v>11225</v>
      </c>
      <c r="PFI1" s="15" t="s">
        <v>11226</v>
      </c>
      <c r="PFJ1" s="15" t="s">
        <v>11227</v>
      </c>
      <c r="PFK1" s="15" t="s">
        <v>11228</v>
      </c>
      <c r="PFL1" s="15" t="s">
        <v>11229</v>
      </c>
      <c r="PFM1" s="15" t="s">
        <v>11230</v>
      </c>
      <c r="PFN1" s="15" t="s">
        <v>11231</v>
      </c>
      <c r="PFO1" s="15" t="s">
        <v>11232</v>
      </c>
      <c r="PFP1" s="15" t="s">
        <v>11233</v>
      </c>
      <c r="PFQ1" s="15" t="s">
        <v>11234</v>
      </c>
      <c r="PFR1" s="15" t="s">
        <v>11235</v>
      </c>
      <c r="PFS1" s="15" t="s">
        <v>11236</v>
      </c>
      <c r="PFT1" s="15" t="s">
        <v>11237</v>
      </c>
      <c r="PFU1" s="15" t="s">
        <v>11238</v>
      </c>
      <c r="PFV1" s="15" t="s">
        <v>11239</v>
      </c>
      <c r="PFW1" s="15" t="s">
        <v>11240</v>
      </c>
      <c r="PFX1" s="15" t="s">
        <v>11241</v>
      </c>
      <c r="PFY1" s="15" t="s">
        <v>11242</v>
      </c>
      <c r="PFZ1" s="15" t="s">
        <v>11243</v>
      </c>
      <c r="PGA1" s="15" t="s">
        <v>11244</v>
      </c>
      <c r="PGB1" s="15" t="s">
        <v>11245</v>
      </c>
      <c r="PGC1" s="15" t="s">
        <v>11246</v>
      </c>
      <c r="PGD1" s="15" t="s">
        <v>11247</v>
      </c>
      <c r="PGE1" s="15" t="s">
        <v>11248</v>
      </c>
      <c r="PGF1" s="15" t="s">
        <v>11249</v>
      </c>
      <c r="PGG1" s="15" t="s">
        <v>11250</v>
      </c>
      <c r="PGH1" s="15" t="s">
        <v>11251</v>
      </c>
      <c r="PGI1" s="15" t="s">
        <v>11252</v>
      </c>
      <c r="PGJ1" s="15" t="s">
        <v>11253</v>
      </c>
      <c r="PGK1" s="15" t="s">
        <v>11254</v>
      </c>
      <c r="PGL1" s="15" t="s">
        <v>11255</v>
      </c>
      <c r="PGM1" s="15" t="s">
        <v>11256</v>
      </c>
      <c r="PGN1" s="15" t="s">
        <v>11257</v>
      </c>
      <c r="PGO1" s="15" t="s">
        <v>11258</v>
      </c>
      <c r="PGP1" s="15" t="s">
        <v>11259</v>
      </c>
      <c r="PGQ1" s="15" t="s">
        <v>11260</v>
      </c>
      <c r="PGR1" s="15" t="s">
        <v>11261</v>
      </c>
      <c r="PGS1" s="15" t="s">
        <v>11262</v>
      </c>
      <c r="PGT1" s="15" t="s">
        <v>11263</v>
      </c>
      <c r="PGU1" s="15" t="s">
        <v>11264</v>
      </c>
      <c r="PGV1" s="15" t="s">
        <v>11265</v>
      </c>
      <c r="PGW1" s="15" t="s">
        <v>11266</v>
      </c>
      <c r="PGX1" s="15" t="s">
        <v>11267</v>
      </c>
      <c r="PGY1" s="15" t="s">
        <v>11268</v>
      </c>
      <c r="PGZ1" s="15" t="s">
        <v>11269</v>
      </c>
      <c r="PHA1" s="15" t="s">
        <v>11270</v>
      </c>
      <c r="PHB1" s="15" t="s">
        <v>11271</v>
      </c>
      <c r="PHC1" s="15" t="s">
        <v>11272</v>
      </c>
      <c r="PHD1" s="15" t="s">
        <v>11273</v>
      </c>
      <c r="PHE1" s="15" t="s">
        <v>11274</v>
      </c>
      <c r="PHF1" s="15" t="s">
        <v>11275</v>
      </c>
      <c r="PHG1" s="15" t="s">
        <v>11276</v>
      </c>
      <c r="PHH1" s="15" t="s">
        <v>11277</v>
      </c>
      <c r="PHI1" s="15" t="s">
        <v>11278</v>
      </c>
      <c r="PHJ1" s="15" t="s">
        <v>11279</v>
      </c>
      <c r="PHK1" s="15" t="s">
        <v>11280</v>
      </c>
      <c r="PHL1" s="15" t="s">
        <v>11281</v>
      </c>
      <c r="PHM1" s="15" t="s">
        <v>11282</v>
      </c>
      <c r="PHN1" s="15" t="s">
        <v>11283</v>
      </c>
      <c r="PHO1" s="15" t="s">
        <v>11284</v>
      </c>
      <c r="PHP1" s="15" t="s">
        <v>11285</v>
      </c>
      <c r="PHQ1" s="15" t="s">
        <v>11286</v>
      </c>
      <c r="PHR1" s="15" t="s">
        <v>11287</v>
      </c>
      <c r="PHS1" s="15" t="s">
        <v>11288</v>
      </c>
      <c r="PHT1" s="15" t="s">
        <v>11289</v>
      </c>
      <c r="PHU1" s="15" t="s">
        <v>11290</v>
      </c>
      <c r="PHV1" s="15" t="s">
        <v>11291</v>
      </c>
      <c r="PHW1" s="15" t="s">
        <v>11292</v>
      </c>
      <c r="PHX1" s="15" t="s">
        <v>11293</v>
      </c>
      <c r="PHY1" s="15" t="s">
        <v>11294</v>
      </c>
      <c r="PHZ1" s="15" t="s">
        <v>11295</v>
      </c>
      <c r="PIA1" s="15" t="s">
        <v>11296</v>
      </c>
      <c r="PIB1" s="15" t="s">
        <v>11297</v>
      </c>
      <c r="PIC1" s="15" t="s">
        <v>11298</v>
      </c>
      <c r="PID1" s="15" t="s">
        <v>11299</v>
      </c>
      <c r="PIE1" s="15" t="s">
        <v>11300</v>
      </c>
      <c r="PIF1" s="15" t="s">
        <v>11301</v>
      </c>
      <c r="PIG1" s="15" t="s">
        <v>11302</v>
      </c>
      <c r="PIH1" s="15" t="s">
        <v>11303</v>
      </c>
      <c r="PII1" s="15" t="s">
        <v>11304</v>
      </c>
      <c r="PIJ1" s="15" t="s">
        <v>11305</v>
      </c>
      <c r="PIK1" s="15" t="s">
        <v>11306</v>
      </c>
      <c r="PIL1" s="15" t="s">
        <v>11307</v>
      </c>
      <c r="PIM1" s="15" t="s">
        <v>11308</v>
      </c>
      <c r="PIN1" s="15" t="s">
        <v>11309</v>
      </c>
      <c r="PIO1" s="15" t="s">
        <v>11310</v>
      </c>
      <c r="PIP1" s="15" t="s">
        <v>11311</v>
      </c>
      <c r="PIQ1" s="15" t="s">
        <v>11312</v>
      </c>
      <c r="PIR1" s="15" t="s">
        <v>11313</v>
      </c>
      <c r="PIS1" s="15" t="s">
        <v>11314</v>
      </c>
      <c r="PIT1" s="15" t="s">
        <v>11315</v>
      </c>
      <c r="PIU1" s="15" t="s">
        <v>11316</v>
      </c>
      <c r="PIV1" s="15" t="s">
        <v>11317</v>
      </c>
      <c r="PIW1" s="15" t="s">
        <v>11318</v>
      </c>
      <c r="PIX1" s="15" t="s">
        <v>11319</v>
      </c>
      <c r="PIY1" s="15" t="s">
        <v>11320</v>
      </c>
      <c r="PIZ1" s="15" t="s">
        <v>11321</v>
      </c>
      <c r="PJA1" s="15" t="s">
        <v>11322</v>
      </c>
      <c r="PJB1" s="15" t="s">
        <v>11323</v>
      </c>
      <c r="PJC1" s="15" t="s">
        <v>11324</v>
      </c>
      <c r="PJD1" s="15" t="s">
        <v>11325</v>
      </c>
      <c r="PJE1" s="15" t="s">
        <v>11326</v>
      </c>
      <c r="PJF1" s="15" t="s">
        <v>11327</v>
      </c>
      <c r="PJG1" s="15" t="s">
        <v>11328</v>
      </c>
      <c r="PJH1" s="15" t="s">
        <v>11329</v>
      </c>
      <c r="PJI1" s="15" t="s">
        <v>11330</v>
      </c>
      <c r="PJJ1" s="15" t="s">
        <v>11331</v>
      </c>
      <c r="PJK1" s="15" t="s">
        <v>11332</v>
      </c>
      <c r="PJL1" s="15" t="s">
        <v>11333</v>
      </c>
      <c r="PJM1" s="15" t="s">
        <v>11334</v>
      </c>
      <c r="PJN1" s="15" t="s">
        <v>11335</v>
      </c>
      <c r="PJO1" s="15" t="s">
        <v>11336</v>
      </c>
      <c r="PJP1" s="15" t="s">
        <v>11337</v>
      </c>
      <c r="PJQ1" s="15" t="s">
        <v>11338</v>
      </c>
      <c r="PJR1" s="15" t="s">
        <v>11339</v>
      </c>
      <c r="PJS1" s="15" t="s">
        <v>11340</v>
      </c>
      <c r="PJT1" s="15" t="s">
        <v>11341</v>
      </c>
      <c r="PJU1" s="15" t="s">
        <v>11342</v>
      </c>
      <c r="PJV1" s="15" t="s">
        <v>11343</v>
      </c>
      <c r="PJW1" s="15" t="s">
        <v>11344</v>
      </c>
      <c r="PJX1" s="15" t="s">
        <v>11345</v>
      </c>
      <c r="PJY1" s="15" t="s">
        <v>11346</v>
      </c>
      <c r="PJZ1" s="15" t="s">
        <v>11347</v>
      </c>
      <c r="PKA1" s="15" t="s">
        <v>11348</v>
      </c>
      <c r="PKB1" s="15" t="s">
        <v>11349</v>
      </c>
      <c r="PKC1" s="15" t="s">
        <v>11350</v>
      </c>
      <c r="PKD1" s="15" t="s">
        <v>11351</v>
      </c>
      <c r="PKE1" s="15" t="s">
        <v>11352</v>
      </c>
      <c r="PKF1" s="15" t="s">
        <v>11353</v>
      </c>
      <c r="PKG1" s="15" t="s">
        <v>11354</v>
      </c>
      <c r="PKH1" s="15" t="s">
        <v>11355</v>
      </c>
      <c r="PKI1" s="15" t="s">
        <v>11356</v>
      </c>
      <c r="PKJ1" s="15" t="s">
        <v>11357</v>
      </c>
      <c r="PKK1" s="15" t="s">
        <v>11358</v>
      </c>
      <c r="PKL1" s="15" t="s">
        <v>11359</v>
      </c>
      <c r="PKM1" s="15" t="s">
        <v>11360</v>
      </c>
      <c r="PKN1" s="15" t="s">
        <v>11361</v>
      </c>
      <c r="PKO1" s="15" t="s">
        <v>11362</v>
      </c>
      <c r="PKP1" s="15" t="s">
        <v>11363</v>
      </c>
      <c r="PKQ1" s="15" t="s">
        <v>11364</v>
      </c>
      <c r="PKR1" s="15" t="s">
        <v>11365</v>
      </c>
      <c r="PKS1" s="15" t="s">
        <v>11366</v>
      </c>
      <c r="PKT1" s="15" t="s">
        <v>11367</v>
      </c>
      <c r="PKU1" s="15" t="s">
        <v>11368</v>
      </c>
      <c r="PKV1" s="15" t="s">
        <v>11369</v>
      </c>
      <c r="PKW1" s="15" t="s">
        <v>11370</v>
      </c>
      <c r="PKX1" s="15" t="s">
        <v>11371</v>
      </c>
      <c r="PKY1" s="15" t="s">
        <v>11372</v>
      </c>
      <c r="PKZ1" s="15" t="s">
        <v>11373</v>
      </c>
      <c r="PLA1" s="15" t="s">
        <v>11374</v>
      </c>
      <c r="PLB1" s="15" t="s">
        <v>11375</v>
      </c>
      <c r="PLC1" s="15" t="s">
        <v>11376</v>
      </c>
      <c r="PLD1" s="15" t="s">
        <v>11377</v>
      </c>
      <c r="PLE1" s="15" t="s">
        <v>11378</v>
      </c>
      <c r="PLF1" s="15" t="s">
        <v>11379</v>
      </c>
      <c r="PLG1" s="15" t="s">
        <v>11380</v>
      </c>
      <c r="PLH1" s="15" t="s">
        <v>11381</v>
      </c>
      <c r="PLI1" s="15" t="s">
        <v>11382</v>
      </c>
      <c r="PLJ1" s="15" t="s">
        <v>11383</v>
      </c>
      <c r="PLK1" s="15" t="s">
        <v>11384</v>
      </c>
      <c r="PLL1" s="15" t="s">
        <v>11385</v>
      </c>
      <c r="PLM1" s="15" t="s">
        <v>11386</v>
      </c>
      <c r="PLN1" s="15" t="s">
        <v>11387</v>
      </c>
      <c r="PLO1" s="15" t="s">
        <v>11388</v>
      </c>
      <c r="PLP1" s="15" t="s">
        <v>11389</v>
      </c>
      <c r="PLQ1" s="15" t="s">
        <v>11390</v>
      </c>
      <c r="PLR1" s="15" t="s">
        <v>11391</v>
      </c>
      <c r="PLS1" s="15" t="s">
        <v>11392</v>
      </c>
      <c r="PLT1" s="15" t="s">
        <v>11393</v>
      </c>
      <c r="PLU1" s="15" t="s">
        <v>11394</v>
      </c>
      <c r="PLV1" s="15" t="s">
        <v>11395</v>
      </c>
      <c r="PLW1" s="15" t="s">
        <v>11396</v>
      </c>
      <c r="PLX1" s="15" t="s">
        <v>11397</v>
      </c>
      <c r="PLY1" s="15" t="s">
        <v>11398</v>
      </c>
      <c r="PLZ1" s="15" t="s">
        <v>11399</v>
      </c>
      <c r="PMA1" s="15" t="s">
        <v>11400</v>
      </c>
      <c r="PMB1" s="15" t="s">
        <v>11401</v>
      </c>
      <c r="PMC1" s="15" t="s">
        <v>11402</v>
      </c>
      <c r="PMD1" s="15" t="s">
        <v>11403</v>
      </c>
      <c r="PME1" s="15" t="s">
        <v>11404</v>
      </c>
      <c r="PMF1" s="15" t="s">
        <v>11405</v>
      </c>
      <c r="PMG1" s="15" t="s">
        <v>11406</v>
      </c>
      <c r="PMH1" s="15" t="s">
        <v>11407</v>
      </c>
      <c r="PMI1" s="15" t="s">
        <v>11408</v>
      </c>
      <c r="PMJ1" s="15" t="s">
        <v>11409</v>
      </c>
      <c r="PMK1" s="15" t="s">
        <v>11410</v>
      </c>
      <c r="PML1" s="15" t="s">
        <v>11411</v>
      </c>
      <c r="PMM1" s="15" t="s">
        <v>11412</v>
      </c>
      <c r="PMN1" s="15" t="s">
        <v>11413</v>
      </c>
      <c r="PMO1" s="15" t="s">
        <v>11414</v>
      </c>
      <c r="PMP1" s="15" t="s">
        <v>11415</v>
      </c>
      <c r="PMQ1" s="15" t="s">
        <v>11416</v>
      </c>
      <c r="PMR1" s="15" t="s">
        <v>11417</v>
      </c>
      <c r="PMS1" s="15" t="s">
        <v>11418</v>
      </c>
      <c r="PMT1" s="15" t="s">
        <v>11419</v>
      </c>
      <c r="PMU1" s="15" t="s">
        <v>11420</v>
      </c>
      <c r="PMV1" s="15" t="s">
        <v>11421</v>
      </c>
      <c r="PMW1" s="15" t="s">
        <v>11422</v>
      </c>
      <c r="PMX1" s="15" t="s">
        <v>11423</v>
      </c>
      <c r="PMY1" s="15" t="s">
        <v>11424</v>
      </c>
      <c r="PMZ1" s="15" t="s">
        <v>11425</v>
      </c>
      <c r="PNA1" s="15" t="s">
        <v>11426</v>
      </c>
      <c r="PNB1" s="15" t="s">
        <v>11427</v>
      </c>
      <c r="PNC1" s="15" t="s">
        <v>11428</v>
      </c>
      <c r="PND1" s="15" t="s">
        <v>11429</v>
      </c>
      <c r="PNE1" s="15" t="s">
        <v>11430</v>
      </c>
      <c r="PNF1" s="15" t="s">
        <v>11431</v>
      </c>
      <c r="PNG1" s="15" t="s">
        <v>11432</v>
      </c>
      <c r="PNH1" s="15" t="s">
        <v>11433</v>
      </c>
      <c r="PNI1" s="15" t="s">
        <v>11434</v>
      </c>
      <c r="PNJ1" s="15" t="s">
        <v>11435</v>
      </c>
      <c r="PNK1" s="15" t="s">
        <v>11436</v>
      </c>
      <c r="PNL1" s="15" t="s">
        <v>11437</v>
      </c>
      <c r="PNM1" s="15" t="s">
        <v>11438</v>
      </c>
      <c r="PNN1" s="15" t="s">
        <v>11439</v>
      </c>
      <c r="PNO1" s="15" t="s">
        <v>11440</v>
      </c>
      <c r="PNP1" s="15" t="s">
        <v>11441</v>
      </c>
      <c r="PNQ1" s="15" t="s">
        <v>11442</v>
      </c>
      <c r="PNR1" s="15" t="s">
        <v>11443</v>
      </c>
      <c r="PNS1" s="15" t="s">
        <v>11444</v>
      </c>
      <c r="PNT1" s="15" t="s">
        <v>11445</v>
      </c>
      <c r="PNU1" s="15" t="s">
        <v>11446</v>
      </c>
      <c r="PNV1" s="15" t="s">
        <v>11447</v>
      </c>
      <c r="PNW1" s="15" t="s">
        <v>11448</v>
      </c>
      <c r="PNX1" s="15" t="s">
        <v>11449</v>
      </c>
      <c r="PNY1" s="15" t="s">
        <v>11450</v>
      </c>
      <c r="PNZ1" s="15" t="s">
        <v>11451</v>
      </c>
      <c r="POA1" s="15" t="s">
        <v>11452</v>
      </c>
      <c r="POB1" s="15" t="s">
        <v>11453</v>
      </c>
      <c r="POC1" s="15" t="s">
        <v>11454</v>
      </c>
      <c r="POD1" s="15" t="s">
        <v>11455</v>
      </c>
      <c r="POE1" s="15" t="s">
        <v>11456</v>
      </c>
      <c r="POF1" s="15" t="s">
        <v>11457</v>
      </c>
      <c r="POG1" s="15" t="s">
        <v>11458</v>
      </c>
      <c r="POH1" s="15" t="s">
        <v>11459</v>
      </c>
      <c r="POI1" s="15" t="s">
        <v>11460</v>
      </c>
      <c r="POJ1" s="15" t="s">
        <v>11461</v>
      </c>
      <c r="POK1" s="15" t="s">
        <v>11462</v>
      </c>
      <c r="POL1" s="15" t="s">
        <v>11463</v>
      </c>
      <c r="POM1" s="15" t="s">
        <v>11464</v>
      </c>
      <c r="PON1" s="15" t="s">
        <v>11465</v>
      </c>
      <c r="POO1" s="15" t="s">
        <v>11466</v>
      </c>
      <c r="POP1" s="15" t="s">
        <v>11467</v>
      </c>
      <c r="POQ1" s="15" t="s">
        <v>11468</v>
      </c>
      <c r="POR1" s="15" t="s">
        <v>11469</v>
      </c>
      <c r="POS1" s="15" t="s">
        <v>11470</v>
      </c>
      <c r="POT1" s="15" t="s">
        <v>11471</v>
      </c>
      <c r="POU1" s="15" t="s">
        <v>11472</v>
      </c>
      <c r="POV1" s="15" t="s">
        <v>11473</v>
      </c>
      <c r="POW1" s="15" t="s">
        <v>11474</v>
      </c>
      <c r="POX1" s="15" t="s">
        <v>11475</v>
      </c>
      <c r="POY1" s="15" t="s">
        <v>11476</v>
      </c>
      <c r="POZ1" s="15" t="s">
        <v>11477</v>
      </c>
      <c r="PPA1" s="15" t="s">
        <v>11478</v>
      </c>
      <c r="PPB1" s="15" t="s">
        <v>11479</v>
      </c>
      <c r="PPC1" s="15" t="s">
        <v>11480</v>
      </c>
      <c r="PPD1" s="15" t="s">
        <v>11481</v>
      </c>
      <c r="PPE1" s="15" t="s">
        <v>11482</v>
      </c>
      <c r="PPF1" s="15" t="s">
        <v>11483</v>
      </c>
      <c r="PPG1" s="15" t="s">
        <v>11484</v>
      </c>
      <c r="PPH1" s="15" t="s">
        <v>11485</v>
      </c>
      <c r="PPI1" s="15" t="s">
        <v>11486</v>
      </c>
      <c r="PPJ1" s="15" t="s">
        <v>11487</v>
      </c>
      <c r="PPK1" s="15" t="s">
        <v>11488</v>
      </c>
      <c r="PPL1" s="15" t="s">
        <v>11489</v>
      </c>
      <c r="PPM1" s="15" t="s">
        <v>11490</v>
      </c>
      <c r="PPN1" s="15" t="s">
        <v>11491</v>
      </c>
      <c r="PPO1" s="15" t="s">
        <v>11492</v>
      </c>
      <c r="PPP1" s="15" t="s">
        <v>11493</v>
      </c>
      <c r="PPQ1" s="15" t="s">
        <v>11494</v>
      </c>
      <c r="PPR1" s="15" t="s">
        <v>11495</v>
      </c>
      <c r="PPS1" s="15" t="s">
        <v>11496</v>
      </c>
      <c r="PPT1" s="15" t="s">
        <v>11497</v>
      </c>
      <c r="PPU1" s="15" t="s">
        <v>11498</v>
      </c>
      <c r="PPV1" s="15" t="s">
        <v>11499</v>
      </c>
      <c r="PPW1" s="15" t="s">
        <v>11500</v>
      </c>
      <c r="PPX1" s="15" t="s">
        <v>11501</v>
      </c>
      <c r="PPY1" s="15" t="s">
        <v>11502</v>
      </c>
      <c r="PPZ1" s="15" t="s">
        <v>11503</v>
      </c>
      <c r="PQA1" s="15" t="s">
        <v>11504</v>
      </c>
      <c r="PQB1" s="15" t="s">
        <v>11505</v>
      </c>
      <c r="PQC1" s="15" t="s">
        <v>11506</v>
      </c>
      <c r="PQD1" s="15" t="s">
        <v>11507</v>
      </c>
      <c r="PQE1" s="15" t="s">
        <v>11508</v>
      </c>
      <c r="PQF1" s="15" t="s">
        <v>11509</v>
      </c>
      <c r="PQG1" s="15" t="s">
        <v>11510</v>
      </c>
      <c r="PQH1" s="15" t="s">
        <v>11511</v>
      </c>
      <c r="PQI1" s="15" t="s">
        <v>11512</v>
      </c>
      <c r="PQJ1" s="15" t="s">
        <v>11513</v>
      </c>
      <c r="PQK1" s="15" t="s">
        <v>11514</v>
      </c>
      <c r="PQL1" s="15" t="s">
        <v>11515</v>
      </c>
      <c r="PQM1" s="15" t="s">
        <v>11516</v>
      </c>
      <c r="PQN1" s="15" t="s">
        <v>11517</v>
      </c>
      <c r="PQO1" s="15" t="s">
        <v>11518</v>
      </c>
      <c r="PQP1" s="15" t="s">
        <v>11519</v>
      </c>
      <c r="PQQ1" s="15" t="s">
        <v>11520</v>
      </c>
      <c r="PQR1" s="15" t="s">
        <v>11521</v>
      </c>
      <c r="PQS1" s="15" t="s">
        <v>11522</v>
      </c>
      <c r="PQT1" s="15" t="s">
        <v>11523</v>
      </c>
      <c r="PQU1" s="15" t="s">
        <v>11524</v>
      </c>
      <c r="PQV1" s="15" t="s">
        <v>11525</v>
      </c>
      <c r="PQW1" s="15" t="s">
        <v>11526</v>
      </c>
      <c r="PQX1" s="15" t="s">
        <v>11527</v>
      </c>
      <c r="PQY1" s="15" t="s">
        <v>11528</v>
      </c>
      <c r="PQZ1" s="15" t="s">
        <v>11529</v>
      </c>
      <c r="PRA1" s="15" t="s">
        <v>11530</v>
      </c>
      <c r="PRB1" s="15" t="s">
        <v>11531</v>
      </c>
      <c r="PRC1" s="15" t="s">
        <v>11532</v>
      </c>
      <c r="PRD1" s="15" t="s">
        <v>11533</v>
      </c>
      <c r="PRE1" s="15" t="s">
        <v>11534</v>
      </c>
      <c r="PRF1" s="15" t="s">
        <v>11535</v>
      </c>
      <c r="PRG1" s="15" t="s">
        <v>11536</v>
      </c>
      <c r="PRH1" s="15" t="s">
        <v>11537</v>
      </c>
      <c r="PRI1" s="15" t="s">
        <v>11538</v>
      </c>
      <c r="PRJ1" s="15" t="s">
        <v>11539</v>
      </c>
      <c r="PRK1" s="15" t="s">
        <v>11540</v>
      </c>
      <c r="PRL1" s="15" t="s">
        <v>11541</v>
      </c>
      <c r="PRM1" s="15" t="s">
        <v>11542</v>
      </c>
      <c r="PRN1" s="15" t="s">
        <v>11543</v>
      </c>
      <c r="PRO1" s="15" t="s">
        <v>11544</v>
      </c>
      <c r="PRP1" s="15" t="s">
        <v>11545</v>
      </c>
      <c r="PRQ1" s="15" t="s">
        <v>11546</v>
      </c>
      <c r="PRR1" s="15" t="s">
        <v>11547</v>
      </c>
      <c r="PRS1" s="15" t="s">
        <v>11548</v>
      </c>
      <c r="PRT1" s="15" t="s">
        <v>11549</v>
      </c>
      <c r="PRU1" s="15" t="s">
        <v>11550</v>
      </c>
      <c r="PRV1" s="15" t="s">
        <v>11551</v>
      </c>
      <c r="PRW1" s="15" t="s">
        <v>11552</v>
      </c>
      <c r="PRX1" s="15" t="s">
        <v>11553</v>
      </c>
      <c r="PRY1" s="15" t="s">
        <v>11554</v>
      </c>
      <c r="PRZ1" s="15" t="s">
        <v>11555</v>
      </c>
      <c r="PSA1" s="15" t="s">
        <v>11556</v>
      </c>
      <c r="PSB1" s="15" t="s">
        <v>11557</v>
      </c>
      <c r="PSC1" s="15" t="s">
        <v>11558</v>
      </c>
      <c r="PSD1" s="15" t="s">
        <v>11559</v>
      </c>
      <c r="PSE1" s="15" t="s">
        <v>11560</v>
      </c>
      <c r="PSF1" s="15" t="s">
        <v>11561</v>
      </c>
      <c r="PSG1" s="15" t="s">
        <v>11562</v>
      </c>
      <c r="PSH1" s="15" t="s">
        <v>11563</v>
      </c>
      <c r="PSI1" s="15" t="s">
        <v>11564</v>
      </c>
      <c r="PSJ1" s="15" t="s">
        <v>11565</v>
      </c>
      <c r="PSK1" s="15" t="s">
        <v>11566</v>
      </c>
      <c r="PSL1" s="15" t="s">
        <v>11567</v>
      </c>
      <c r="PSM1" s="15" t="s">
        <v>11568</v>
      </c>
      <c r="PSN1" s="15" t="s">
        <v>11569</v>
      </c>
      <c r="PSO1" s="15" t="s">
        <v>11570</v>
      </c>
      <c r="PSP1" s="15" t="s">
        <v>11571</v>
      </c>
      <c r="PSQ1" s="15" t="s">
        <v>11572</v>
      </c>
      <c r="PSR1" s="15" t="s">
        <v>11573</v>
      </c>
      <c r="PSS1" s="15" t="s">
        <v>11574</v>
      </c>
      <c r="PST1" s="15" t="s">
        <v>11575</v>
      </c>
      <c r="PSU1" s="15" t="s">
        <v>11576</v>
      </c>
      <c r="PSV1" s="15" t="s">
        <v>11577</v>
      </c>
      <c r="PSW1" s="15" t="s">
        <v>11578</v>
      </c>
      <c r="PSX1" s="15" t="s">
        <v>11579</v>
      </c>
      <c r="PSY1" s="15" t="s">
        <v>11580</v>
      </c>
      <c r="PSZ1" s="15" t="s">
        <v>11581</v>
      </c>
      <c r="PTA1" s="15" t="s">
        <v>11582</v>
      </c>
      <c r="PTB1" s="15" t="s">
        <v>11583</v>
      </c>
      <c r="PTC1" s="15" t="s">
        <v>11584</v>
      </c>
      <c r="PTD1" s="15" t="s">
        <v>11585</v>
      </c>
      <c r="PTE1" s="15" t="s">
        <v>11586</v>
      </c>
      <c r="PTF1" s="15" t="s">
        <v>11587</v>
      </c>
      <c r="PTG1" s="15" t="s">
        <v>11588</v>
      </c>
      <c r="PTH1" s="15" t="s">
        <v>11589</v>
      </c>
      <c r="PTI1" s="15" t="s">
        <v>11590</v>
      </c>
      <c r="PTJ1" s="15" t="s">
        <v>11591</v>
      </c>
      <c r="PTK1" s="15" t="s">
        <v>11592</v>
      </c>
      <c r="PTL1" s="15" t="s">
        <v>11593</v>
      </c>
      <c r="PTM1" s="15" t="s">
        <v>11594</v>
      </c>
      <c r="PTN1" s="15" t="s">
        <v>11595</v>
      </c>
      <c r="PTO1" s="15" t="s">
        <v>11596</v>
      </c>
      <c r="PTP1" s="15" t="s">
        <v>11597</v>
      </c>
      <c r="PTQ1" s="15" t="s">
        <v>11598</v>
      </c>
      <c r="PTR1" s="15" t="s">
        <v>11599</v>
      </c>
      <c r="PTS1" s="15" t="s">
        <v>11600</v>
      </c>
      <c r="PTT1" s="15" t="s">
        <v>11601</v>
      </c>
      <c r="PTU1" s="15" t="s">
        <v>11602</v>
      </c>
      <c r="PTV1" s="15" t="s">
        <v>11603</v>
      </c>
      <c r="PTW1" s="15" t="s">
        <v>11604</v>
      </c>
      <c r="PTX1" s="15" t="s">
        <v>11605</v>
      </c>
      <c r="PTY1" s="15" t="s">
        <v>11606</v>
      </c>
      <c r="PTZ1" s="15" t="s">
        <v>11607</v>
      </c>
      <c r="PUA1" s="15" t="s">
        <v>11608</v>
      </c>
      <c r="PUB1" s="15" t="s">
        <v>11609</v>
      </c>
      <c r="PUC1" s="15" t="s">
        <v>11610</v>
      </c>
      <c r="PUD1" s="15" t="s">
        <v>11611</v>
      </c>
      <c r="PUE1" s="15" t="s">
        <v>11612</v>
      </c>
      <c r="PUF1" s="15" t="s">
        <v>11613</v>
      </c>
      <c r="PUG1" s="15" t="s">
        <v>11614</v>
      </c>
      <c r="PUH1" s="15" t="s">
        <v>11615</v>
      </c>
      <c r="PUI1" s="15" t="s">
        <v>11616</v>
      </c>
      <c r="PUJ1" s="15" t="s">
        <v>11617</v>
      </c>
      <c r="PUK1" s="15" t="s">
        <v>11618</v>
      </c>
      <c r="PUL1" s="15" t="s">
        <v>11619</v>
      </c>
      <c r="PUM1" s="15" t="s">
        <v>11620</v>
      </c>
      <c r="PUN1" s="15" t="s">
        <v>11621</v>
      </c>
      <c r="PUO1" s="15" t="s">
        <v>11622</v>
      </c>
      <c r="PUP1" s="15" t="s">
        <v>11623</v>
      </c>
      <c r="PUQ1" s="15" t="s">
        <v>11624</v>
      </c>
      <c r="PUR1" s="15" t="s">
        <v>11625</v>
      </c>
      <c r="PUS1" s="15" t="s">
        <v>11626</v>
      </c>
      <c r="PUT1" s="15" t="s">
        <v>11627</v>
      </c>
      <c r="PUU1" s="15" t="s">
        <v>11628</v>
      </c>
      <c r="PUV1" s="15" t="s">
        <v>11629</v>
      </c>
      <c r="PUW1" s="15" t="s">
        <v>11630</v>
      </c>
      <c r="PUX1" s="15" t="s">
        <v>11631</v>
      </c>
      <c r="PUY1" s="15" t="s">
        <v>11632</v>
      </c>
      <c r="PUZ1" s="15" t="s">
        <v>11633</v>
      </c>
      <c r="PVA1" s="15" t="s">
        <v>11634</v>
      </c>
      <c r="PVB1" s="15" t="s">
        <v>11635</v>
      </c>
      <c r="PVC1" s="15" t="s">
        <v>11636</v>
      </c>
      <c r="PVD1" s="15" t="s">
        <v>11637</v>
      </c>
      <c r="PVE1" s="15" t="s">
        <v>11638</v>
      </c>
      <c r="PVF1" s="15" t="s">
        <v>11639</v>
      </c>
      <c r="PVG1" s="15" t="s">
        <v>11640</v>
      </c>
      <c r="PVH1" s="15" t="s">
        <v>11641</v>
      </c>
      <c r="PVI1" s="15" t="s">
        <v>11642</v>
      </c>
      <c r="PVJ1" s="15" t="s">
        <v>11643</v>
      </c>
      <c r="PVK1" s="15" t="s">
        <v>11644</v>
      </c>
      <c r="PVL1" s="15" t="s">
        <v>11645</v>
      </c>
      <c r="PVM1" s="15" t="s">
        <v>11646</v>
      </c>
      <c r="PVN1" s="15" t="s">
        <v>11647</v>
      </c>
      <c r="PVO1" s="15" t="s">
        <v>11648</v>
      </c>
      <c r="PVP1" s="15" t="s">
        <v>11649</v>
      </c>
      <c r="PVQ1" s="15" t="s">
        <v>11650</v>
      </c>
      <c r="PVR1" s="15" t="s">
        <v>11651</v>
      </c>
      <c r="PVS1" s="15" t="s">
        <v>11652</v>
      </c>
      <c r="PVT1" s="15" t="s">
        <v>11653</v>
      </c>
      <c r="PVU1" s="15" t="s">
        <v>11654</v>
      </c>
      <c r="PVV1" s="15" t="s">
        <v>11655</v>
      </c>
      <c r="PVW1" s="15" t="s">
        <v>11656</v>
      </c>
      <c r="PVX1" s="15" t="s">
        <v>11657</v>
      </c>
      <c r="PVY1" s="15" t="s">
        <v>11658</v>
      </c>
      <c r="PVZ1" s="15" t="s">
        <v>11659</v>
      </c>
      <c r="PWA1" s="15" t="s">
        <v>11660</v>
      </c>
      <c r="PWB1" s="15" t="s">
        <v>11661</v>
      </c>
      <c r="PWC1" s="15" t="s">
        <v>11662</v>
      </c>
      <c r="PWD1" s="15" t="s">
        <v>11663</v>
      </c>
      <c r="PWE1" s="15" t="s">
        <v>11664</v>
      </c>
      <c r="PWF1" s="15" t="s">
        <v>11665</v>
      </c>
      <c r="PWG1" s="15" t="s">
        <v>11666</v>
      </c>
      <c r="PWH1" s="15" t="s">
        <v>11667</v>
      </c>
      <c r="PWI1" s="15" t="s">
        <v>11668</v>
      </c>
      <c r="PWJ1" s="15" t="s">
        <v>11669</v>
      </c>
      <c r="PWK1" s="15" t="s">
        <v>11670</v>
      </c>
      <c r="PWL1" s="15" t="s">
        <v>11671</v>
      </c>
      <c r="PWM1" s="15" t="s">
        <v>11672</v>
      </c>
      <c r="PWN1" s="15" t="s">
        <v>11673</v>
      </c>
      <c r="PWO1" s="15" t="s">
        <v>11674</v>
      </c>
      <c r="PWP1" s="15" t="s">
        <v>11675</v>
      </c>
      <c r="PWQ1" s="15" t="s">
        <v>11676</v>
      </c>
      <c r="PWR1" s="15" t="s">
        <v>11677</v>
      </c>
      <c r="PWS1" s="15" t="s">
        <v>11678</v>
      </c>
      <c r="PWT1" s="15" t="s">
        <v>11679</v>
      </c>
      <c r="PWU1" s="15" t="s">
        <v>11680</v>
      </c>
      <c r="PWV1" s="15" t="s">
        <v>11681</v>
      </c>
      <c r="PWW1" s="15" t="s">
        <v>11682</v>
      </c>
      <c r="PWX1" s="15" t="s">
        <v>11683</v>
      </c>
      <c r="PWY1" s="15" t="s">
        <v>11684</v>
      </c>
      <c r="PWZ1" s="15" t="s">
        <v>11685</v>
      </c>
      <c r="PXA1" s="15" t="s">
        <v>11686</v>
      </c>
      <c r="PXB1" s="15" t="s">
        <v>11687</v>
      </c>
      <c r="PXC1" s="15" t="s">
        <v>11688</v>
      </c>
      <c r="PXD1" s="15" t="s">
        <v>11689</v>
      </c>
      <c r="PXE1" s="15" t="s">
        <v>11690</v>
      </c>
      <c r="PXF1" s="15" t="s">
        <v>11691</v>
      </c>
      <c r="PXG1" s="15" t="s">
        <v>11692</v>
      </c>
      <c r="PXH1" s="15" t="s">
        <v>11693</v>
      </c>
      <c r="PXI1" s="15" t="s">
        <v>11694</v>
      </c>
      <c r="PXJ1" s="15" t="s">
        <v>11695</v>
      </c>
      <c r="PXK1" s="15" t="s">
        <v>11696</v>
      </c>
      <c r="PXL1" s="15" t="s">
        <v>11697</v>
      </c>
      <c r="PXM1" s="15" t="s">
        <v>11698</v>
      </c>
      <c r="PXN1" s="15" t="s">
        <v>11699</v>
      </c>
      <c r="PXO1" s="15" t="s">
        <v>11700</v>
      </c>
      <c r="PXP1" s="15" t="s">
        <v>11701</v>
      </c>
      <c r="PXQ1" s="15" t="s">
        <v>11702</v>
      </c>
      <c r="PXR1" s="15" t="s">
        <v>11703</v>
      </c>
      <c r="PXS1" s="15" t="s">
        <v>11704</v>
      </c>
      <c r="PXT1" s="15" t="s">
        <v>11705</v>
      </c>
      <c r="PXU1" s="15" t="s">
        <v>11706</v>
      </c>
      <c r="PXV1" s="15" t="s">
        <v>11707</v>
      </c>
      <c r="PXW1" s="15" t="s">
        <v>11708</v>
      </c>
      <c r="PXX1" s="15" t="s">
        <v>11709</v>
      </c>
      <c r="PXY1" s="15" t="s">
        <v>11710</v>
      </c>
      <c r="PXZ1" s="15" t="s">
        <v>11711</v>
      </c>
      <c r="PYA1" s="15" t="s">
        <v>11712</v>
      </c>
      <c r="PYB1" s="15" t="s">
        <v>11713</v>
      </c>
      <c r="PYC1" s="15" t="s">
        <v>11714</v>
      </c>
      <c r="PYD1" s="15" t="s">
        <v>11715</v>
      </c>
      <c r="PYE1" s="15" t="s">
        <v>11716</v>
      </c>
      <c r="PYF1" s="15" t="s">
        <v>11717</v>
      </c>
      <c r="PYG1" s="15" t="s">
        <v>11718</v>
      </c>
      <c r="PYH1" s="15" t="s">
        <v>11719</v>
      </c>
      <c r="PYI1" s="15" t="s">
        <v>11720</v>
      </c>
      <c r="PYJ1" s="15" t="s">
        <v>11721</v>
      </c>
      <c r="PYK1" s="15" t="s">
        <v>11722</v>
      </c>
      <c r="PYL1" s="15" t="s">
        <v>11723</v>
      </c>
      <c r="PYM1" s="15" t="s">
        <v>11724</v>
      </c>
      <c r="PYN1" s="15" t="s">
        <v>11725</v>
      </c>
      <c r="PYO1" s="15" t="s">
        <v>11726</v>
      </c>
      <c r="PYP1" s="15" t="s">
        <v>11727</v>
      </c>
      <c r="PYQ1" s="15" t="s">
        <v>11728</v>
      </c>
      <c r="PYR1" s="15" t="s">
        <v>11729</v>
      </c>
      <c r="PYS1" s="15" t="s">
        <v>11730</v>
      </c>
      <c r="PYT1" s="15" t="s">
        <v>11731</v>
      </c>
      <c r="PYU1" s="15" t="s">
        <v>11732</v>
      </c>
      <c r="PYV1" s="15" t="s">
        <v>11733</v>
      </c>
      <c r="PYW1" s="15" t="s">
        <v>11734</v>
      </c>
      <c r="PYX1" s="15" t="s">
        <v>11735</v>
      </c>
      <c r="PYY1" s="15" t="s">
        <v>11736</v>
      </c>
      <c r="PYZ1" s="15" t="s">
        <v>11737</v>
      </c>
      <c r="PZA1" s="15" t="s">
        <v>11738</v>
      </c>
      <c r="PZB1" s="15" t="s">
        <v>11739</v>
      </c>
      <c r="PZC1" s="15" t="s">
        <v>11740</v>
      </c>
      <c r="PZD1" s="15" t="s">
        <v>11741</v>
      </c>
      <c r="PZE1" s="15" t="s">
        <v>11742</v>
      </c>
      <c r="PZF1" s="15" t="s">
        <v>11743</v>
      </c>
      <c r="PZG1" s="15" t="s">
        <v>11744</v>
      </c>
      <c r="PZH1" s="15" t="s">
        <v>11745</v>
      </c>
      <c r="PZI1" s="15" t="s">
        <v>11746</v>
      </c>
      <c r="PZJ1" s="15" t="s">
        <v>11747</v>
      </c>
      <c r="PZK1" s="15" t="s">
        <v>11748</v>
      </c>
      <c r="PZL1" s="15" t="s">
        <v>11749</v>
      </c>
      <c r="PZM1" s="15" t="s">
        <v>11750</v>
      </c>
      <c r="PZN1" s="15" t="s">
        <v>11751</v>
      </c>
      <c r="PZO1" s="15" t="s">
        <v>11752</v>
      </c>
      <c r="PZP1" s="15" t="s">
        <v>11753</v>
      </c>
      <c r="PZQ1" s="15" t="s">
        <v>11754</v>
      </c>
      <c r="PZR1" s="15" t="s">
        <v>11755</v>
      </c>
      <c r="PZS1" s="15" t="s">
        <v>11756</v>
      </c>
      <c r="PZT1" s="15" t="s">
        <v>11757</v>
      </c>
      <c r="PZU1" s="15" t="s">
        <v>11758</v>
      </c>
      <c r="PZV1" s="15" t="s">
        <v>11759</v>
      </c>
      <c r="PZW1" s="15" t="s">
        <v>11760</v>
      </c>
      <c r="PZX1" s="15" t="s">
        <v>11761</v>
      </c>
      <c r="PZY1" s="15" t="s">
        <v>11762</v>
      </c>
      <c r="PZZ1" s="15" t="s">
        <v>11763</v>
      </c>
      <c r="QAA1" s="15" t="s">
        <v>11764</v>
      </c>
      <c r="QAB1" s="15" t="s">
        <v>11765</v>
      </c>
      <c r="QAC1" s="15" t="s">
        <v>11766</v>
      </c>
      <c r="QAD1" s="15" t="s">
        <v>11767</v>
      </c>
      <c r="QAE1" s="15" t="s">
        <v>11768</v>
      </c>
      <c r="QAF1" s="15" t="s">
        <v>11769</v>
      </c>
      <c r="QAG1" s="15" t="s">
        <v>11770</v>
      </c>
      <c r="QAH1" s="15" t="s">
        <v>11771</v>
      </c>
      <c r="QAI1" s="15" t="s">
        <v>11772</v>
      </c>
      <c r="QAJ1" s="15" t="s">
        <v>11773</v>
      </c>
      <c r="QAK1" s="15" t="s">
        <v>11774</v>
      </c>
      <c r="QAL1" s="15" t="s">
        <v>11775</v>
      </c>
      <c r="QAM1" s="15" t="s">
        <v>11776</v>
      </c>
      <c r="QAN1" s="15" t="s">
        <v>11777</v>
      </c>
      <c r="QAO1" s="15" t="s">
        <v>11778</v>
      </c>
      <c r="QAP1" s="15" t="s">
        <v>11779</v>
      </c>
      <c r="QAQ1" s="15" t="s">
        <v>11780</v>
      </c>
      <c r="QAR1" s="15" t="s">
        <v>11781</v>
      </c>
      <c r="QAS1" s="15" t="s">
        <v>11782</v>
      </c>
      <c r="QAT1" s="15" t="s">
        <v>11783</v>
      </c>
      <c r="QAU1" s="15" t="s">
        <v>11784</v>
      </c>
      <c r="QAV1" s="15" t="s">
        <v>11785</v>
      </c>
      <c r="QAW1" s="15" t="s">
        <v>11786</v>
      </c>
      <c r="QAX1" s="15" t="s">
        <v>11787</v>
      </c>
      <c r="QAY1" s="15" t="s">
        <v>11788</v>
      </c>
      <c r="QAZ1" s="15" t="s">
        <v>11789</v>
      </c>
      <c r="QBA1" s="15" t="s">
        <v>11790</v>
      </c>
      <c r="QBB1" s="15" t="s">
        <v>11791</v>
      </c>
      <c r="QBC1" s="15" t="s">
        <v>11792</v>
      </c>
      <c r="QBD1" s="15" t="s">
        <v>11793</v>
      </c>
      <c r="QBE1" s="15" t="s">
        <v>11794</v>
      </c>
      <c r="QBF1" s="15" t="s">
        <v>11795</v>
      </c>
      <c r="QBG1" s="15" t="s">
        <v>11796</v>
      </c>
      <c r="QBH1" s="15" t="s">
        <v>11797</v>
      </c>
      <c r="QBI1" s="15" t="s">
        <v>11798</v>
      </c>
      <c r="QBJ1" s="15" t="s">
        <v>11799</v>
      </c>
      <c r="QBK1" s="15" t="s">
        <v>11800</v>
      </c>
      <c r="QBL1" s="15" t="s">
        <v>11801</v>
      </c>
      <c r="QBM1" s="15" t="s">
        <v>11802</v>
      </c>
      <c r="QBN1" s="15" t="s">
        <v>11803</v>
      </c>
      <c r="QBO1" s="15" t="s">
        <v>11804</v>
      </c>
      <c r="QBP1" s="15" t="s">
        <v>11805</v>
      </c>
      <c r="QBQ1" s="15" t="s">
        <v>11806</v>
      </c>
      <c r="QBR1" s="15" t="s">
        <v>11807</v>
      </c>
      <c r="QBS1" s="15" t="s">
        <v>11808</v>
      </c>
      <c r="QBT1" s="15" t="s">
        <v>11809</v>
      </c>
      <c r="QBU1" s="15" t="s">
        <v>11810</v>
      </c>
      <c r="QBV1" s="15" t="s">
        <v>11811</v>
      </c>
      <c r="QBW1" s="15" t="s">
        <v>11812</v>
      </c>
      <c r="QBX1" s="15" t="s">
        <v>11813</v>
      </c>
      <c r="QBY1" s="15" t="s">
        <v>11814</v>
      </c>
      <c r="QBZ1" s="15" t="s">
        <v>11815</v>
      </c>
      <c r="QCA1" s="15" t="s">
        <v>11816</v>
      </c>
      <c r="QCB1" s="15" t="s">
        <v>11817</v>
      </c>
      <c r="QCC1" s="15" t="s">
        <v>11818</v>
      </c>
      <c r="QCD1" s="15" t="s">
        <v>11819</v>
      </c>
      <c r="QCE1" s="15" t="s">
        <v>11820</v>
      </c>
      <c r="QCF1" s="15" t="s">
        <v>11821</v>
      </c>
      <c r="QCG1" s="15" t="s">
        <v>11822</v>
      </c>
      <c r="QCH1" s="15" t="s">
        <v>11823</v>
      </c>
      <c r="QCI1" s="15" t="s">
        <v>11824</v>
      </c>
      <c r="QCJ1" s="15" t="s">
        <v>11825</v>
      </c>
      <c r="QCK1" s="15" t="s">
        <v>11826</v>
      </c>
      <c r="QCL1" s="15" t="s">
        <v>11827</v>
      </c>
      <c r="QCM1" s="15" t="s">
        <v>11828</v>
      </c>
      <c r="QCN1" s="15" t="s">
        <v>11829</v>
      </c>
      <c r="QCO1" s="15" t="s">
        <v>11830</v>
      </c>
      <c r="QCP1" s="15" t="s">
        <v>11831</v>
      </c>
      <c r="QCQ1" s="15" t="s">
        <v>11832</v>
      </c>
      <c r="QCR1" s="15" t="s">
        <v>11833</v>
      </c>
      <c r="QCS1" s="15" t="s">
        <v>11834</v>
      </c>
      <c r="QCT1" s="15" t="s">
        <v>11835</v>
      </c>
      <c r="QCU1" s="15" t="s">
        <v>11836</v>
      </c>
      <c r="QCV1" s="15" t="s">
        <v>11837</v>
      </c>
      <c r="QCW1" s="15" t="s">
        <v>11838</v>
      </c>
      <c r="QCX1" s="15" t="s">
        <v>11839</v>
      </c>
      <c r="QCY1" s="15" t="s">
        <v>11840</v>
      </c>
      <c r="QCZ1" s="15" t="s">
        <v>11841</v>
      </c>
      <c r="QDA1" s="15" t="s">
        <v>11842</v>
      </c>
      <c r="QDB1" s="15" t="s">
        <v>11843</v>
      </c>
      <c r="QDC1" s="15" t="s">
        <v>11844</v>
      </c>
      <c r="QDD1" s="15" t="s">
        <v>11845</v>
      </c>
      <c r="QDE1" s="15" t="s">
        <v>11846</v>
      </c>
      <c r="QDF1" s="15" t="s">
        <v>11847</v>
      </c>
      <c r="QDG1" s="15" t="s">
        <v>11848</v>
      </c>
      <c r="QDH1" s="15" t="s">
        <v>11849</v>
      </c>
      <c r="QDI1" s="15" t="s">
        <v>11850</v>
      </c>
      <c r="QDJ1" s="15" t="s">
        <v>11851</v>
      </c>
      <c r="QDK1" s="15" t="s">
        <v>11852</v>
      </c>
      <c r="QDL1" s="15" t="s">
        <v>11853</v>
      </c>
      <c r="QDM1" s="15" t="s">
        <v>11854</v>
      </c>
      <c r="QDN1" s="15" t="s">
        <v>11855</v>
      </c>
      <c r="QDO1" s="15" t="s">
        <v>11856</v>
      </c>
      <c r="QDP1" s="15" t="s">
        <v>11857</v>
      </c>
      <c r="QDQ1" s="15" t="s">
        <v>11858</v>
      </c>
      <c r="QDR1" s="15" t="s">
        <v>11859</v>
      </c>
      <c r="QDS1" s="15" t="s">
        <v>11860</v>
      </c>
      <c r="QDT1" s="15" t="s">
        <v>11861</v>
      </c>
      <c r="QDU1" s="15" t="s">
        <v>11862</v>
      </c>
      <c r="QDV1" s="15" t="s">
        <v>11863</v>
      </c>
      <c r="QDW1" s="15" t="s">
        <v>11864</v>
      </c>
      <c r="QDX1" s="15" t="s">
        <v>11865</v>
      </c>
      <c r="QDY1" s="15" t="s">
        <v>11866</v>
      </c>
      <c r="QDZ1" s="15" t="s">
        <v>11867</v>
      </c>
      <c r="QEA1" s="15" t="s">
        <v>11868</v>
      </c>
      <c r="QEB1" s="15" t="s">
        <v>11869</v>
      </c>
      <c r="QEC1" s="15" t="s">
        <v>11870</v>
      </c>
      <c r="QED1" s="15" t="s">
        <v>11871</v>
      </c>
      <c r="QEE1" s="15" t="s">
        <v>11872</v>
      </c>
      <c r="QEF1" s="15" t="s">
        <v>11873</v>
      </c>
      <c r="QEG1" s="15" t="s">
        <v>11874</v>
      </c>
      <c r="QEH1" s="15" t="s">
        <v>11875</v>
      </c>
      <c r="QEI1" s="15" t="s">
        <v>11876</v>
      </c>
      <c r="QEJ1" s="15" t="s">
        <v>11877</v>
      </c>
      <c r="QEK1" s="15" t="s">
        <v>11878</v>
      </c>
      <c r="QEL1" s="15" t="s">
        <v>11879</v>
      </c>
      <c r="QEM1" s="15" t="s">
        <v>11880</v>
      </c>
      <c r="QEN1" s="15" t="s">
        <v>11881</v>
      </c>
      <c r="QEO1" s="15" t="s">
        <v>11882</v>
      </c>
      <c r="QEP1" s="15" t="s">
        <v>11883</v>
      </c>
      <c r="QEQ1" s="15" t="s">
        <v>11884</v>
      </c>
      <c r="QER1" s="15" t="s">
        <v>11885</v>
      </c>
      <c r="QES1" s="15" t="s">
        <v>11886</v>
      </c>
      <c r="QET1" s="15" t="s">
        <v>11887</v>
      </c>
      <c r="QEU1" s="15" t="s">
        <v>11888</v>
      </c>
      <c r="QEV1" s="15" t="s">
        <v>11889</v>
      </c>
      <c r="QEW1" s="15" t="s">
        <v>11890</v>
      </c>
      <c r="QEX1" s="15" t="s">
        <v>11891</v>
      </c>
      <c r="QEY1" s="15" t="s">
        <v>11892</v>
      </c>
      <c r="QEZ1" s="15" t="s">
        <v>11893</v>
      </c>
      <c r="QFA1" s="15" t="s">
        <v>11894</v>
      </c>
      <c r="QFB1" s="15" t="s">
        <v>11895</v>
      </c>
      <c r="QFC1" s="15" t="s">
        <v>11896</v>
      </c>
      <c r="QFD1" s="15" t="s">
        <v>11897</v>
      </c>
      <c r="QFE1" s="15" t="s">
        <v>11898</v>
      </c>
      <c r="QFF1" s="15" t="s">
        <v>11899</v>
      </c>
      <c r="QFG1" s="15" t="s">
        <v>11900</v>
      </c>
      <c r="QFH1" s="15" t="s">
        <v>11901</v>
      </c>
      <c r="QFI1" s="15" t="s">
        <v>11902</v>
      </c>
      <c r="QFJ1" s="15" t="s">
        <v>11903</v>
      </c>
      <c r="QFK1" s="15" t="s">
        <v>11904</v>
      </c>
      <c r="QFL1" s="15" t="s">
        <v>11905</v>
      </c>
      <c r="QFM1" s="15" t="s">
        <v>11906</v>
      </c>
      <c r="QFN1" s="15" t="s">
        <v>11907</v>
      </c>
      <c r="QFO1" s="15" t="s">
        <v>11908</v>
      </c>
      <c r="QFP1" s="15" t="s">
        <v>11909</v>
      </c>
      <c r="QFQ1" s="15" t="s">
        <v>11910</v>
      </c>
      <c r="QFR1" s="15" t="s">
        <v>11911</v>
      </c>
      <c r="QFS1" s="15" t="s">
        <v>11912</v>
      </c>
      <c r="QFT1" s="15" t="s">
        <v>11913</v>
      </c>
      <c r="QFU1" s="15" t="s">
        <v>11914</v>
      </c>
      <c r="QFV1" s="15" t="s">
        <v>11915</v>
      </c>
      <c r="QFW1" s="15" t="s">
        <v>11916</v>
      </c>
      <c r="QFX1" s="15" t="s">
        <v>11917</v>
      </c>
      <c r="QFY1" s="15" t="s">
        <v>11918</v>
      </c>
      <c r="QFZ1" s="15" t="s">
        <v>11919</v>
      </c>
      <c r="QGA1" s="15" t="s">
        <v>11920</v>
      </c>
      <c r="QGB1" s="15" t="s">
        <v>11921</v>
      </c>
      <c r="QGC1" s="15" t="s">
        <v>11922</v>
      </c>
      <c r="QGD1" s="15" t="s">
        <v>11923</v>
      </c>
      <c r="QGE1" s="15" t="s">
        <v>11924</v>
      </c>
      <c r="QGF1" s="15" t="s">
        <v>11925</v>
      </c>
      <c r="QGG1" s="15" t="s">
        <v>11926</v>
      </c>
      <c r="QGH1" s="15" t="s">
        <v>11927</v>
      </c>
      <c r="QGI1" s="15" t="s">
        <v>11928</v>
      </c>
      <c r="QGJ1" s="15" t="s">
        <v>11929</v>
      </c>
      <c r="QGK1" s="15" t="s">
        <v>11930</v>
      </c>
      <c r="QGL1" s="15" t="s">
        <v>11931</v>
      </c>
      <c r="QGM1" s="15" t="s">
        <v>11932</v>
      </c>
      <c r="QGN1" s="15" t="s">
        <v>11933</v>
      </c>
      <c r="QGO1" s="15" t="s">
        <v>11934</v>
      </c>
      <c r="QGP1" s="15" t="s">
        <v>11935</v>
      </c>
      <c r="QGQ1" s="15" t="s">
        <v>11936</v>
      </c>
      <c r="QGR1" s="15" t="s">
        <v>11937</v>
      </c>
      <c r="QGS1" s="15" t="s">
        <v>11938</v>
      </c>
      <c r="QGT1" s="15" t="s">
        <v>11939</v>
      </c>
      <c r="QGU1" s="15" t="s">
        <v>11940</v>
      </c>
      <c r="QGV1" s="15" t="s">
        <v>11941</v>
      </c>
      <c r="QGW1" s="15" t="s">
        <v>11942</v>
      </c>
      <c r="QGX1" s="15" t="s">
        <v>11943</v>
      </c>
      <c r="QGY1" s="15" t="s">
        <v>11944</v>
      </c>
      <c r="QGZ1" s="15" t="s">
        <v>11945</v>
      </c>
      <c r="QHA1" s="15" t="s">
        <v>11946</v>
      </c>
      <c r="QHB1" s="15" t="s">
        <v>11947</v>
      </c>
      <c r="QHC1" s="15" t="s">
        <v>11948</v>
      </c>
      <c r="QHD1" s="15" t="s">
        <v>11949</v>
      </c>
      <c r="QHE1" s="15" t="s">
        <v>11950</v>
      </c>
      <c r="QHF1" s="15" t="s">
        <v>11951</v>
      </c>
      <c r="QHG1" s="15" t="s">
        <v>11952</v>
      </c>
      <c r="QHH1" s="15" t="s">
        <v>11953</v>
      </c>
      <c r="QHI1" s="15" t="s">
        <v>11954</v>
      </c>
      <c r="QHJ1" s="15" t="s">
        <v>11955</v>
      </c>
      <c r="QHK1" s="15" t="s">
        <v>11956</v>
      </c>
      <c r="QHL1" s="15" t="s">
        <v>11957</v>
      </c>
      <c r="QHM1" s="15" t="s">
        <v>11958</v>
      </c>
      <c r="QHN1" s="15" t="s">
        <v>11959</v>
      </c>
      <c r="QHO1" s="15" t="s">
        <v>11960</v>
      </c>
      <c r="QHP1" s="15" t="s">
        <v>11961</v>
      </c>
      <c r="QHQ1" s="15" t="s">
        <v>11962</v>
      </c>
      <c r="QHR1" s="15" t="s">
        <v>11963</v>
      </c>
      <c r="QHS1" s="15" t="s">
        <v>11964</v>
      </c>
      <c r="QHT1" s="15" t="s">
        <v>11965</v>
      </c>
      <c r="QHU1" s="15" t="s">
        <v>11966</v>
      </c>
      <c r="QHV1" s="15" t="s">
        <v>11967</v>
      </c>
      <c r="QHW1" s="15" t="s">
        <v>11968</v>
      </c>
      <c r="QHX1" s="15" t="s">
        <v>11969</v>
      </c>
      <c r="QHY1" s="15" t="s">
        <v>11970</v>
      </c>
      <c r="QHZ1" s="15" t="s">
        <v>11971</v>
      </c>
      <c r="QIA1" s="15" t="s">
        <v>11972</v>
      </c>
      <c r="QIB1" s="15" t="s">
        <v>11973</v>
      </c>
      <c r="QIC1" s="15" t="s">
        <v>11974</v>
      </c>
      <c r="QID1" s="15" t="s">
        <v>11975</v>
      </c>
      <c r="QIE1" s="15" t="s">
        <v>11976</v>
      </c>
      <c r="QIF1" s="15" t="s">
        <v>11977</v>
      </c>
      <c r="QIG1" s="15" t="s">
        <v>11978</v>
      </c>
      <c r="QIH1" s="15" t="s">
        <v>11979</v>
      </c>
      <c r="QII1" s="15" t="s">
        <v>11980</v>
      </c>
      <c r="QIJ1" s="15" t="s">
        <v>11981</v>
      </c>
      <c r="QIK1" s="15" t="s">
        <v>11982</v>
      </c>
      <c r="QIL1" s="15" t="s">
        <v>11983</v>
      </c>
      <c r="QIM1" s="15" t="s">
        <v>11984</v>
      </c>
      <c r="QIN1" s="15" t="s">
        <v>11985</v>
      </c>
      <c r="QIO1" s="15" t="s">
        <v>11986</v>
      </c>
      <c r="QIP1" s="15" t="s">
        <v>11987</v>
      </c>
      <c r="QIQ1" s="15" t="s">
        <v>11988</v>
      </c>
      <c r="QIR1" s="15" t="s">
        <v>11989</v>
      </c>
      <c r="QIS1" s="15" t="s">
        <v>11990</v>
      </c>
      <c r="QIT1" s="15" t="s">
        <v>11991</v>
      </c>
      <c r="QIU1" s="15" t="s">
        <v>11992</v>
      </c>
      <c r="QIV1" s="15" t="s">
        <v>11993</v>
      </c>
      <c r="QIW1" s="15" t="s">
        <v>11994</v>
      </c>
      <c r="QIX1" s="15" t="s">
        <v>11995</v>
      </c>
      <c r="QIY1" s="15" t="s">
        <v>11996</v>
      </c>
      <c r="QIZ1" s="15" t="s">
        <v>11997</v>
      </c>
      <c r="QJA1" s="15" t="s">
        <v>11998</v>
      </c>
      <c r="QJB1" s="15" t="s">
        <v>11999</v>
      </c>
      <c r="QJC1" s="15" t="s">
        <v>12000</v>
      </c>
      <c r="QJD1" s="15" t="s">
        <v>12001</v>
      </c>
      <c r="QJE1" s="15" t="s">
        <v>12002</v>
      </c>
      <c r="QJF1" s="15" t="s">
        <v>12003</v>
      </c>
      <c r="QJG1" s="15" t="s">
        <v>12004</v>
      </c>
      <c r="QJH1" s="15" t="s">
        <v>12005</v>
      </c>
      <c r="QJI1" s="15" t="s">
        <v>12006</v>
      </c>
      <c r="QJJ1" s="15" t="s">
        <v>12007</v>
      </c>
      <c r="QJK1" s="15" t="s">
        <v>12008</v>
      </c>
      <c r="QJL1" s="15" t="s">
        <v>12009</v>
      </c>
      <c r="QJM1" s="15" t="s">
        <v>12010</v>
      </c>
      <c r="QJN1" s="15" t="s">
        <v>12011</v>
      </c>
      <c r="QJO1" s="15" t="s">
        <v>12012</v>
      </c>
      <c r="QJP1" s="15" t="s">
        <v>12013</v>
      </c>
      <c r="QJQ1" s="15" t="s">
        <v>12014</v>
      </c>
      <c r="QJR1" s="15" t="s">
        <v>12015</v>
      </c>
      <c r="QJS1" s="15" t="s">
        <v>12016</v>
      </c>
      <c r="QJT1" s="15" t="s">
        <v>12017</v>
      </c>
      <c r="QJU1" s="15" t="s">
        <v>12018</v>
      </c>
      <c r="QJV1" s="15" t="s">
        <v>12019</v>
      </c>
      <c r="QJW1" s="15" t="s">
        <v>12020</v>
      </c>
      <c r="QJX1" s="15" t="s">
        <v>12021</v>
      </c>
      <c r="QJY1" s="15" t="s">
        <v>12022</v>
      </c>
      <c r="QJZ1" s="15" t="s">
        <v>12023</v>
      </c>
      <c r="QKA1" s="15" t="s">
        <v>12024</v>
      </c>
      <c r="QKB1" s="15" t="s">
        <v>12025</v>
      </c>
      <c r="QKC1" s="15" t="s">
        <v>12026</v>
      </c>
      <c r="QKD1" s="15" t="s">
        <v>12027</v>
      </c>
      <c r="QKE1" s="15" t="s">
        <v>12028</v>
      </c>
      <c r="QKF1" s="15" t="s">
        <v>12029</v>
      </c>
      <c r="QKG1" s="15" t="s">
        <v>12030</v>
      </c>
      <c r="QKH1" s="15" t="s">
        <v>12031</v>
      </c>
      <c r="QKI1" s="15" t="s">
        <v>12032</v>
      </c>
      <c r="QKJ1" s="15" t="s">
        <v>12033</v>
      </c>
      <c r="QKK1" s="15" t="s">
        <v>12034</v>
      </c>
      <c r="QKL1" s="15" t="s">
        <v>12035</v>
      </c>
      <c r="QKM1" s="15" t="s">
        <v>12036</v>
      </c>
      <c r="QKN1" s="15" t="s">
        <v>12037</v>
      </c>
      <c r="QKO1" s="15" t="s">
        <v>12038</v>
      </c>
      <c r="QKP1" s="15" t="s">
        <v>12039</v>
      </c>
      <c r="QKQ1" s="15" t="s">
        <v>12040</v>
      </c>
      <c r="QKR1" s="15" t="s">
        <v>12041</v>
      </c>
      <c r="QKS1" s="15" t="s">
        <v>12042</v>
      </c>
      <c r="QKT1" s="15" t="s">
        <v>12043</v>
      </c>
      <c r="QKU1" s="15" t="s">
        <v>12044</v>
      </c>
      <c r="QKV1" s="15" t="s">
        <v>12045</v>
      </c>
      <c r="QKW1" s="15" t="s">
        <v>12046</v>
      </c>
      <c r="QKX1" s="15" t="s">
        <v>12047</v>
      </c>
      <c r="QKY1" s="15" t="s">
        <v>12048</v>
      </c>
      <c r="QKZ1" s="15" t="s">
        <v>12049</v>
      </c>
      <c r="QLA1" s="15" t="s">
        <v>12050</v>
      </c>
      <c r="QLB1" s="15" t="s">
        <v>12051</v>
      </c>
      <c r="QLC1" s="15" t="s">
        <v>12052</v>
      </c>
      <c r="QLD1" s="15" t="s">
        <v>12053</v>
      </c>
      <c r="QLE1" s="15" t="s">
        <v>12054</v>
      </c>
      <c r="QLF1" s="15" t="s">
        <v>12055</v>
      </c>
      <c r="QLG1" s="15" t="s">
        <v>12056</v>
      </c>
      <c r="QLH1" s="15" t="s">
        <v>12057</v>
      </c>
      <c r="QLI1" s="15" t="s">
        <v>12058</v>
      </c>
      <c r="QLJ1" s="15" t="s">
        <v>12059</v>
      </c>
      <c r="QLK1" s="15" t="s">
        <v>12060</v>
      </c>
      <c r="QLL1" s="15" t="s">
        <v>12061</v>
      </c>
      <c r="QLM1" s="15" t="s">
        <v>12062</v>
      </c>
      <c r="QLN1" s="15" t="s">
        <v>12063</v>
      </c>
      <c r="QLO1" s="15" t="s">
        <v>12064</v>
      </c>
      <c r="QLP1" s="15" t="s">
        <v>12065</v>
      </c>
      <c r="QLQ1" s="15" t="s">
        <v>12066</v>
      </c>
      <c r="QLR1" s="15" t="s">
        <v>12067</v>
      </c>
      <c r="QLS1" s="15" t="s">
        <v>12068</v>
      </c>
      <c r="QLT1" s="15" t="s">
        <v>12069</v>
      </c>
      <c r="QLU1" s="15" t="s">
        <v>12070</v>
      </c>
      <c r="QLV1" s="15" t="s">
        <v>12071</v>
      </c>
      <c r="QLW1" s="15" t="s">
        <v>12072</v>
      </c>
      <c r="QLX1" s="15" t="s">
        <v>12073</v>
      </c>
      <c r="QLY1" s="15" t="s">
        <v>12074</v>
      </c>
      <c r="QLZ1" s="15" t="s">
        <v>12075</v>
      </c>
      <c r="QMA1" s="15" t="s">
        <v>12076</v>
      </c>
      <c r="QMB1" s="15" t="s">
        <v>12077</v>
      </c>
      <c r="QMC1" s="15" t="s">
        <v>12078</v>
      </c>
      <c r="QMD1" s="15" t="s">
        <v>12079</v>
      </c>
      <c r="QME1" s="15" t="s">
        <v>12080</v>
      </c>
      <c r="QMF1" s="15" t="s">
        <v>12081</v>
      </c>
      <c r="QMG1" s="15" t="s">
        <v>12082</v>
      </c>
      <c r="QMH1" s="15" t="s">
        <v>12083</v>
      </c>
      <c r="QMI1" s="15" t="s">
        <v>12084</v>
      </c>
      <c r="QMJ1" s="15" t="s">
        <v>12085</v>
      </c>
      <c r="QMK1" s="15" t="s">
        <v>12086</v>
      </c>
      <c r="QML1" s="15" t="s">
        <v>12087</v>
      </c>
      <c r="QMM1" s="15" t="s">
        <v>12088</v>
      </c>
      <c r="QMN1" s="15" t="s">
        <v>12089</v>
      </c>
      <c r="QMO1" s="15" t="s">
        <v>12090</v>
      </c>
      <c r="QMP1" s="15" t="s">
        <v>12091</v>
      </c>
      <c r="QMQ1" s="15" t="s">
        <v>12092</v>
      </c>
      <c r="QMR1" s="15" t="s">
        <v>12093</v>
      </c>
      <c r="QMS1" s="15" t="s">
        <v>12094</v>
      </c>
      <c r="QMT1" s="15" t="s">
        <v>12095</v>
      </c>
      <c r="QMU1" s="15" t="s">
        <v>12096</v>
      </c>
      <c r="QMV1" s="15" t="s">
        <v>12097</v>
      </c>
      <c r="QMW1" s="15" t="s">
        <v>12098</v>
      </c>
      <c r="QMX1" s="15" t="s">
        <v>12099</v>
      </c>
      <c r="QMY1" s="15" t="s">
        <v>12100</v>
      </c>
      <c r="QMZ1" s="15" t="s">
        <v>12101</v>
      </c>
      <c r="QNA1" s="15" t="s">
        <v>12102</v>
      </c>
      <c r="QNB1" s="15" t="s">
        <v>12103</v>
      </c>
      <c r="QNC1" s="15" t="s">
        <v>12104</v>
      </c>
      <c r="QND1" s="15" t="s">
        <v>12105</v>
      </c>
      <c r="QNE1" s="15" t="s">
        <v>12106</v>
      </c>
      <c r="QNF1" s="15" t="s">
        <v>12107</v>
      </c>
      <c r="QNG1" s="15" t="s">
        <v>12108</v>
      </c>
      <c r="QNH1" s="15" t="s">
        <v>12109</v>
      </c>
      <c r="QNI1" s="15" t="s">
        <v>12110</v>
      </c>
      <c r="QNJ1" s="15" t="s">
        <v>12111</v>
      </c>
      <c r="QNK1" s="15" t="s">
        <v>12112</v>
      </c>
      <c r="QNL1" s="15" t="s">
        <v>12113</v>
      </c>
      <c r="QNM1" s="15" t="s">
        <v>12114</v>
      </c>
      <c r="QNN1" s="15" t="s">
        <v>12115</v>
      </c>
      <c r="QNO1" s="15" t="s">
        <v>12116</v>
      </c>
      <c r="QNP1" s="15" t="s">
        <v>12117</v>
      </c>
      <c r="QNQ1" s="15" t="s">
        <v>12118</v>
      </c>
      <c r="QNR1" s="15" t="s">
        <v>12119</v>
      </c>
      <c r="QNS1" s="15" t="s">
        <v>12120</v>
      </c>
      <c r="QNT1" s="15" t="s">
        <v>12121</v>
      </c>
      <c r="QNU1" s="15" t="s">
        <v>12122</v>
      </c>
      <c r="QNV1" s="15" t="s">
        <v>12123</v>
      </c>
      <c r="QNW1" s="15" t="s">
        <v>12124</v>
      </c>
      <c r="QNX1" s="15" t="s">
        <v>12125</v>
      </c>
      <c r="QNY1" s="15" t="s">
        <v>12126</v>
      </c>
      <c r="QNZ1" s="15" t="s">
        <v>12127</v>
      </c>
      <c r="QOA1" s="15" t="s">
        <v>12128</v>
      </c>
      <c r="QOB1" s="15" t="s">
        <v>12129</v>
      </c>
      <c r="QOC1" s="15" t="s">
        <v>12130</v>
      </c>
      <c r="QOD1" s="15" t="s">
        <v>12131</v>
      </c>
      <c r="QOE1" s="15" t="s">
        <v>12132</v>
      </c>
      <c r="QOF1" s="15" t="s">
        <v>12133</v>
      </c>
      <c r="QOG1" s="15" t="s">
        <v>12134</v>
      </c>
      <c r="QOH1" s="15" t="s">
        <v>12135</v>
      </c>
      <c r="QOI1" s="15" t="s">
        <v>12136</v>
      </c>
      <c r="QOJ1" s="15" t="s">
        <v>12137</v>
      </c>
      <c r="QOK1" s="15" t="s">
        <v>12138</v>
      </c>
      <c r="QOL1" s="15" t="s">
        <v>12139</v>
      </c>
      <c r="QOM1" s="15" t="s">
        <v>12140</v>
      </c>
      <c r="QON1" s="15" t="s">
        <v>12141</v>
      </c>
      <c r="QOO1" s="15" t="s">
        <v>12142</v>
      </c>
      <c r="QOP1" s="15" t="s">
        <v>12143</v>
      </c>
      <c r="QOQ1" s="15" t="s">
        <v>12144</v>
      </c>
      <c r="QOR1" s="15" t="s">
        <v>12145</v>
      </c>
      <c r="QOS1" s="15" t="s">
        <v>12146</v>
      </c>
      <c r="QOT1" s="15" t="s">
        <v>12147</v>
      </c>
      <c r="QOU1" s="15" t="s">
        <v>12148</v>
      </c>
      <c r="QOV1" s="15" t="s">
        <v>12149</v>
      </c>
      <c r="QOW1" s="15" t="s">
        <v>12150</v>
      </c>
      <c r="QOX1" s="15" t="s">
        <v>12151</v>
      </c>
      <c r="QOY1" s="15" t="s">
        <v>12152</v>
      </c>
      <c r="QOZ1" s="15" t="s">
        <v>12153</v>
      </c>
      <c r="QPA1" s="15" t="s">
        <v>12154</v>
      </c>
      <c r="QPB1" s="15" t="s">
        <v>12155</v>
      </c>
      <c r="QPC1" s="15" t="s">
        <v>12156</v>
      </c>
      <c r="QPD1" s="15" t="s">
        <v>12157</v>
      </c>
      <c r="QPE1" s="15" t="s">
        <v>12158</v>
      </c>
      <c r="QPF1" s="15" t="s">
        <v>12159</v>
      </c>
      <c r="QPG1" s="15" t="s">
        <v>12160</v>
      </c>
      <c r="QPH1" s="15" t="s">
        <v>12161</v>
      </c>
      <c r="QPI1" s="15" t="s">
        <v>12162</v>
      </c>
      <c r="QPJ1" s="15" t="s">
        <v>12163</v>
      </c>
      <c r="QPK1" s="15" t="s">
        <v>12164</v>
      </c>
      <c r="QPL1" s="15" t="s">
        <v>12165</v>
      </c>
      <c r="QPM1" s="15" t="s">
        <v>12166</v>
      </c>
      <c r="QPN1" s="15" t="s">
        <v>12167</v>
      </c>
      <c r="QPO1" s="15" t="s">
        <v>12168</v>
      </c>
      <c r="QPP1" s="15" t="s">
        <v>12169</v>
      </c>
      <c r="QPQ1" s="15" t="s">
        <v>12170</v>
      </c>
      <c r="QPR1" s="15" t="s">
        <v>12171</v>
      </c>
      <c r="QPS1" s="15" t="s">
        <v>12172</v>
      </c>
      <c r="QPT1" s="15" t="s">
        <v>12173</v>
      </c>
      <c r="QPU1" s="15" t="s">
        <v>12174</v>
      </c>
      <c r="QPV1" s="15" t="s">
        <v>12175</v>
      </c>
      <c r="QPW1" s="15" t="s">
        <v>12176</v>
      </c>
      <c r="QPX1" s="15" t="s">
        <v>12177</v>
      </c>
      <c r="QPY1" s="15" t="s">
        <v>12178</v>
      </c>
      <c r="QPZ1" s="15" t="s">
        <v>12179</v>
      </c>
      <c r="QQA1" s="15" t="s">
        <v>12180</v>
      </c>
      <c r="QQB1" s="15" t="s">
        <v>12181</v>
      </c>
      <c r="QQC1" s="15" t="s">
        <v>12182</v>
      </c>
      <c r="QQD1" s="15" t="s">
        <v>12183</v>
      </c>
      <c r="QQE1" s="15" t="s">
        <v>12184</v>
      </c>
      <c r="QQF1" s="15" t="s">
        <v>12185</v>
      </c>
      <c r="QQG1" s="15" t="s">
        <v>12186</v>
      </c>
      <c r="QQH1" s="15" t="s">
        <v>12187</v>
      </c>
      <c r="QQI1" s="15" t="s">
        <v>12188</v>
      </c>
      <c r="QQJ1" s="15" t="s">
        <v>12189</v>
      </c>
      <c r="QQK1" s="15" t="s">
        <v>12190</v>
      </c>
      <c r="QQL1" s="15" t="s">
        <v>12191</v>
      </c>
      <c r="QQM1" s="15" t="s">
        <v>12192</v>
      </c>
      <c r="QQN1" s="15" t="s">
        <v>12193</v>
      </c>
      <c r="QQO1" s="15" t="s">
        <v>12194</v>
      </c>
      <c r="QQP1" s="15" t="s">
        <v>12195</v>
      </c>
      <c r="QQQ1" s="15" t="s">
        <v>12196</v>
      </c>
      <c r="QQR1" s="15" t="s">
        <v>12197</v>
      </c>
      <c r="QQS1" s="15" t="s">
        <v>12198</v>
      </c>
      <c r="QQT1" s="15" t="s">
        <v>12199</v>
      </c>
      <c r="QQU1" s="15" t="s">
        <v>12200</v>
      </c>
      <c r="QQV1" s="15" t="s">
        <v>12201</v>
      </c>
      <c r="QQW1" s="15" t="s">
        <v>12202</v>
      </c>
      <c r="QQX1" s="15" t="s">
        <v>12203</v>
      </c>
      <c r="QQY1" s="15" t="s">
        <v>12204</v>
      </c>
      <c r="QQZ1" s="15" t="s">
        <v>12205</v>
      </c>
      <c r="QRA1" s="15" t="s">
        <v>12206</v>
      </c>
      <c r="QRB1" s="15" t="s">
        <v>12207</v>
      </c>
      <c r="QRC1" s="15" t="s">
        <v>12208</v>
      </c>
      <c r="QRD1" s="15" t="s">
        <v>12209</v>
      </c>
      <c r="QRE1" s="15" t="s">
        <v>12210</v>
      </c>
      <c r="QRF1" s="15" t="s">
        <v>12211</v>
      </c>
      <c r="QRG1" s="15" t="s">
        <v>12212</v>
      </c>
      <c r="QRH1" s="15" t="s">
        <v>12213</v>
      </c>
      <c r="QRI1" s="15" t="s">
        <v>12214</v>
      </c>
      <c r="QRJ1" s="15" t="s">
        <v>12215</v>
      </c>
      <c r="QRK1" s="15" t="s">
        <v>12216</v>
      </c>
      <c r="QRL1" s="15" t="s">
        <v>12217</v>
      </c>
      <c r="QRM1" s="15" t="s">
        <v>12218</v>
      </c>
      <c r="QRN1" s="15" t="s">
        <v>12219</v>
      </c>
      <c r="QRO1" s="15" t="s">
        <v>12220</v>
      </c>
      <c r="QRP1" s="15" t="s">
        <v>12221</v>
      </c>
      <c r="QRQ1" s="15" t="s">
        <v>12222</v>
      </c>
      <c r="QRR1" s="15" t="s">
        <v>12223</v>
      </c>
      <c r="QRS1" s="15" t="s">
        <v>12224</v>
      </c>
      <c r="QRT1" s="15" t="s">
        <v>12225</v>
      </c>
      <c r="QRU1" s="15" t="s">
        <v>12226</v>
      </c>
      <c r="QRV1" s="15" t="s">
        <v>12227</v>
      </c>
      <c r="QRW1" s="15" t="s">
        <v>12228</v>
      </c>
      <c r="QRX1" s="15" t="s">
        <v>12229</v>
      </c>
      <c r="QRY1" s="15" t="s">
        <v>12230</v>
      </c>
      <c r="QRZ1" s="15" t="s">
        <v>12231</v>
      </c>
      <c r="QSA1" s="15" t="s">
        <v>12232</v>
      </c>
      <c r="QSB1" s="15" t="s">
        <v>12233</v>
      </c>
      <c r="QSC1" s="15" t="s">
        <v>12234</v>
      </c>
      <c r="QSD1" s="15" t="s">
        <v>12235</v>
      </c>
      <c r="QSE1" s="15" t="s">
        <v>12236</v>
      </c>
      <c r="QSF1" s="15" t="s">
        <v>12237</v>
      </c>
      <c r="QSG1" s="15" t="s">
        <v>12238</v>
      </c>
      <c r="QSH1" s="15" t="s">
        <v>12239</v>
      </c>
      <c r="QSI1" s="15" t="s">
        <v>12240</v>
      </c>
      <c r="QSJ1" s="15" t="s">
        <v>12241</v>
      </c>
      <c r="QSK1" s="15" t="s">
        <v>12242</v>
      </c>
      <c r="QSL1" s="15" t="s">
        <v>12243</v>
      </c>
      <c r="QSM1" s="15" t="s">
        <v>12244</v>
      </c>
      <c r="QSN1" s="15" t="s">
        <v>12245</v>
      </c>
      <c r="QSO1" s="15" t="s">
        <v>12246</v>
      </c>
      <c r="QSP1" s="15" t="s">
        <v>12247</v>
      </c>
      <c r="QSQ1" s="15" t="s">
        <v>12248</v>
      </c>
      <c r="QSR1" s="15" t="s">
        <v>12249</v>
      </c>
      <c r="QSS1" s="15" t="s">
        <v>12250</v>
      </c>
      <c r="QST1" s="15" t="s">
        <v>12251</v>
      </c>
      <c r="QSU1" s="15" t="s">
        <v>12252</v>
      </c>
      <c r="QSV1" s="15" t="s">
        <v>12253</v>
      </c>
      <c r="QSW1" s="15" t="s">
        <v>12254</v>
      </c>
      <c r="QSX1" s="15" t="s">
        <v>12255</v>
      </c>
      <c r="QSY1" s="15" t="s">
        <v>12256</v>
      </c>
      <c r="QSZ1" s="15" t="s">
        <v>12257</v>
      </c>
      <c r="QTA1" s="15" t="s">
        <v>12258</v>
      </c>
      <c r="QTB1" s="15" t="s">
        <v>12259</v>
      </c>
      <c r="QTC1" s="15" t="s">
        <v>12260</v>
      </c>
      <c r="QTD1" s="15" t="s">
        <v>12261</v>
      </c>
      <c r="QTE1" s="15" t="s">
        <v>12262</v>
      </c>
      <c r="QTF1" s="15" t="s">
        <v>12263</v>
      </c>
      <c r="QTG1" s="15" t="s">
        <v>12264</v>
      </c>
      <c r="QTH1" s="15" t="s">
        <v>12265</v>
      </c>
      <c r="QTI1" s="15" t="s">
        <v>12266</v>
      </c>
      <c r="QTJ1" s="15" t="s">
        <v>12267</v>
      </c>
      <c r="QTK1" s="15" t="s">
        <v>12268</v>
      </c>
      <c r="QTL1" s="15" t="s">
        <v>12269</v>
      </c>
      <c r="QTM1" s="15" t="s">
        <v>12270</v>
      </c>
      <c r="QTN1" s="15" t="s">
        <v>12271</v>
      </c>
      <c r="QTO1" s="15" t="s">
        <v>12272</v>
      </c>
      <c r="QTP1" s="15" t="s">
        <v>12273</v>
      </c>
      <c r="QTQ1" s="15" t="s">
        <v>12274</v>
      </c>
      <c r="QTR1" s="15" t="s">
        <v>12275</v>
      </c>
      <c r="QTS1" s="15" t="s">
        <v>12276</v>
      </c>
      <c r="QTT1" s="15" t="s">
        <v>12277</v>
      </c>
      <c r="QTU1" s="15" t="s">
        <v>12278</v>
      </c>
      <c r="QTV1" s="15" t="s">
        <v>12279</v>
      </c>
      <c r="QTW1" s="15" t="s">
        <v>12280</v>
      </c>
      <c r="QTX1" s="15" t="s">
        <v>12281</v>
      </c>
      <c r="QTY1" s="15" t="s">
        <v>12282</v>
      </c>
      <c r="QTZ1" s="15" t="s">
        <v>12283</v>
      </c>
      <c r="QUA1" s="15" t="s">
        <v>12284</v>
      </c>
      <c r="QUB1" s="15" t="s">
        <v>12285</v>
      </c>
      <c r="QUC1" s="15" t="s">
        <v>12286</v>
      </c>
      <c r="QUD1" s="15" t="s">
        <v>12287</v>
      </c>
      <c r="QUE1" s="15" t="s">
        <v>12288</v>
      </c>
      <c r="QUF1" s="15" t="s">
        <v>12289</v>
      </c>
      <c r="QUG1" s="15" t="s">
        <v>12290</v>
      </c>
      <c r="QUH1" s="15" t="s">
        <v>12291</v>
      </c>
      <c r="QUI1" s="15" t="s">
        <v>12292</v>
      </c>
      <c r="QUJ1" s="15" t="s">
        <v>12293</v>
      </c>
      <c r="QUK1" s="15" t="s">
        <v>12294</v>
      </c>
      <c r="QUL1" s="15" t="s">
        <v>12295</v>
      </c>
      <c r="QUM1" s="15" t="s">
        <v>12296</v>
      </c>
      <c r="QUN1" s="15" t="s">
        <v>12297</v>
      </c>
      <c r="QUO1" s="15" t="s">
        <v>12298</v>
      </c>
      <c r="QUP1" s="15" t="s">
        <v>12299</v>
      </c>
      <c r="QUQ1" s="15" t="s">
        <v>12300</v>
      </c>
      <c r="QUR1" s="15" t="s">
        <v>12301</v>
      </c>
      <c r="QUS1" s="15" t="s">
        <v>12302</v>
      </c>
      <c r="QUT1" s="15" t="s">
        <v>12303</v>
      </c>
      <c r="QUU1" s="15" t="s">
        <v>12304</v>
      </c>
      <c r="QUV1" s="15" t="s">
        <v>12305</v>
      </c>
      <c r="QUW1" s="15" t="s">
        <v>12306</v>
      </c>
      <c r="QUX1" s="15" t="s">
        <v>12307</v>
      </c>
      <c r="QUY1" s="15" t="s">
        <v>12308</v>
      </c>
      <c r="QUZ1" s="15" t="s">
        <v>12309</v>
      </c>
      <c r="QVA1" s="15" t="s">
        <v>12310</v>
      </c>
      <c r="QVB1" s="15" t="s">
        <v>12311</v>
      </c>
      <c r="QVC1" s="15" t="s">
        <v>12312</v>
      </c>
      <c r="QVD1" s="15" t="s">
        <v>12313</v>
      </c>
      <c r="QVE1" s="15" t="s">
        <v>12314</v>
      </c>
      <c r="QVF1" s="15" t="s">
        <v>12315</v>
      </c>
      <c r="QVG1" s="15" t="s">
        <v>12316</v>
      </c>
      <c r="QVH1" s="15" t="s">
        <v>12317</v>
      </c>
      <c r="QVI1" s="15" t="s">
        <v>12318</v>
      </c>
      <c r="QVJ1" s="15" t="s">
        <v>12319</v>
      </c>
      <c r="QVK1" s="15" t="s">
        <v>12320</v>
      </c>
      <c r="QVL1" s="15" t="s">
        <v>12321</v>
      </c>
      <c r="QVM1" s="15" t="s">
        <v>12322</v>
      </c>
      <c r="QVN1" s="15" t="s">
        <v>12323</v>
      </c>
      <c r="QVO1" s="15" t="s">
        <v>12324</v>
      </c>
      <c r="QVP1" s="15" t="s">
        <v>12325</v>
      </c>
      <c r="QVQ1" s="15" t="s">
        <v>12326</v>
      </c>
      <c r="QVR1" s="15" t="s">
        <v>12327</v>
      </c>
      <c r="QVS1" s="15" t="s">
        <v>12328</v>
      </c>
      <c r="QVT1" s="15" t="s">
        <v>12329</v>
      </c>
      <c r="QVU1" s="15" t="s">
        <v>12330</v>
      </c>
      <c r="QVV1" s="15" t="s">
        <v>12331</v>
      </c>
      <c r="QVW1" s="15" t="s">
        <v>12332</v>
      </c>
      <c r="QVX1" s="15" t="s">
        <v>12333</v>
      </c>
      <c r="QVY1" s="15" t="s">
        <v>12334</v>
      </c>
      <c r="QVZ1" s="15" t="s">
        <v>12335</v>
      </c>
      <c r="QWA1" s="15" t="s">
        <v>12336</v>
      </c>
      <c r="QWB1" s="15" t="s">
        <v>12337</v>
      </c>
      <c r="QWC1" s="15" t="s">
        <v>12338</v>
      </c>
      <c r="QWD1" s="15" t="s">
        <v>12339</v>
      </c>
      <c r="QWE1" s="15" t="s">
        <v>12340</v>
      </c>
      <c r="QWF1" s="15" t="s">
        <v>12341</v>
      </c>
      <c r="QWG1" s="15" t="s">
        <v>12342</v>
      </c>
      <c r="QWH1" s="15" t="s">
        <v>12343</v>
      </c>
      <c r="QWI1" s="15" t="s">
        <v>12344</v>
      </c>
      <c r="QWJ1" s="15" t="s">
        <v>12345</v>
      </c>
      <c r="QWK1" s="15" t="s">
        <v>12346</v>
      </c>
      <c r="QWL1" s="15" t="s">
        <v>12347</v>
      </c>
      <c r="QWM1" s="15" t="s">
        <v>12348</v>
      </c>
      <c r="QWN1" s="15" t="s">
        <v>12349</v>
      </c>
      <c r="QWO1" s="15" t="s">
        <v>12350</v>
      </c>
      <c r="QWP1" s="15" t="s">
        <v>12351</v>
      </c>
      <c r="QWQ1" s="15" t="s">
        <v>12352</v>
      </c>
      <c r="QWR1" s="15" t="s">
        <v>12353</v>
      </c>
      <c r="QWS1" s="15" t="s">
        <v>12354</v>
      </c>
      <c r="QWT1" s="15" t="s">
        <v>12355</v>
      </c>
      <c r="QWU1" s="15" t="s">
        <v>12356</v>
      </c>
      <c r="QWV1" s="15" t="s">
        <v>12357</v>
      </c>
      <c r="QWW1" s="15" t="s">
        <v>12358</v>
      </c>
      <c r="QWX1" s="15" t="s">
        <v>12359</v>
      </c>
      <c r="QWY1" s="15" t="s">
        <v>12360</v>
      </c>
      <c r="QWZ1" s="15" t="s">
        <v>12361</v>
      </c>
      <c r="QXA1" s="15" t="s">
        <v>12362</v>
      </c>
      <c r="QXB1" s="15" t="s">
        <v>12363</v>
      </c>
      <c r="QXC1" s="15" t="s">
        <v>12364</v>
      </c>
      <c r="QXD1" s="15" t="s">
        <v>12365</v>
      </c>
      <c r="QXE1" s="15" t="s">
        <v>12366</v>
      </c>
      <c r="QXF1" s="15" t="s">
        <v>12367</v>
      </c>
      <c r="QXG1" s="15" t="s">
        <v>12368</v>
      </c>
      <c r="QXH1" s="15" t="s">
        <v>12369</v>
      </c>
      <c r="QXI1" s="15" t="s">
        <v>12370</v>
      </c>
      <c r="QXJ1" s="15" t="s">
        <v>12371</v>
      </c>
      <c r="QXK1" s="15" t="s">
        <v>12372</v>
      </c>
      <c r="QXL1" s="15" t="s">
        <v>12373</v>
      </c>
      <c r="QXM1" s="15" t="s">
        <v>12374</v>
      </c>
      <c r="QXN1" s="15" t="s">
        <v>12375</v>
      </c>
      <c r="QXO1" s="15" t="s">
        <v>12376</v>
      </c>
      <c r="QXP1" s="15" t="s">
        <v>12377</v>
      </c>
      <c r="QXQ1" s="15" t="s">
        <v>12378</v>
      </c>
      <c r="QXR1" s="15" t="s">
        <v>12379</v>
      </c>
      <c r="QXS1" s="15" t="s">
        <v>12380</v>
      </c>
      <c r="QXT1" s="15" t="s">
        <v>12381</v>
      </c>
      <c r="QXU1" s="15" t="s">
        <v>12382</v>
      </c>
      <c r="QXV1" s="15" t="s">
        <v>12383</v>
      </c>
      <c r="QXW1" s="15" t="s">
        <v>12384</v>
      </c>
      <c r="QXX1" s="15" t="s">
        <v>12385</v>
      </c>
      <c r="QXY1" s="15" t="s">
        <v>12386</v>
      </c>
      <c r="QXZ1" s="15" t="s">
        <v>12387</v>
      </c>
      <c r="QYA1" s="15" t="s">
        <v>12388</v>
      </c>
      <c r="QYB1" s="15" t="s">
        <v>12389</v>
      </c>
      <c r="QYC1" s="15" t="s">
        <v>12390</v>
      </c>
      <c r="QYD1" s="15" t="s">
        <v>12391</v>
      </c>
      <c r="QYE1" s="15" t="s">
        <v>12392</v>
      </c>
      <c r="QYF1" s="15" t="s">
        <v>12393</v>
      </c>
      <c r="QYG1" s="15" t="s">
        <v>12394</v>
      </c>
      <c r="QYH1" s="15" t="s">
        <v>12395</v>
      </c>
      <c r="QYI1" s="15" t="s">
        <v>12396</v>
      </c>
      <c r="QYJ1" s="15" t="s">
        <v>12397</v>
      </c>
      <c r="QYK1" s="15" t="s">
        <v>12398</v>
      </c>
      <c r="QYL1" s="15" t="s">
        <v>12399</v>
      </c>
      <c r="QYM1" s="15" t="s">
        <v>12400</v>
      </c>
      <c r="QYN1" s="15" t="s">
        <v>12401</v>
      </c>
      <c r="QYO1" s="15" t="s">
        <v>12402</v>
      </c>
      <c r="QYP1" s="15" t="s">
        <v>12403</v>
      </c>
      <c r="QYQ1" s="15" t="s">
        <v>12404</v>
      </c>
      <c r="QYR1" s="15" t="s">
        <v>12405</v>
      </c>
      <c r="QYS1" s="15" t="s">
        <v>12406</v>
      </c>
      <c r="QYT1" s="15" t="s">
        <v>12407</v>
      </c>
      <c r="QYU1" s="15" t="s">
        <v>12408</v>
      </c>
      <c r="QYV1" s="15" t="s">
        <v>12409</v>
      </c>
      <c r="QYW1" s="15" t="s">
        <v>12410</v>
      </c>
      <c r="QYX1" s="15" t="s">
        <v>12411</v>
      </c>
      <c r="QYY1" s="15" t="s">
        <v>12412</v>
      </c>
      <c r="QYZ1" s="15" t="s">
        <v>12413</v>
      </c>
      <c r="QZA1" s="15" t="s">
        <v>12414</v>
      </c>
      <c r="QZB1" s="15" t="s">
        <v>12415</v>
      </c>
      <c r="QZC1" s="15" t="s">
        <v>12416</v>
      </c>
      <c r="QZD1" s="15" t="s">
        <v>12417</v>
      </c>
      <c r="QZE1" s="15" t="s">
        <v>12418</v>
      </c>
      <c r="QZF1" s="15" t="s">
        <v>12419</v>
      </c>
      <c r="QZG1" s="15" t="s">
        <v>12420</v>
      </c>
      <c r="QZH1" s="15" t="s">
        <v>12421</v>
      </c>
      <c r="QZI1" s="15" t="s">
        <v>12422</v>
      </c>
      <c r="QZJ1" s="15" t="s">
        <v>12423</v>
      </c>
      <c r="QZK1" s="15" t="s">
        <v>12424</v>
      </c>
      <c r="QZL1" s="15" t="s">
        <v>12425</v>
      </c>
      <c r="QZM1" s="15" t="s">
        <v>12426</v>
      </c>
      <c r="QZN1" s="15" t="s">
        <v>12427</v>
      </c>
      <c r="QZO1" s="15" t="s">
        <v>12428</v>
      </c>
      <c r="QZP1" s="15" t="s">
        <v>12429</v>
      </c>
      <c r="QZQ1" s="15" t="s">
        <v>12430</v>
      </c>
      <c r="QZR1" s="15" t="s">
        <v>12431</v>
      </c>
      <c r="QZS1" s="15" t="s">
        <v>12432</v>
      </c>
      <c r="QZT1" s="15" t="s">
        <v>12433</v>
      </c>
      <c r="QZU1" s="15" t="s">
        <v>12434</v>
      </c>
      <c r="QZV1" s="15" t="s">
        <v>12435</v>
      </c>
      <c r="QZW1" s="15" t="s">
        <v>12436</v>
      </c>
      <c r="QZX1" s="15" t="s">
        <v>12437</v>
      </c>
      <c r="QZY1" s="15" t="s">
        <v>12438</v>
      </c>
      <c r="QZZ1" s="15" t="s">
        <v>12439</v>
      </c>
      <c r="RAA1" s="15" t="s">
        <v>12440</v>
      </c>
      <c r="RAB1" s="15" t="s">
        <v>12441</v>
      </c>
      <c r="RAC1" s="15" t="s">
        <v>12442</v>
      </c>
      <c r="RAD1" s="15" t="s">
        <v>12443</v>
      </c>
      <c r="RAE1" s="15" t="s">
        <v>12444</v>
      </c>
      <c r="RAF1" s="15" t="s">
        <v>12445</v>
      </c>
      <c r="RAG1" s="15" t="s">
        <v>12446</v>
      </c>
      <c r="RAH1" s="15" t="s">
        <v>12447</v>
      </c>
      <c r="RAI1" s="15" t="s">
        <v>12448</v>
      </c>
      <c r="RAJ1" s="15" t="s">
        <v>12449</v>
      </c>
      <c r="RAK1" s="15" t="s">
        <v>12450</v>
      </c>
      <c r="RAL1" s="15" t="s">
        <v>12451</v>
      </c>
      <c r="RAM1" s="15" t="s">
        <v>12452</v>
      </c>
      <c r="RAN1" s="15" t="s">
        <v>12453</v>
      </c>
      <c r="RAO1" s="15" t="s">
        <v>12454</v>
      </c>
      <c r="RAP1" s="15" t="s">
        <v>12455</v>
      </c>
      <c r="RAQ1" s="15" t="s">
        <v>12456</v>
      </c>
      <c r="RAR1" s="15" t="s">
        <v>12457</v>
      </c>
      <c r="RAS1" s="15" t="s">
        <v>12458</v>
      </c>
      <c r="RAT1" s="15" t="s">
        <v>12459</v>
      </c>
      <c r="RAU1" s="15" t="s">
        <v>12460</v>
      </c>
      <c r="RAV1" s="15" t="s">
        <v>12461</v>
      </c>
      <c r="RAW1" s="15" t="s">
        <v>12462</v>
      </c>
      <c r="RAX1" s="15" t="s">
        <v>12463</v>
      </c>
      <c r="RAY1" s="15" t="s">
        <v>12464</v>
      </c>
      <c r="RAZ1" s="15" t="s">
        <v>12465</v>
      </c>
      <c r="RBA1" s="15" t="s">
        <v>12466</v>
      </c>
      <c r="RBB1" s="15" t="s">
        <v>12467</v>
      </c>
      <c r="RBC1" s="15" t="s">
        <v>12468</v>
      </c>
      <c r="RBD1" s="15" t="s">
        <v>12469</v>
      </c>
      <c r="RBE1" s="15" t="s">
        <v>12470</v>
      </c>
      <c r="RBF1" s="15" t="s">
        <v>12471</v>
      </c>
      <c r="RBG1" s="15" t="s">
        <v>12472</v>
      </c>
      <c r="RBH1" s="15" t="s">
        <v>12473</v>
      </c>
      <c r="RBI1" s="15" t="s">
        <v>12474</v>
      </c>
      <c r="RBJ1" s="15" t="s">
        <v>12475</v>
      </c>
      <c r="RBK1" s="15" t="s">
        <v>12476</v>
      </c>
      <c r="RBL1" s="15" t="s">
        <v>12477</v>
      </c>
      <c r="RBM1" s="15" t="s">
        <v>12478</v>
      </c>
      <c r="RBN1" s="15" t="s">
        <v>12479</v>
      </c>
      <c r="RBO1" s="15" t="s">
        <v>12480</v>
      </c>
      <c r="RBP1" s="15" t="s">
        <v>12481</v>
      </c>
      <c r="RBQ1" s="15" t="s">
        <v>12482</v>
      </c>
      <c r="RBR1" s="15" t="s">
        <v>12483</v>
      </c>
      <c r="RBS1" s="15" t="s">
        <v>12484</v>
      </c>
      <c r="RBT1" s="15" t="s">
        <v>12485</v>
      </c>
      <c r="RBU1" s="15" t="s">
        <v>12486</v>
      </c>
      <c r="RBV1" s="15" t="s">
        <v>12487</v>
      </c>
      <c r="RBW1" s="15" t="s">
        <v>12488</v>
      </c>
      <c r="RBX1" s="15" t="s">
        <v>12489</v>
      </c>
      <c r="RBY1" s="15" t="s">
        <v>12490</v>
      </c>
      <c r="RBZ1" s="15" t="s">
        <v>12491</v>
      </c>
      <c r="RCA1" s="15" t="s">
        <v>12492</v>
      </c>
      <c r="RCB1" s="15" t="s">
        <v>12493</v>
      </c>
      <c r="RCC1" s="15" t="s">
        <v>12494</v>
      </c>
      <c r="RCD1" s="15" t="s">
        <v>12495</v>
      </c>
      <c r="RCE1" s="15" t="s">
        <v>12496</v>
      </c>
      <c r="RCF1" s="15" t="s">
        <v>12497</v>
      </c>
      <c r="RCG1" s="15" t="s">
        <v>12498</v>
      </c>
      <c r="RCH1" s="15" t="s">
        <v>12499</v>
      </c>
      <c r="RCI1" s="15" t="s">
        <v>12500</v>
      </c>
      <c r="RCJ1" s="15" t="s">
        <v>12501</v>
      </c>
      <c r="RCK1" s="15" t="s">
        <v>12502</v>
      </c>
      <c r="RCL1" s="15" t="s">
        <v>12503</v>
      </c>
      <c r="RCM1" s="15" t="s">
        <v>12504</v>
      </c>
      <c r="RCN1" s="15" t="s">
        <v>12505</v>
      </c>
      <c r="RCO1" s="15" t="s">
        <v>12506</v>
      </c>
      <c r="RCP1" s="15" t="s">
        <v>12507</v>
      </c>
      <c r="RCQ1" s="15" t="s">
        <v>12508</v>
      </c>
      <c r="RCR1" s="15" t="s">
        <v>12509</v>
      </c>
      <c r="RCS1" s="15" t="s">
        <v>12510</v>
      </c>
      <c r="RCT1" s="15" t="s">
        <v>12511</v>
      </c>
      <c r="RCU1" s="15" t="s">
        <v>12512</v>
      </c>
      <c r="RCV1" s="15" t="s">
        <v>12513</v>
      </c>
      <c r="RCW1" s="15" t="s">
        <v>12514</v>
      </c>
      <c r="RCX1" s="15" t="s">
        <v>12515</v>
      </c>
      <c r="RCY1" s="15" t="s">
        <v>12516</v>
      </c>
      <c r="RCZ1" s="15" t="s">
        <v>12517</v>
      </c>
      <c r="RDA1" s="15" t="s">
        <v>12518</v>
      </c>
      <c r="RDB1" s="15" t="s">
        <v>12519</v>
      </c>
      <c r="RDC1" s="15" t="s">
        <v>12520</v>
      </c>
      <c r="RDD1" s="15" t="s">
        <v>12521</v>
      </c>
      <c r="RDE1" s="15" t="s">
        <v>12522</v>
      </c>
      <c r="RDF1" s="15" t="s">
        <v>12523</v>
      </c>
      <c r="RDG1" s="15" t="s">
        <v>12524</v>
      </c>
      <c r="RDH1" s="15" t="s">
        <v>12525</v>
      </c>
      <c r="RDI1" s="15" t="s">
        <v>12526</v>
      </c>
      <c r="RDJ1" s="15" t="s">
        <v>12527</v>
      </c>
      <c r="RDK1" s="15" t="s">
        <v>12528</v>
      </c>
      <c r="RDL1" s="15" t="s">
        <v>12529</v>
      </c>
      <c r="RDM1" s="15" t="s">
        <v>12530</v>
      </c>
      <c r="RDN1" s="15" t="s">
        <v>12531</v>
      </c>
      <c r="RDO1" s="15" t="s">
        <v>12532</v>
      </c>
      <c r="RDP1" s="15" t="s">
        <v>12533</v>
      </c>
      <c r="RDQ1" s="15" t="s">
        <v>12534</v>
      </c>
      <c r="RDR1" s="15" t="s">
        <v>12535</v>
      </c>
      <c r="RDS1" s="15" t="s">
        <v>12536</v>
      </c>
      <c r="RDT1" s="15" t="s">
        <v>12537</v>
      </c>
      <c r="RDU1" s="15" t="s">
        <v>12538</v>
      </c>
      <c r="RDV1" s="15" t="s">
        <v>12539</v>
      </c>
      <c r="RDW1" s="15" t="s">
        <v>12540</v>
      </c>
      <c r="RDX1" s="15" t="s">
        <v>12541</v>
      </c>
      <c r="RDY1" s="15" t="s">
        <v>12542</v>
      </c>
      <c r="RDZ1" s="15" t="s">
        <v>12543</v>
      </c>
      <c r="REA1" s="15" t="s">
        <v>12544</v>
      </c>
      <c r="REB1" s="15" t="s">
        <v>12545</v>
      </c>
      <c r="REC1" s="15" t="s">
        <v>12546</v>
      </c>
      <c r="RED1" s="15" t="s">
        <v>12547</v>
      </c>
      <c r="REE1" s="15" t="s">
        <v>12548</v>
      </c>
      <c r="REF1" s="15" t="s">
        <v>12549</v>
      </c>
      <c r="REG1" s="15" t="s">
        <v>12550</v>
      </c>
      <c r="REH1" s="15" t="s">
        <v>12551</v>
      </c>
      <c r="REI1" s="15" t="s">
        <v>12552</v>
      </c>
      <c r="REJ1" s="15" t="s">
        <v>12553</v>
      </c>
      <c r="REK1" s="15" t="s">
        <v>12554</v>
      </c>
      <c r="REL1" s="15" t="s">
        <v>12555</v>
      </c>
      <c r="REM1" s="15" t="s">
        <v>12556</v>
      </c>
      <c r="REN1" s="15" t="s">
        <v>12557</v>
      </c>
      <c r="REO1" s="15" t="s">
        <v>12558</v>
      </c>
      <c r="REP1" s="15" t="s">
        <v>12559</v>
      </c>
      <c r="REQ1" s="15" t="s">
        <v>12560</v>
      </c>
      <c r="RER1" s="15" t="s">
        <v>12561</v>
      </c>
      <c r="RES1" s="15" t="s">
        <v>12562</v>
      </c>
      <c r="RET1" s="15" t="s">
        <v>12563</v>
      </c>
      <c r="REU1" s="15" t="s">
        <v>12564</v>
      </c>
      <c r="REV1" s="15" t="s">
        <v>12565</v>
      </c>
      <c r="REW1" s="15" t="s">
        <v>12566</v>
      </c>
      <c r="REX1" s="15" t="s">
        <v>12567</v>
      </c>
      <c r="REY1" s="15" t="s">
        <v>12568</v>
      </c>
      <c r="REZ1" s="15" t="s">
        <v>12569</v>
      </c>
      <c r="RFA1" s="15" t="s">
        <v>12570</v>
      </c>
      <c r="RFB1" s="15" t="s">
        <v>12571</v>
      </c>
      <c r="RFC1" s="15" t="s">
        <v>12572</v>
      </c>
      <c r="RFD1" s="15" t="s">
        <v>12573</v>
      </c>
      <c r="RFE1" s="15" t="s">
        <v>12574</v>
      </c>
      <c r="RFF1" s="15" t="s">
        <v>12575</v>
      </c>
      <c r="RFG1" s="15" t="s">
        <v>12576</v>
      </c>
      <c r="RFH1" s="15" t="s">
        <v>12577</v>
      </c>
      <c r="RFI1" s="15" t="s">
        <v>12578</v>
      </c>
      <c r="RFJ1" s="15" t="s">
        <v>12579</v>
      </c>
      <c r="RFK1" s="15" t="s">
        <v>12580</v>
      </c>
      <c r="RFL1" s="15" t="s">
        <v>12581</v>
      </c>
      <c r="RFM1" s="15" t="s">
        <v>12582</v>
      </c>
      <c r="RFN1" s="15" t="s">
        <v>12583</v>
      </c>
      <c r="RFO1" s="15" t="s">
        <v>12584</v>
      </c>
      <c r="RFP1" s="15" t="s">
        <v>12585</v>
      </c>
      <c r="RFQ1" s="15" t="s">
        <v>12586</v>
      </c>
      <c r="RFR1" s="15" t="s">
        <v>12587</v>
      </c>
      <c r="RFS1" s="15" t="s">
        <v>12588</v>
      </c>
      <c r="RFT1" s="15" t="s">
        <v>12589</v>
      </c>
      <c r="RFU1" s="15" t="s">
        <v>12590</v>
      </c>
      <c r="RFV1" s="15" t="s">
        <v>12591</v>
      </c>
      <c r="RFW1" s="15" t="s">
        <v>12592</v>
      </c>
      <c r="RFX1" s="15" t="s">
        <v>12593</v>
      </c>
      <c r="RFY1" s="15" t="s">
        <v>12594</v>
      </c>
      <c r="RFZ1" s="15" t="s">
        <v>12595</v>
      </c>
      <c r="RGA1" s="15" t="s">
        <v>12596</v>
      </c>
      <c r="RGB1" s="15" t="s">
        <v>12597</v>
      </c>
      <c r="RGC1" s="15" t="s">
        <v>12598</v>
      </c>
      <c r="RGD1" s="15" t="s">
        <v>12599</v>
      </c>
      <c r="RGE1" s="15" t="s">
        <v>12600</v>
      </c>
      <c r="RGF1" s="15" t="s">
        <v>12601</v>
      </c>
      <c r="RGG1" s="15" t="s">
        <v>12602</v>
      </c>
      <c r="RGH1" s="15" t="s">
        <v>12603</v>
      </c>
      <c r="RGI1" s="15" t="s">
        <v>12604</v>
      </c>
      <c r="RGJ1" s="15" t="s">
        <v>12605</v>
      </c>
      <c r="RGK1" s="15" t="s">
        <v>12606</v>
      </c>
      <c r="RGL1" s="15" t="s">
        <v>12607</v>
      </c>
      <c r="RGM1" s="15" t="s">
        <v>12608</v>
      </c>
      <c r="RGN1" s="15" t="s">
        <v>12609</v>
      </c>
      <c r="RGO1" s="15" t="s">
        <v>12610</v>
      </c>
      <c r="RGP1" s="15" t="s">
        <v>12611</v>
      </c>
      <c r="RGQ1" s="15" t="s">
        <v>12612</v>
      </c>
      <c r="RGR1" s="15" t="s">
        <v>12613</v>
      </c>
      <c r="RGS1" s="15" t="s">
        <v>12614</v>
      </c>
      <c r="RGT1" s="15" t="s">
        <v>12615</v>
      </c>
      <c r="RGU1" s="15" t="s">
        <v>12616</v>
      </c>
      <c r="RGV1" s="15" t="s">
        <v>12617</v>
      </c>
      <c r="RGW1" s="15" t="s">
        <v>12618</v>
      </c>
      <c r="RGX1" s="15" t="s">
        <v>12619</v>
      </c>
      <c r="RGY1" s="15" t="s">
        <v>12620</v>
      </c>
      <c r="RGZ1" s="15" t="s">
        <v>12621</v>
      </c>
      <c r="RHA1" s="15" t="s">
        <v>12622</v>
      </c>
      <c r="RHB1" s="15" t="s">
        <v>12623</v>
      </c>
      <c r="RHC1" s="15" t="s">
        <v>12624</v>
      </c>
      <c r="RHD1" s="15" t="s">
        <v>12625</v>
      </c>
      <c r="RHE1" s="15" t="s">
        <v>12626</v>
      </c>
      <c r="RHF1" s="15" t="s">
        <v>12627</v>
      </c>
      <c r="RHG1" s="15" t="s">
        <v>12628</v>
      </c>
      <c r="RHH1" s="15" t="s">
        <v>12629</v>
      </c>
      <c r="RHI1" s="15" t="s">
        <v>12630</v>
      </c>
      <c r="RHJ1" s="15" t="s">
        <v>12631</v>
      </c>
      <c r="RHK1" s="15" t="s">
        <v>12632</v>
      </c>
      <c r="RHL1" s="15" t="s">
        <v>12633</v>
      </c>
      <c r="RHM1" s="15" t="s">
        <v>12634</v>
      </c>
      <c r="RHN1" s="15" t="s">
        <v>12635</v>
      </c>
      <c r="RHO1" s="15" t="s">
        <v>12636</v>
      </c>
      <c r="RHP1" s="15" t="s">
        <v>12637</v>
      </c>
      <c r="RHQ1" s="15" t="s">
        <v>12638</v>
      </c>
      <c r="RHR1" s="15" t="s">
        <v>12639</v>
      </c>
      <c r="RHS1" s="15" t="s">
        <v>12640</v>
      </c>
      <c r="RHT1" s="15" t="s">
        <v>12641</v>
      </c>
      <c r="RHU1" s="15" t="s">
        <v>12642</v>
      </c>
      <c r="RHV1" s="15" t="s">
        <v>12643</v>
      </c>
      <c r="RHW1" s="15" t="s">
        <v>12644</v>
      </c>
      <c r="RHX1" s="15" t="s">
        <v>12645</v>
      </c>
      <c r="RHY1" s="15" t="s">
        <v>12646</v>
      </c>
      <c r="RHZ1" s="15" t="s">
        <v>12647</v>
      </c>
      <c r="RIA1" s="15" t="s">
        <v>12648</v>
      </c>
      <c r="RIB1" s="15" t="s">
        <v>12649</v>
      </c>
      <c r="RIC1" s="15" t="s">
        <v>12650</v>
      </c>
      <c r="RID1" s="15" t="s">
        <v>12651</v>
      </c>
      <c r="RIE1" s="15" t="s">
        <v>12652</v>
      </c>
      <c r="RIF1" s="15" t="s">
        <v>12653</v>
      </c>
      <c r="RIG1" s="15" t="s">
        <v>12654</v>
      </c>
      <c r="RIH1" s="15" t="s">
        <v>12655</v>
      </c>
      <c r="RII1" s="15" t="s">
        <v>12656</v>
      </c>
      <c r="RIJ1" s="15" t="s">
        <v>12657</v>
      </c>
      <c r="RIK1" s="15" t="s">
        <v>12658</v>
      </c>
      <c r="RIL1" s="15" t="s">
        <v>12659</v>
      </c>
      <c r="RIM1" s="15" t="s">
        <v>12660</v>
      </c>
      <c r="RIN1" s="15" t="s">
        <v>12661</v>
      </c>
      <c r="RIO1" s="15" t="s">
        <v>12662</v>
      </c>
      <c r="RIP1" s="15" t="s">
        <v>12663</v>
      </c>
      <c r="RIQ1" s="15" t="s">
        <v>12664</v>
      </c>
      <c r="RIR1" s="15" t="s">
        <v>12665</v>
      </c>
      <c r="RIS1" s="15" t="s">
        <v>12666</v>
      </c>
      <c r="RIT1" s="15" t="s">
        <v>12667</v>
      </c>
      <c r="RIU1" s="15" t="s">
        <v>12668</v>
      </c>
      <c r="RIV1" s="15" t="s">
        <v>12669</v>
      </c>
      <c r="RIW1" s="15" t="s">
        <v>12670</v>
      </c>
      <c r="RIX1" s="15" t="s">
        <v>12671</v>
      </c>
      <c r="RIY1" s="15" t="s">
        <v>12672</v>
      </c>
      <c r="RIZ1" s="15" t="s">
        <v>12673</v>
      </c>
      <c r="RJA1" s="15" t="s">
        <v>12674</v>
      </c>
      <c r="RJB1" s="15" t="s">
        <v>12675</v>
      </c>
      <c r="RJC1" s="15" t="s">
        <v>12676</v>
      </c>
      <c r="RJD1" s="15" t="s">
        <v>12677</v>
      </c>
      <c r="RJE1" s="15" t="s">
        <v>12678</v>
      </c>
      <c r="RJF1" s="15" t="s">
        <v>12679</v>
      </c>
      <c r="RJG1" s="15" t="s">
        <v>12680</v>
      </c>
      <c r="RJH1" s="15" t="s">
        <v>12681</v>
      </c>
      <c r="RJI1" s="15" t="s">
        <v>12682</v>
      </c>
      <c r="RJJ1" s="15" t="s">
        <v>12683</v>
      </c>
      <c r="RJK1" s="15" t="s">
        <v>12684</v>
      </c>
      <c r="RJL1" s="15" t="s">
        <v>12685</v>
      </c>
      <c r="RJM1" s="15" t="s">
        <v>12686</v>
      </c>
      <c r="RJN1" s="15" t="s">
        <v>12687</v>
      </c>
      <c r="RJO1" s="15" t="s">
        <v>12688</v>
      </c>
      <c r="RJP1" s="15" t="s">
        <v>12689</v>
      </c>
      <c r="RJQ1" s="15" t="s">
        <v>12690</v>
      </c>
      <c r="RJR1" s="15" t="s">
        <v>12691</v>
      </c>
      <c r="RJS1" s="15" t="s">
        <v>12692</v>
      </c>
      <c r="RJT1" s="15" t="s">
        <v>12693</v>
      </c>
      <c r="RJU1" s="15" t="s">
        <v>12694</v>
      </c>
      <c r="RJV1" s="15" t="s">
        <v>12695</v>
      </c>
      <c r="RJW1" s="15" t="s">
        <v>12696</v>
      </c>
      <c r="RJX1" s="15" t="s">
        <v>12697</v>
      </c>
      <c r="RJY1" s="15" t="s">
        <v>12698</v>
      </c>
      <c r="RJZ1" s="15" t="s">
        <v>12699</v>
      </c>
      <c r="RKA1" s="15" t="s">
        <v>12700</v>
      </c>
      <c r="RKB1" s="15" t="s">
        <v>12701</v>
      </c>
      <c r="RKC1" s="15" t="s">
        <v>12702</v>
      </c>
      <c r="RKD1" s="15" t="s">
        <v>12703</v>
      </c>
      <c r="RKE1" s="15" t="s">
        <v>12704</v>
      </c>
      <c r="RKF1" s="15" t="s">
        <v>12705</v>
      </c>
      <c r="RKG1" s="15" t="s">
        <v>12706</v>
      </c>
      <c r="RKH1" s="15" t="s">
        <v>12707</v>
      </c>
      <c r="RKI1" s="15" t="s">
        <v>12708</v>
      </c>
      <c r="RKJ1" s="15" t="s">
        <v>12709</v>
      </c>
      <c r="RKK1" s="15" t="s">
        <v>12710</v>
      </c>
      <c r="RKL1" s="15" t="s">
        <v>12711</v>
      </c>
      <c r="RKM1" s="15" t="s">
        <v>12712</v>
      </c>
      <c r="RKN1" s="15" t="s">
        <v>12713</v>
      </c>
      <c r="RKO1" s="15" t="s">
        <v>12714</v>
      </c>
      <c r="RKP1" s="15" t="s">
        <v>12715</v>
      </c>
      <c r="RKQ1" s="15" t="s">
        <v>12716</v>
      </c>
      <c r="RKR1" s="15" t="s">
        <v>12717</v>
      </c>
      <c r="RKS1" s="15" t="s">
        <v>12718</v>
      </c>
      <c r="RKT1" s="15" t="s">
        <v>12719</v>
      </c>
      <c r="RKU1" s="15" t="s">
        <v>12720</v>
      </c>
      <c r="RKV1" s="15" t="s">
        <v>12721</v>
      </c>
      <c r="RKW1" s="15" t="s">
        <v>12722</v>
      </c>
      <c r="RKX1" s="15" t="s">
        <v>12723</v>
      </c>
      <c r="RKY1" s="15" t="s">
        <v>12724</v>
      </c>
      <c r="RKZ1" s="15" t="s">
        <v>12725</v>
      </c>
      <c r="RLA1" s="15" t="s">
        <v>12726</v>
      </c>
      <c r="RLB1" s="15" t="s">
        <v>12727</v>
      </c>
      <c r="RLC1" s="15" t="s">
        <v>12728</v>
      </c>
      <c r="RLD1" s="15" t="s">
        <v>12729</v>
      </c>
      <c r="RLE1" s="15" t="s">
        <v>12730</v>
      </c>
      <c r="RLF1" s="15" t="s">
        <v>12731</v>
      </c>
      <c r="RLG1" s="15" t="s">
        <v>12732</v>
      </c>
      <c r="RLH1" s="15" t="s">
        <v>12733</v>
      </c>
      <c r="RLI1" s="15" t="s">
        <v>12734</v>
      </c>
      <c r="RLJ1" s="15" t="s">
        <v>12735</v>
      </c>
      <c r="RLK1" s="15" t="s">
        <v>12736</v>
      </c>
      <c r="RLL1" s="15" t="s">
        <v>12737</v>
      </c>
      <c r="RLM1" s="15" t="s">
        <v>12738</v>
      </c>
      <c r="RLN1" s="15" t="s">
        <v>12739</v>
      </c>
      <c r="RLO1" s="15" t="s">
        <v>12740</v>
      </c>
      <c r="RLP1" s="15" t="s">
        <v>12741</v>
      </c>
      <c r="RLQ1" s="15" t="s">
        <v>12742</v>
      </c>
      <c r="RLR1" s="15" t="s">
        <v>12743</v>
      </c>
      <c r="RLS1" s="15" t="s">
        <v>12744</v>
      </c>
      <c r="RLT1" s="15" t="s">
        <v>12745</v>
      </c>
      <c r="RLU1" s="15" t="s">
        <v>12746</v>
      </c>
      <c r="RLV1" s="15" t="s">
        <v>12747</v>
      </c>
      <c r="RLW1" s="15" t="s">
        <v>12748</v>
      </c>
      <c r="RLX1" s="15" t="s">
        <v>12749</v>
      </c>
      <c r="RLY1" s="15" t="s">
        <v>12750</v>
      </c>
      <c r="RLZ1" s="15" t="s">
        <v>12751</v>
      </c>
      <c r="RMA1" s="15" t="s">
        <v>12752</v>
      </c>
      <c r="RMB1" s="15" t="s">
        <v>12753</v>
      </c>
      <c r="RMC1" s="15" t="s">
        <v>12754</v>
      </c>
      <c r="RMD1" s="15" t="s">
        <v>12755</v>
      </c>
      <c r="RME1" s="15" t="s">
        <v>12756</v>
      </c>
      <c r="RMF1" s="15" t="s">
        <v>12757</v>
      </c>
      <c r="RMG1" s="15" t="s">
        <v>12758</v>
      </c>
      <c r="RMH1" s="15" t="s">
        <v>12759</v>
      </c>
      <c r="RMI1" s="15" t="s">
        <v>12760</v>
      </c>
      <c r="RMJ1" s="15" t="s">
        <v>12761</v>
      </c>
      <c r="RMK1" s="15" t="s">
        <v>12762</v>
      </c>
      <c r="RML1" s="15" t="s">
        <v>12763</v>
      </c>
      <c r="RMM1" s="15" t="s">
        <v>12764</v>
      </c>
      <c r="RMN1" s="15" t="s">
        <v>12765</v>
      </c>
      <c r="RMO1" s="15" t="s">
        <v>12766</v>
      </c>
      <c r="RMP1" s="15" t="s">
        <v>12767</v>
      </c>
      <c r="RMQ1" s="15" t="s">
        <v>12768</v>
      </c>
      <c r="RMR1" s="15" t="s">
        <v>12769</v>
      </c>
      <c r="RMS1" s="15" t="s">
        <v>12770</v>
      </c>
      <c r="RMT1" s="15" t="s">
        <v>12771</v>
      </c>
      <c r="RMU1" s="15" t="s">
        <v>12772</v>
      </c>
      <c r="RMV1" s="15" t="s">
        <v>12773</v>
      </c>
      <c r="RMW1" s="15" t="s">
        <v>12774</v>
      </c>
      <c r="RMX1" s="15" t="s">
        <v>12775</v>
      </c>
      <c r="RMY1" s="15" t="s">
        <v>12776</v>
      </c>
      <c r="RMZ1" s="15" t="s">
        <v>12777</v>
      </c>
      <c r="RNA1" s="15" t="s">
        <v>12778</v>
      </c>
      <c r="RNB1" s="15" t="s">
        <v>12779</v>
      </c>
      <c r="RNC1" s="15" t="s">
        <v>12780</v>
      </c>
      <c r="RND1" s="15" t="s">
        <v>12781</v>
      </c>
      <c r="RNE1" s="15" t="s">
        <v>12782</v>
      </c>
      <c r="RNF1" s="15" t="s">
        <v>12783</v>
      </c>
      <c r="RNG1" s="15" t="s">
        <v>12784</v>
      </c>
      <c r="RNH1" s="15" t="s">
        <v>12785</v>
      </c>
      <c r="RNI1" s="15" t="s">
        <v>12786</v>
      </c>
      <c r="RNJ1" s="15" t="s">
        <v>12787</v>
      </c>
      <c r="RNK1" s="15" t="s">
        <v>12788</v>
      </c>
      <c r="RNL1" s="15" t="s">
        <v>12789</v>
      </c>
      <c r="RNM1" s="15" t="s">
        <v>12790</v>
      </c>
      <c r="RNN1" s="15" t="s">
        <v>12791</v>
      </c>
      <c r="RNO1" s="15" t="s">
        <v>12792</v>
      </c>
      <c r="RNP1" s="15" t="s">
        <v>12793</v>
      </c>
      <c r="RNQ1" s="15" t="s">
        <v>12794</v>
      </c>
      <c r="RNR1" s="15" t="s">
        <v>12795</v>
      </c>
      <c r="RNS1" s="15" t="s">
        <v>12796</v>
      </c>
      <c r="RNT1" s="15" t="s">
        <v>12797</v>
      </c>
      <c r="RNU1" s="15" t="s">
        <v>12798</v>
      </c>
      <c r="RNV1" s="15" t="s">
        <v>12799</v>
      </c>
      <c r="RNW1" s="15" t="s">
        <v>12800</v>
      </c>
      <c r="RNX1" s="15" t="s">
        <v>12801</v>
      </c>
      <c r="RNY1" s="15" t="s">
        <v>12802</v>
      </c>
      <c r="RNZ1" s="15" t="s">
        <v>12803</v>
      </c>
      <c r="ROA1" s="15" t="s">
        <v>12804</v>
      </c>
      <c r="ROB1" s="15" t="s">
        <v>12805</v>
      </c>
      <c r="ROC1" s="15" t="s">
        <v>12806</v>
      </c>
      <c r="ROD1" s="15" t="s">
        <v>12807</v>
      </c>
      <c r="ROE1" s="15" t="s">
        <v>12808</v>
      </c>
      <c r="ROF1" s="15" t="s">
        <v>12809</v>
      </c>
      <c r="ROG1" s="15" t="s">
        <v>12810</v>
      </c>
      <c r="ROH1" s="15" t="s">
        <v>12811</v>
      </c>
      <c r="ROI1" s="15" t="s">
        <v>12812</v>
      </c>
      <c r="ROJ1" s="15" t="s">
        <v>12813</v>
      </c>
      <c r="ROK1" s="15" t="s">
        <v>12814</v>
      </c>
      <c r="ROL1" s="15" t="s">
        <v>12815</v>
      </c>
      <c r="ROM1" s="15" t="s">
        <v>12816</v>
      </c>
      <c r="RON1" s="15" t="s">
        <v>12817</v>
      </c>
      <c r="ROO1" s="15" t="s">
        <v>12818</v>
      </c>
      <c r="ROP1" s="15" t="s">
        <v>12819</v>
      </c>
      <c r="ROQ1" s="15" t="s">
        <v>12820</v>
      </c>
      <c r="ROR1" s="15" t="s">
        <v>12821</v>
      </c>
      <c r="ROS1" s="15" t="s">
        <v>12822</v>
      </c>
      <c r="ROT1" s="15" t="s">
        <v>12823</v>
      </c>
      <c r="ROU1" s="15" t="s">
        <v>12824</v>
      </c>
      <c r="ROV1" s="15" t="s">
        <v>12825</v>
      </c>
      <c r="ROW1" s="15" t="s">
        <v>12826</v>
      </c>
      <c r="ROX1" s="15" t="s">
        <v>12827</v>
      </c>
      <c r="ROY1" s="15" t="s">
        <v>12828</v>
      </c>
      <c r="ROZ1" s="15" t="s">
        <v>12829</v>
      </c>
      <c r="RPA1" s="15" t="s">
        <v>12830</v>
      </c>
      <c r="RPB1" s="15" t="s">
        <v>12831</v>
      </c>
      <c r="RPC1" s="15" t="s">
        <v>12832</v>
      </c>
      <c r="RPD1" s="15" t="s">
        <v>12833</v>
      </c>
      <c r="RPE1" s="15" t="s">
        <v>12834</v>
      </c>
      <c r="RPF1" s="15" t="s">
        <v>12835</v>
      </c>
      <c r="RPG1" s="15" t="s">
        <v>12836</v>
      </c>
      <c r="RPH1" s="15" t="s">
        <v>12837</v>
      </c>
      <c r="RPI1" s="15" t="s">
        <v>12838</v>
      </c>
      <c r="RPJ1" s="15" t="s">
        <v>12839</v>
      </c>
      <c r="RPK1" s="15" t="s">
        <v>12840</v>
      </c>
      <c r="RPL1" s="15" t="s">
        <v>12841</v>
      </c>
      <c r="RPM1" s="15" t="s">
        <v>12842</v>
      </c>
      <c r="RPN1" s="15" t="s">
        <v>12843</v>
      </c>
      <c r="RPO1" s="15" t="s">
        <v>12844</v>
      </c>
      <c r="RPP1" s="15" t="s">
        <v>12845</v>
      </c>
      <c r="RPQ1" s="15" t="s">
        <v>12846</v>
      </c>
      <c r="RPR1" s="15" t="s">
        <v>12847</v>
      </c>
      <c r="RPS1" s="15" t="s">
        <v>12848</v>
      </c>
      <c r="RPT1" s="15" t="s">
        <v>12849</v>
      </c>
      <c r="RPU1" s="15" t="s">
        <v>12850</v>
      </c>
      <c r="RPV1" s="15" t="s">
        <v>12851</v>
      </c>
      <c r="RPW1" s="15" t="s">
        <v>12852</v>
      </c>
      <c r="RPX1" s="15" t="s">
        <v>12853</v>
      </c>
      <c r="RPY1" s="15" t="s">
        <v>12854</v>
      </c>
      <c r="RPZ1" s="15" t="s">
        <v>12855</v>
      </c>
      <c r="RQA1" s="15" t="s">
        <v>12856</v>
      </c>
      <c r="RQB1" s="15" t="s">
        <v>12857</v>
      </c>
      <c r="RQC1" s="15" t="s">
        <v>12858</v>
      </c>
      <c r="RQD1" s="15" t="s">
        <v>12859</v>
      </c>
      <c r="RQE1" s="15" t="s">
        <v>12860</v>
      </c>
      <c r="RQF1" s="15" t="s">
        <v>12861</v>
      </c>
      <c r="RQG1" s="15" t="s">
        <v>12862</v>
      </c>
      <c r="RQH1" s="15" t="s">
        <v>12863</v>
      </c>
      <c r="RQI1" s="15" t="s">
        <v>12864</v>
      </c>
      <c r="RQJ1" s="15" t="s">
        <v>12865</v>
      </c>
      <c r="RQK1" s="15" t="s">
        <v>12866</v>
      </c>
      <c r="RQL1" s="15" t="s">
        <v>12867</v>
      </c>
      <c r="RQM1" s="15" t="s">
        <v>12868</v>
      </c>
      <c r="RQN1" s="15" t="s">
        <v>12869</v>
      </c>
      <c r="RQO1" s="15" t="s">
        <v>12870</v>
      </c>
      <c r="RQP1" s="15" t="s">
        <v>12871</v>
      </c>
      <c r="RQQ1" s="15" t="s">
        <v>12872</v>
      </c>
      <c r="RQR1" s="15" t="s">
        <v>12873</v>
      </c>
      <c r="RQS1" s="15" t="s">
        <v>12874</v>
      </c>
      <c r="RQT1" s="15" t="s">
        <v>12875</v>
      </c>
      <c r="RQU1" s="15" t="s">
        <v>12876</v>
      </c>
      <c r="RQV1" s="15" t="s">
        <v>12877</v>
      </c>
      <c r="RQW1" s="15" t="s">
        <v>12878</v>
      </c>
      <c r="RQX1" s="15" t="s">
        <v>12879</v>
      </c>
      <c r="RQY1" s="15" t="s">
        <v>12880</v>
      </c>
      <c r="RQZ1" s="15" t="s">
        <v>12881</v>
      </c>
      <c r="RRA1" s="15" t="s">
        <v>12882</v>
      </c>
      <c r="RRB1" s="15" t="s">
        <v>12883</v>
      </c>
      <c r="RRC1" s="15" t="s">
        <v>12884</v>
      </c>
      <c r="RRD1" s="15" t="s">
        <v>12885</v>
      </c>
      <c r="RRE1" s="15" t="s">
        <v>12886</v>
      </c>
      <c r="RRF1" s="15" t="s">
        <v>12887</v>
      </c>
      <c r="RRG1" s="15" t="s">
        <v>12888</v>
      </c>
      <c r="RRH1" s="15" t="s">
        <v>12889</v>
      </c>
      <c r="RRI1" s="15" t="s">
        <v>12890</v>
      </c>
      <c r="RRJ1" s="15" t="s">
        <v>12891</v>
      </c>
      <c r="RRK1" s="15" t="s">
        <v>12892</v>
      </c>
      <c r="RRL1" s="15" t="s">
        <v>12893</v>
      </c>
      <c r="RRM1" s="15" t="s">
        <v>12894</v>
      </c>
      <c r="RRN1" s="15" t="s">
        <v>12895</v>
      </c>
      <c r="RRO1" s="15" t="s">
        <v>12896</v>
      </c>
      <c r="RRP1" s="15" t="s">
        <v>12897</v>
      </c>
      <c r="RRQ1" s="15" t="s">
        <v>12898</v>
      </c>
      <c r="RRR1" s="15" t="s">
        <v>12899</v>
      </c>
      <c r="RRS1" s="15" t="s">
        <v>12900</v>
      </c>
      <c r="RRT1" s="15" t="s">
        <v>12901</v>
      </c>
      <c r="RRU1" s="15" t="s">
        <v>12902</v>
      </c>
      <c r="RRV1" s="15" t="s">
        <v>12903</v>
      </c>
      <c r="RRW1" s="15" t="s">
        <v>12904</v>
      </c>
      <c r="RRX1" s="15" t="s">
        <v>12905</v>
      </c>
      <c r="RRY1" s="15" t="s">
        <v>12906</v>
      </c>
      <c r="RRZ1" s="15" t="s">
        <v>12907</v>
      </c>
      <c r="RSA1" s="15" t="s">
        <v>12908</v>
      </c>
      <c r="RSB1" s="15" t="s">
        <v>12909</v>
      </c>
      <c r="RSC1" s="15" t="s">
        <v>12910</v>
      </c>
      <c r="RSD1" s="15" t="s">
        <v>12911</v>
      </c>
      <c r="RSE1" s="15" t="s">
        <v>12912</v>
      </c>
      <c r="RSF1" s="15" t="s">
        <v>12913</v>
      </c>
      <c r="RSG1" s="15" t="s">
        <v>12914</v>
      </c>
      <c r="RSH1" s="15" t="s">
        <v>12915</v>
      </c>
      <c r="RSI1" s="15" t="s">
        <v>12916</v>
      </c>
      <c r="RSJ1" s="15" t="s">
        <v>12917</v>
      </c>
      <c r="RSK1" s="15" t="s">
        <v>12918</v>
      </c>
      <c r="RSL1" s="15" t="s">
        <v>12919</v>
      </c>
      <c r="RSM1" s="15" t="s">
        <v>12920</v>
      </c>
      <c r="RSN1" s="15" t="s">
        <v>12921</v>
      </c>
      <c r="RSO1" s="15" t="s">
        <v>12922</v>
      </c>
      <c r="RSP1" s="15" t="s">
        <v>12923</v>
      </c>
      <c r="RSQ1" s="15" t="s">
        <v>12924</v>
      </c>
      <c r="RSR1" s="15" t="s">
        <v>12925</v>
      </c>
      <c r="RSS1" s="15" t="s">
        <v>12926</v>
      </c>
      <c r="RST1" s="15" t="s">
        <v>12927</v>
      </c>
      <c r="RSU1" s="15" t="s">
        <v>12928</v>
      </c>
      <c r="RSV1" s="15" t="s">
        <v>12929</v>
      </c>
      <c r="RSW1" s="15" t="s">
        <v>12930</v>
      </c>
      <c r="RSX1" s="15" t="s">
        <v>12931</v>
      </c>
      <c r="RSY1" s="15" t="s">
        <v>12932</v>
      </c>
      <c r="RSZ1" s="15" t="s">
        <v>12933</v>
      </c>
      <c r="RTA1" s="15" t="s">
        <v>12934</v>
      </c>
      <c r="RTB1" s="15" t="s">
        <v>12935</v>
      </c>
      <c r="RTC1" s="15" t="s">
        <v>12936</v>
      </c>
      <c r="RTD1" s="15" t="s">
        <v>12937</v>
      </c>
      <c r="RTE1" s="15" t="s">
        <v>12938</v>
      </c>
      <c r="RTF1" s="15" t="s">
        <v>12939</v>
      </c>
      <c r="RTG1" s="15" t="s">
        <v>12940</v>
      </c>
      <c r="RTH1" s="15" t="s">
        <v>12941</v>
      </c>
      <c r="RTI1" s="15" t="s">
        <v>12942</v>
      </c>
      <c r="RTJ1" s="15" t="s">
        <v>12943</v>
      </c>
      <c r="RTK1" s="15" t="s">
        <v>12944</v>
      </c>
      <c r="RTL1" s="15" t="s">
        <v>12945</v>
      </c>
      <c r="RTM1" s="15" t="s">
        <v>12946</v>
      </c>
      <c r="RTN1" s="15" t="s">
        <v>12947</v>
      </c>
      <c r="RTO1" s="15" t="s">
        <v>12948</v>
      </c>
      <c r="RTP1" s="15" t="s">
        <v>12949</v>
      </c>
      <c r="RTQ1" s="15" t="s">
        <v>12950</v>
      </c>
      <c r="RTR1" s="15" t="s">
        <v>12951</v>
      </c>
      <c r="RTS1" s="15" t="s">
        <v>12952</v>
      </c>
      <c r="RTT1" s="15" t="s">
        <v>12953</v>
      </c>
      <c r="RTU1" s="15" t="s">
        <v>12954</v>
      </c>
      <c r="RTV1" s="15" t="s">
        <v>12955</v>
      </c>
      <c r="RTW1" s="15" t="s">
        <v>12956</v>
      </c>
      <c r="RTX1" s="15" t="s">
        <v>12957</v>
      </c>
      <c r="RTY1" s="15" t="s">
        <v>12958</v>
      </c>
      <c r="RTZ1" s="15" t="s">
        <v>12959</v>
      </c>
      <c r="RUA1" s="15" t="s">
        <v>12960</v>
      </c>
      <c r="RUB1" s="15" t="s">
        <v>12961</v>
      </c>
      <c r="RUC1" s="15" t="s">
        <v>12962</v>
      </c>
      <c r="RUD1" s="15" t="s">
        <v>12963</v>
      </c>
      <c r="RUE1" s="15" t="s">
        <v>12964</v>
      </c>
      <c r="RUF1" s="15" t="s">
        <v>12965</v>
      </c>
      <c r="RUG1" s="15" t="s">
        <v>12966</v>
      </c>
      <c r="RUH1" s="15" t="s">
        <v>12967</v>
      </c>
      <c r="RUI1" s="15" t="s">
        <v>12968</v>
      </c>
      <c r="RUJ1" s="15" t="s">
        <v>12969</v>
      </c>
      <c r="RUK1" s="15" t="s">
        <v>12970</v>
      </c>
      <c r="RUL1" s="15" t="s">
        <v>12971</v>
      </c>
      <c r="RUM1" s="15" t="s">
        <v>12972</v>
      </c>
      <c r="RUN1" s="15" t="s">
        <v>12973</v>
      </c>
      <c r="RUO1" s="15" t="s">
        <v>12974</v>
      </c>
      <c r="RUP1" s="15" t="s">
        <v>12975</v>
      </c>
      <c r="RUQ1" s="15" t="s">
        <v>12976</v>
      </c>
      <c r="RUR1" s="15" t="s">
        <v>12977</v>
      </c>
      <c r="RUS1" s="15" t="s">
        <v>12978</v>
      </c>
      <c r="RUT1" s="15" t="s">
        <v>12979</v>
      </c>
      <c r="RUU1" s="15" t="s">
        <v>12980</v>
      </c>
      <c r="RUV1" s="15" t="s">
        <v>12981</v>
      </c>
      <c r="RUW1" s="15" t="s">
        <v>12982</v>
      </c>
      <c r="RUX1" s="15" t="s">
        <v>12983</v>
      </c>
      <c r="RUY1" s="15" t="s">
        <v>12984</v>
      </c>
      <c r="RUZ1" s="15" t="s">
        <v>12985</v>
      </c>
      <c r="RVA1" s="15" t="s">
        <v>12986</v>
      </c>
      <c r="RVB1" s="15" t="s">
        <v>12987</v>
      </c>
      <c r="RVC1" s="15" t="s">
        <v>12988</v>
      </c>
      <c r="RVD1" s="15" t="s">
        <v>12989</v>
      </c>
      <c r="RVE1" s="15" t="s">
        <v>12990</v>
      </c>
      <c r="RVF1" s="15" t="s">
        <v>12991</v>
      </c>
      <c r="RVG1" s="15" t="s">
        <v>12992</v>
      </c>
      <c r="RVH1" s="15" t="s">
        <v>12993</v>
      </c>
      <c r="RVI1" s="15" t="s">
        <v>12994</v>
      </c>
      <c r="RVJ1" s="15" t="s">
        <v>12995</v>
      </c>
      <c r="RVK1" s="15" t="s">
        <v>12996</v>
      </c>
      <c r="RVL1" s="15" t="s">
        <v>12997</v>
      </c>
      <c r="RVM1" s="15" t="s">
        <v>12998</v>
      </c>
      <c r="RVN1" s="15" t="s">
        <v>12999</v>
      </c>
      <c r="RVO1" s="15" t="s">
        <v>13000</v>
      </c>
      <c r="RVP1" s="15" t="s">
        <v>13001</v>
      </c>
      <c r="RVQ1" s="15" t="s">
        <v>13002</v>
      </c>
      <c r="RVR1" s="15" t="s">
        <v>13003</v>
      </c>
      <c r="RVS1" s="15" t="s">
        <v>13004</v>
      </c>
      <c r="RVT1" s="15" t="s">
        <v>13005</v>
      </c>
      <c r="RVU1" s="15" t="s">
        <v>13006</v>
      </c>
      <c r="RVV1" s="15" t="s">
        <v>13007</v>
      </c>
      <c r="RVW1" s="15" t="s">
        <v>13008</v>
      </c>
      <c r="RVX1" s="15" t="s">
        <v>13009</v>
      </c>
      <c r="RVY1" s="15" t="s">
        <v>13010</v>
      </c>
      <c r="RVZ1" s="15" t="s">
        <v>13011</v>
      </c>
      <c r="RWA1" s="15" t="s">
        <v>13012</v>
      </c>
      <c r="RWB1" s="15" t="s">
        <v>13013</v>
      </c>
      <c r="RWC1" s="15" t="s">
        <v>13014</v>
      </c>
      <c r="RWD1" s="15" t="s">
        <v>13015</v>
      </c>
      <c r="RWE1" s="15" t="s">
        <v>13016</v>
      </c>
      <c r="RWF1" s="15" t="s">
        <v>13017</v>
      </c>
      <c r="RWG1" s="15" t="s">
        <v>13018</v>
      </c>
      <c r="RWH1" s="15" t="s">
        <v>13019</v>
      </c>
      <c r="RWI1" s="15" t="s">
        <v>13020</v>
      </c>
      <c r="RWJ1" s="15" t="s">
        <v>13021</v>
      </c>
      <c r="RWK1" s="15" t="s">
        <v>13022</v>
      </c>
      <c r="RWL1" s="15" t="s">
        <v>13023</v>
      </c>
      <c r="RWM1" s="15" t="s">
        <v>13024</v>
      </c>
      <c r="RWN1" s="15" t="s">
        <v>13025</v>
      </c>
      <c r="RWO1" s="15" t="s">
        <v>13026</v>
      </c>
      <c r="RWP1" s="15" t="s">
        <v>13027</v>
      </c>
      <c r="RWQ1" s="15" t="s">
        <v>13028</v>
      </c>
      <c r="RWR1" s="15" t="s">
        <v>13029</v>
      </c>
      <c r="RWS1" s="15" t="s">
        <v>13030</v>
      </c>
      <c r="RWT1" s="15" t="s">
        <v>13031</v>
      </c>
      <c r="RWU1" s="15" t="s">
        <v>13032</v>
      </c>
      <c r="RWV1" s="15" t="s">
        <v>13033</v>
      </c>
      <c r="RWW1" s="15" t="s">
        <v>13034</v>
      </c>
      <c r="RWX1" s="15" t="s">
        <v>13035</v>
      </c>
      <c r="RWY1" s="15" t="s">
        <v>13036</v>
      </c>
      <c r="RWZ1" s="15" t="s">
        <v>13037</v>
      </c>
      <c r="RXA1" s="15" t="s">
        <v>13038</v>
      </c>
      <c r="RXB1" s="15" t="s">
        <v>13039</v>
      </c>
      <c r="RXC1" s="15" t="s">
        <v>13040</v>
      </c>
      <c r="RXD1" s="15" t="s">
        <v>13041</v>
      </c>
      <c r="RXE1" s="15" t="s">
        <v>13042</v>
      </c>
      <c r="RXF1" s="15" t="s">
        <v>13043</v>
      </c>
      <c r="RXG1" s="15" t="s">
        <v>13044</v>
      </c>
      <c r="RXH1" s="15" t="s">
        <v>13045</v>
      </c>
      <c r="RXI1" s="15" t="s">
        <v>13046</v>
      </c>
      <c r="RXJ1" s="15" t="s">
        <v>13047</v>
      </c>
      <c r="RXK1" s="15" t="s">
        <v>13048</v>
      </c>
      <c r="RXL1" s="15" t="s">
        <v>13049</v>
      </c>
      <c r="RXM1" s="15" t="s">
        <v>13050</v>
      </c>
      <c r="RXN1" s="15" t="s">
        <v>13051</v>
      </c>
      <c r="RXO1" s="15" t="s">
        <v>13052</v>
      </c>
      <c r="RXP1" s="15" t="s">
        <v>13053</v>
      </c>
      <c r="RXQ1" s="15" t="s">
        <v>13054</v>
      </c>
      <c r="RXR1" s="15" t="s">
        <v>13055</v>
      </c>
      <c r="RXS1" s="15" t="s">
        <v>13056</v>
      </c>
      <c r="RXT1" s="15" t="s">
        <v>13057</v>
      </c>
      <c r="RXU1" s="15" t="s">
        <v>13058</v>
      </c>
      <c r="RXV1" s="15" t="s">
        <v>13059</v>
      </c>
      <c r="RXW1" s="15" t="s">
        <v>13060</v>
      </c>
      <c r="RXX1" s="15" t="s">
        <v>13061</v>
      </c>
      <c r="RXY1" s="15" t="s">
        <v>13062</v>
      </c>
      <c r="RXZ1" s="15" t="s">
        <v>13063</v>
      </c>
      <c r="RYA1" s="15" t="s">
        <v>13064</v>
      </c>
      <c r="RYB1" s="15" t="s">
        <v>13065</v>
      </c>
      <c r="RYC1" s="15" t="s">
        <v>13066</v>
      </c>
      <c r="RYD1" s="15" t="s">
        <v>13067</v>
      </c>
      <c r="RYE1" s="15" t="s">
        <v>13068</v>
      </c>
      <c r="RYF1" s="15" t="s">
        <v>13069</v>
      </c>
      <c r="RYG1" s="15" t="s">
        <v>13070</v>
      </c>
      <c r="RYH1" s="15" t="s">
        <v>13071</v>
      </c>
      <c r="RYI1" s="15" t="s">
        <v>13072</v>
      </c>
      <c r="RYJ1" s="15" t="s">
        <v>13073</v>
      </c>
      <c r="RYK1" s="15" t="s">
        <v>13074</v>
      </c>
      <c r="RYL1" s="15" t="s">
        <v>13075</v>
      </c>
      <c r="RYM1" s="15" t="s">
        <v>13076</v>
      </c>
      <c r="RYN1" s="15" t="s">
        <v>13077</v>
      </c>
      <c r="RYO1" s="15" t="s">
        <v>13078</v>
      </c>
      <c r="RYP1" s="15" t="s">
        <v>13079</v>
      </c>
      <c r="RYQ1" s="15" t="s">
        <v>13080</v>
      </c>
      <c r="RYR1" s="15" t="s">
        <v>13081</v>
      </c>
      <c r="RYS1" s="15" t="s">
        <v>13082</v>
      </c>
      <c r="RYT1" s="15" t="s">
        <v>13083</v>
      </c>
      <c r="RYU1" s="15" t="s">
        <v>13084</v>
      </c>
      <c r="RYV1" s="15" t="s">
        <v>13085</v>
      </c>
      <c r="RYW1" s="15" t="s">
        <v>13086</v>
      </c>
      <c r="RYX1" s="15" t="s">
        <v>13087</v>
      </c>
      <c r="RYY1" s="15" t="s">
        <v>13088</v>
      </c>
      <c r="RYZ1" s="15" t="s">
        <v>13089</v>
      </c>
      <c r="RZA1" s="15" t="s">
        <v>13090</v>
      </c>
      <c r="RZB1" s="15" t="s">
        <v>13091</v>
      </c>
      <c r="RZC1" s="15" t="s">
        <v>13092</v>
      </c>
      <c r="RZD1" s="15" t="s">
        <v>13093</v>
      </c>
      <c r="RZE1" s="15" t="s">
        <v>13094</v>
      </c>
      <c r="RZF1" s="15" t="s">
        <v>13095</v>
      </c>
      <c r="RZG1" s="15" t="s">
        <v>13096</v>
      </c>
      <c r="RZH1" s="15" t="s">
        <v>13097</v>
      </c>
      <c r="RZI1" s="15" t="s">
        <v>13098</v>
      </c>
      <c r="RZJ1" s="15" t="s">
        <v>13099</v>
      </c>
      <c r="RZK1" s="15" t="s">
        <v>13100</v>
      </c>
      <c r="RZL1" s="15" t="s">
        <v>13101</v>
      </c>
      <c r="RZM1" s="15" t="s">
        <v>13102</v>
      </c>
      <c r="RZN1" s="15" t="s">
        <v>13103</v>
      </c>
      <c r="RZO1" s="15" t="s">
        <v>13104</v>
      </c>
      <c r="RZP1" s="15" t="s">
        <v>13105</v>
      </c>
      <c r="RZQ1" s="15" t="s">
        <v>13106</v>
      </c>
      <c r="RZR1" s="15" t="s">
        <v>13107</v>
      </c>
      <c r="RZS1" s="15" t="s">
        <v>13108</v>
      </c>
      <c r="RZT1" s="15" t="s">
        <v>13109</v>
      </c>
      <c r="RZU1" s="15" t="s">
        <v>13110</v>
      </c>
      <c r="RZV1" s="15" t="s">
        <v>13111</v>
      </c>
      <c r="RZW1" s="15" t="s">
        <v>13112</v>
      </c>
      <c r="RZX1" s="15" t="s">
        <v>13113</v>
      </c>
      <c r="RZY1" s="15" t="s">
        <v>13114</v>
      </c>
      <c r="RZZ1" s="15" t="s">
        <v>13115</v>
      </c>
      <c r="SAA1" s="15" t="s">
        <v>13116</v>
      </c>
      <c r="SAB1" s="15" t="s">
        <v>13117</v>
      </c>
      <c r="SAC1" s="15" t="s">
        <v>13118</v>
      </c>
      <c r="SAD1" s="15" t="s">
        <v>13119</v>
      </c>
      <c r="SAE1" s="15" t="s">
        <v>13120</v>
      </c>
      <c r="SAF1" s="15" t="s">
        <v>13121</v>
      </c>
      <c r="SAG1" s="15" t="s">
        <v>13122</v>
      </c>
      <c r="SAH1" s="15" t="s">
        <v>13123</v>
      </c>
      <c r="SAI1" s="15" t="s">
        <v>13124</v>
      </c>
      <c r="SAJ1" s="15" t="s">
        <v>13125</v>
      </c>
      <c r="SAK1" s="15" t="s">
        <v>13126</v>
      </c>
      <c r="SAL1" s="15" t="s">
        <v>13127</v>
      </c>
      <c r="SAM1" s="15" t="s">
        <v>13128</v>
      </c>
      <c r="SAN1" s="15" t="s">
        <v>13129</v>
      </c>
      <c r="SAO1" s="15" t="s">
        <v>13130</v>
      </c>
      <c r="SAP1" s="15" t="s">
        <v>13131</v>
      </c>
      <c r="SAQ1" s="15" t="s">
        <v>13132</v>
      </c>
      <c r="SAR1" s="15" t="s">
        <v>13133</v>
      </c>
      <c r="SAS1" s="15" t="s">
        <v>13134</v>
      </c>
      <c r="SAT1" s="15" t="s">
        <v>13135</v>
      </c>
      <c r="SAU1" s="15" t="s">
        <v>13136</v>
      </c>
      <c r="SAV1" s="15" t="s">
        <v>13137</v>
      </c>
      <c r="SAW1" s="15" t="s">
        <v>13138</v>
      </c>
      <c r="SAX1" s="15" t="s">
        <v>13139</v>
      </c>
      <c r="SAY1" s="15" t="s">
        <v>13140</v>
      </c>
      <c r="SAZ1" s="15" t="s">
        <v>13141</v>
      </c>
      <c r="SBA1" s="15" t="s">
        <v>13142</v>
      </c>
      <c r="SBB1" s="15" t="s">
        <v>13143</v>
      </c>
      <c r="SBC1" s="15" t="s">
        <v>13144</v>
      </c>
      <c r="SBD1" s="15" t="s">
        <v>13145</v>
      </c>
      <c r="SBE1" s="15" t="s">
        <v>13146</v>
      </c>
      <c r="SBF1" s="15" t="s">
        <v>13147</v>
      </c>
      <c r="SBG1" s="15" t="s">
        <v>13148</v>
      </c>
      <c r="SBH1" s="15" t="s">
        <v>13149</v>
      </c>
      <c r="SBI1" s="15" t="s">
        <v>13150</v>
      </c>
      <c r="SBJ1" s="15" t="s">
        <v>13151</v>
      </c>
      <c r="SBK1" s="15" t="s">
        <v>13152</v>
      </c>
      <c r="SBL1" s="15" t="s">
        <v>13153</v>
      </c>
      <c r="SBM1" s="15" t="s">
        <v>13154</v>
      </c>
      <c r="SBN1" s="15" t="s">
        <v>13155</v>
      </c>
      <c r="SBO1" s="15" t="s">
        <v>13156</v>
      </c>
      <c r="SBP1" s="15" t="s">
        <v>13157</v>
      </c>
      <c r="SBQ1" s="15" t="s">
        <v>13158</v>
      </c>
      <c r="SBR1" s="15" t="s">
        <v>13159</v>
      </c>
      <c r="SBS1" s="15" t="s">
        <v>13160</v>
      </c>
      <c r="SBT1" s="15" t="s">
        <v>13161</v>
      </c>
      <c r="SBU1" s="15" t="s">
        <v>13162</v>
      </c>
      <c r="SBV1" s="15" t="s">
        <v>13163</v>
      </c>
      <c r="SBW1" s="15" t="s">
        <v>13164</v>
      </c>
      <c r="SBX1" s="15" t="s">
        <v>13165</v>
      </c>
      <c r="SBY1" s="15" t="s">
        <v>13166</v>
      </c>
      <c r="SBZ1" s="15" t="s">
        <v>13167</v>
      </c>
      <c r="SCA1" s="15" t="s">
        <v>13168</v>
      </c>
      <c r="SCB1" s="15" t="s">
        <v>13169</v>
      </c>
      <c r="SCC1" s="15" t="s">
        <v>13170</v>
      </c>
      <c r="SCD1" s="15" t="s">
        <v>13171</v>
      </c>
      <c r="SCE1" s="15" t="s">
        <v>13172</v>
      </c>
      <c r="SCF1" s="15" t="s">
        <v>13173</v>
      </c>
      <c r="SCG1" s="15" t="s">
        <v>13174</v>
      </c>
      <c r="SCH1" s="15" t="s">
        <v>13175</v>
      </c>
      <c r="SCI1" s="15" t="s">
        <v>13176</v>
      </c>
      <c r="SCJ1" s="15" t="s">
        <v>13177</v>
      </c>
      <c r="SCK1" s="15" t="s">
        <v>13178</v>
      </c>
      <c r="SCL1" s="15" t="s">
        <v>13179</v>
      </c>
      <c r="SCM1" s="15" t="s">
        <v>13180</v>
      </c>
      <c r="SCN1" s="15" t="s">
        <v>13181</v>
      </c>
      <c r="SCO1" s="15" t="s">
        <v>13182</v>
      </c>
      <c r="SCP1" s="15" t="s">
        <v>13183</v>
      </c>
      <c r="SCQ1" s="15" t="s">
        <v>13184</v>
      </c>
      <c r="SCR1" s="15" t="s">
        <v>13185</v>
      </c>
      <c r="SCS1" s="15" t="s">
        <v>13186</v>
      </c>
      <c r="SCT1" s="15" t="s">
        <v>13187</v>
      </c>
      <c r="SCU1" s="15" t="s">
        <v>13188</v>
      </c>
      <c r="SCV1" s="15" t="s">
        <v>13189</v>
      </c>
      <c r="SCW1" s="15" t="s">
        <v>13190</v>
      </c>
      <c r="SCX1" s="15" t="s">
        <v>13191</v>
      </c>
      <c r="SCY1" s="15" t="s">
        <v>13192</v>
      </c>
      <c r="SCZ1" s="15" t="s">
        <v>13193</v>
      </c>
      <c r="SDA1" s="15" t="s">
        <v>13194</v>
      </c>
      <c r="SDB1" s="15" t="s">
        <v>13195</v>
      </c>
      <c r="SDC1" s="15" t="s">
        <v>13196</v>
      </c>
      <c r="SDD1" s="15" t="s">
        <v>13197</v>
      </c>
      <c r="SDE1" s="15" t="s">
        <v>13198</v>
      </c>
      <c r="SDF1" s="15" t="s">
        <v>13199</v>
      </c>
      <c r="SDG1" s="15" t="s">
        <v>13200</v>
      </c>
      <c r="SDH1" s="15" t="s">
        <v>13201</v>
      </c>
      <c r="SDI1" s="15" t="s">
        <v>13202</v>
      </c>
      <c r="SDJ1" s="15" t="s">
        <v>13203</v>
      </c>
      <c r="SDK1" s="15" t="s">
        <v>13204</v>
      </c>
      <c r="SDL1" s="15" t="s">
        <v>13205</v>
      </c>
      <c r="SDM1" s="15" t="s">
        <v>13206</v>
      </c>
      <c r="SDN1" s="15" t="s">
        <v>13207</v>
      </c>
      <c r="SDO1" s="15" t="s">
        <v>13208</v>
      </c>
      <c r="SDP1" s="15" t="s">
        <v>13209</v>
      </c>
      <c r="SDQ1" s="15" t="s">
        <v>13210</v>
      </c>
      <c r="SDR1" s="15" t="s">
        <v>13211</v>
      </c>
      <c r="SDS1" s="15" t="s">
        <v>13212</v>
      </c>
      <c r="SDT1" s="15" t="s">
        <v>13213</v>
      </c>
      <c r="SDU1" s="15" t="s">
        <v>13214</v>
      </c>
      <c r="SDV1" s="15" t="s">
        <v>13215</v>
      </c>
      <c r="SDW1" s="15" t="s">
        <v>13216</v>
      </c>
      <c r="SDX1" s="15" t="s">
        <v>13217</v>
      </c>
      <c r="SDY1" s="15" t="s">
        <v>13218</v>
      </c>
      <c r="SDZ1" s="15" t="s">
        <v>13219</v>
      </c>
      <c r="SEA1" s="15" t="s">
        <v>13220</v>
      </c>
      <c r="SEB1" s="15" t="s">
        <v>13221</v>
      </c>
      <c r="SEC1" s="15" t="s">
        <v>13222</v>
      </c>
      <c r="SED1" s="15" t="s">
        <v>13223</v>
      </c>
      <c r="SEE1" s="15" t="s">
        <v>13224</v>
      </c>
      <c r="SEF1" s="15" t="s">
        <v>13225</v>
      </c>
      <c r="SEG1" s="15" t="s">
        <v>13226</v>
      </c>
      <c r="SEH1" s="15" t="s">
        <v>13227</v>
      </c>
      <c r="SEI1" s="15" t="s">
        <v>13228</v>
      </c>
      <c r="SEJ1" s="15" t="s">
        <v>13229</v>
      </c>
      <c r="SEK1" s="15" t="s">
        <v>13230</v>
      </c>
      <c r="SEL1" s="15" t="s">
        <v>13231</v>
      </c>
      <c r="SEM1" s="15" t="s">
        <v>13232</v>
      </c>
      <c r="SEN1" s="15" t="s">
        <v>13233</v>
      </c>
      <c r="SEO1" s="15" t="s">
        <v>13234</v>
      </c>
      <c r="SEP1" s="15" t="s">
        <v>13235</v>
      </c>
      <c r="SEQ1" s="15" t="s">
        <v>13236</v>
      </c>
      <c r="SER1" s="15" t="s">
        <v>13237</v>
      </c>
      <c r="SES1" s="15" t="s">
        <v>13238</v>
      </c>
      <c r="SET1" s="15" t="s">
        <v>13239</v>
      </c>
      <c r="SEU1" s="15" t="s">
        <v>13240</v>
      </c>
      <c r="SEV1" s="15" t="s">
        <v>13241</v>
      </c>
      <c r="SEW1" s="15" t="s">
        <v>13242</v>
      </c>
      <c r="SEX1" s="15" t="s">
        <v>13243</v>
      </c>
      <c r="SEY1" s="15" t="s">
        <v>13244</v>
      </c>
      <c r="SEZ1" s="15" t="s">
        <v>13245</v>
      </c>
      <c r="SFA1" s="15" t="s">
        <v>13246</v>
      </c>
      <c r="SFB1" s="15" t="s">
        <v>13247</v>
      </c>
      <c r="SFC1" s="15" t="s">
        <v>13248</v>
      </c>
      <c r="SFD1" s="15" t="s">
        <v>13249</v>
      </c>
      <c r="SFE1" s="15" t="s">
        <v>13250</v>
      </c>
      <c r="SFF1" s="15" t="s">
        <v>13251</v>
      </c>
      <c r="SFG1" s="15" t="s">
        <v>13252</v>
      </c>
      <c r="SFH1" s="15" t="s">
        <v>13253</v>
      </c>
      <c r="SFI1" s="15" t="s">
        <v>13254</v>
      </c>
      <c r="SFJ1" s="15" t="s">
        <v>13255</v>
      </c>
      <c r="SFK1" s="15" t="s">
        <v>13256</v>
      </c>
      <c r="SFL1" s="15" t="s">
        <v>13257</v>
      </c>
      <c r="SFM1" s="15" t="s">
        <v>13258</v>
      </c>
      <c r="SFN1" s="15" t="s">
        <v>13259</v>
      </c>
      <c r="SFO1" s="15" t="s">
        <v>13260</v>
      </c>
      <c r="SFP1" s="15" t="s">
        <v>13261</v>
      </c>
      <c r="SFQ1" s="15" t="s">
        <v>13262</v>
      </c>
      <c r="SFR1" s="15" t="s">
        <v>13263</v>
      </c>
      <c r="SFS1" s="15" t="s">
        <v>13264</v>
      </c>
      <c r="SFT1" s="15" t="s">
        <v>13265</v>
      </c>
      <c r="SFU1" s="15" t="s">
        <v>13266</v>
      </c>
      <c r="SFV1" s="15" t="s">
        <v>13267</v>
      </c>
      <c r="SFW1" s="15" t="s">
        <v>13268</v>
      </c>
      <c r="SFX1" s="15" t="s">
        <v>13269</v>
      </c>
      <c r="SFY1" s="15" t="s">
        <v>13270</v>
      </c>
      <c r="SFZ1" s="15" t="s">
        <v>13271</v>
      </c>
      <c r="SGA1" s="15" t="s">
        <v>13272</v>
      </c>
      <c r="SGB1" s="15" t="s">
        <v>13273</v>
      </c>
      <c r="SGC1" s="15" t="s">
        <v>13274</v>
      </c>
      <c r="SGD1" s="15" t="s">
        <v>13275</v>
      </c>
      <c r="SGE1" s="15" t="s">
        <v>13276</v>
      </c>
      <c r="SGF1" s="15" t="s">
        <v>13277</v>
      </c>
      <c r="SGG1" s="15" t="s">
        <v>13278</v>
      </c>
      <c r="SGH1" s="15" t="s">
        <v>13279</v>
      </c>
      <c r="SGI1" s="15" t="s">
        <v>13280</v>
      </c>
      <c r="SGJ1" s="15" t="s">
        <v>13281</v>
      </c>
      <c r="SGK1" s="15" t="s">
        <v>13282</v>
      </c>
      <c r="SGL1" s="15" t="s">
        <v>13283</v>
      </c>
      <c r="SGM1" s="15" t="s">
        <v>13284</v>
      </c>
      <c r="SGN1" s="15" t="s">
        <v>13285</v>
      </c>
      <c r="SGO1" s="15" t="s">
        <v>13286</v>
      </c>
      <c r="SGP1" s="15" t="s">
        <v>13287</v>
      </c>
      <c r="SGQ1" s="15" t="s">
        <v>13288</v>
      </c>
      <c r="SGR1" s="15" t="s">
        <v>13289</v>
      </c>
      <c r="SGS1" s="15" t="s">
        <v>13290</v>
      </c>
      <c r="SGT1" s="15" t="s">
        <v>13291</v>
      </c>
      <c r="SGU1" s="15" t="s">
        <v>13292</v>
      </c>
      <c r="SGV1" s="15" t="s">
        <v>13293</v>
      </c>
      <c r="SGW1" s="15" t="s">
        <v>13294</v>
      </c>
      <c r="SGX1" s="15" t="s">
        <v>13295</v>
      </c>
      <c r="SGY1" s="15" t="s">
        <v>13296</v>
      </c>
      <c r="SGZ1" s="15" t="s">
        <v>13297</v>
      </c>
      <c r="SHA1" s="15" t="s">
        <v>13298</v>
      </c>
      <c r="SHB1" s="15" t="s">
        <v>13299</v>
      </c>
      <c r="SHC1" s="15" t="s">
        <v>13300</v>
      </c>
      <c r="SHD1" s="15" t="s">
        <v>13301</v>
      </c>
      <c r="SHE1" s="15" t="s">
        <v>13302</v>
      </c>
      <c r="SHF1" s="15" t="s">
        <v>13303</v>
      </c>
      <c r="SHG1" s="15" t="s">
        <v>13304</v>
      </c>
      <c r="SHH1" s="15" t="s">
        <v>13305</v>
      </c>
      <c r="SHI1" s="15" t="s">
        <v>13306</v>
      </c>
      <c r="SHJ1" s="15" t="s">
        <v>13307</v>
      </c>
      <c r="SHK1" s="15" t="s">
        <v>13308</v>
      </c>
      <c r="SHL1" s="15" t="s">
        <v>13309</v>
      </c>
      <c r="SHM1" s="15" t="s">
        <v>13310</v>
      </c>
      <c r="SHN1" s="15" t="s">
        <v>13311</v>
      </c>
      <c r="SHO1" s="15" t="s">
        <v>13312</v>
      </c>
      <c r="SHP1" s="15" t="s">
        <v>13313</v>
      </c>
      <c r="SHQ1" s="15" t="s">
        <v>13314</v>
      </c>
      <c r="SHR1" s="15" t="s">
        <v>13315</v>
      </c>
      <c r="SHS1" s="15" t="s">
        <v>13316</v>
      </c>
      <c r="SHT1" s="15" t="s">
        <v>13317</v>
      </c>
      <c r="SHU1" s="15" t="s">
        <v>13318</v>
      </c>
      <c r="SHV1" s="15" t="s">
        <v>13319</v>
      </c>
      <c r="SHW1" s="15" t="s">
        <v>13320</v>
      </c>
      <c r="SHX1" s="15" t="s">
        <v>13321</v>
      </c>
      <c r="SHY1" s="15" t="s">
        <v>13322</v>
      </c>
      <c r="SHZ1" s="15" t="s">
        <v>13323</v>
      </c>
      <c r="SIA1" s="15" t="s">
        <v>13324</v>
      </c>
      <c r="SIB1" s="15" t="s">
        <v>13325</v>
      </c>
      <c r="SIC1" s="15" t="s">
        <v>13326</v>
      </c>
      <c r="SID1" s="15" t="s">
        <v>13327</v>
      </c>
      <c r="SIE1" s="15" t="s">
        <v>13328</v>
      </c>
      <c r="SIF1" s="15" t="s">
        <v>13329</v>
      </c>
      <c r="SIG1" s="15" t="s">
        <v>13330</v>
      </c>
      <c r="SIH1" s="15" t="s">
        <v>13331</v>
      </c>
      <c r="SII1" s="15" t="s">
        <v>13332</v>
      </c>
      <c r="SIJ1" s="15" t="s">
        <v>13333</v>
      </c>
      <c r="SIK1" s="15" t="s">
        <v>13334</v>
      </c>
      <c r="SIL1" s="15" t="s">
        <v>13335</v>
      </c>
      <c r="SIM1" s="15" t="s">
        <v>13336</v>
      </c>
      <c r="SIN1" s="15" t="s">
        <v>13337</v>
      </c>
      <c r="SIO1" s="15" t="s">
        <v>13338</v>
      </c>
      <c r="SIP1" s="15" t="s">
        <v>13339</v>
      </c>
      <c r="SIQ1" s="15" t="s">
        <v>13340</v>
      </c>
      <c r="SIR1" s="15" t="s">
        <v>13341</v>
      </c>
      <c r="SIS1" s="15" t="s">
        <v>13342</v>
      </c>
      <c r="SIT1" s="15" t="s">
        <v>13343</v>
      </c>
      <c r="SIU1" s="15" t="s">
        <v>13344</v>
      </c>
      <c r="SIV1" s="15" t="s">
        <v>13345</v>
      </c>
      <c r="SIW1" s="15" t="s">
        <v>13346</v>
      </c>
      <c r="SIX1" s="15" t="s">
        <v>13347</v>
      </c>
      <c r="SIY1" s="15" t="s">
        <v>13348</v>
      </c>
      <c r="SIZ1" s="15" t="s">
        <v>13349</v>
      </c>
      <c r="SJA1" s="15" t="s">
        <v>13350</v>
      </c>
      <c r="SJB1" s="15" t="s">
        <v>13351</v>
      </c>
      <c r="SJC1" s="15" t="s">
        <v>13352</v>
      </c>
      <c r="SJD1" s="15" t="s">
        <v>13353</v>
      </c>
      <c r="SJE1" s="15" t="s">
        <v>13354</v>
      </c>
      <c r="SJF1" s="15" t="s">
        <v>13355</v>
      </c>
      <c r="SJG1" s="15" t="s">
        <v>13356</v>
      </c>
      <c r="SJH1" s="15" t="s">
        <v>13357</v>
      </c>
      <c r="SJI1" s="15" t="s">
        <v>13358</v>
      </c>
      <c r="SJJ1" s="15" t="s">
        <v>13359</v>
      </c>
      <c r="SJK1" s="15" t="s">
        <v>13360</v>
      </c>
      <c r="SJL1" s="15" t="s">
        <v>13361</v>
      </c>
      <c r="SJM1" s="15" t="s">
        <v>13362</v>
      </c>
      <c r="SJN1" s="15" t="s">
        <v>13363</v>
      </c>
      <c r="SJO1" s="15" t="s">
        <v>13364</v>
      </c>
      <c r="SJP1" s="15" t="s">
        <v>13365</v>
      </c>
      <c r="SJQ1" s="15" t="s">
        <v>13366</v>
      </c>
      <c r="SJR1" s="15" t="s">
        <v>13367</v>
      </c>
      <c r="SJS1" s="15" t="s">
        <v>13368</v>
      </c>
      <c r="SJT1" s="15" t="s">
        <v>13369</v>
      </c>
      <c r="SJU1" s="15" t="s">
        <v>13370</v>
      </c>
      <c r="SJV1" s="15" t="s">
        <v>13371</v>
      </c>
      <c r="SJW1" s="15" t="s">
        <v>13372</v>
      </c>
      <c r="SJX1" s="15" t="s">
        <v>13373</v>
      </c>
      <c r="SJY1" s="15" t="s">
        <v>13374</v>
      </c>
      <c r="SJZ1" s="15" t="s">
        <v>13375</v>
      </c>
      <c r="SKA1" s="15" t="s">
        <v>13376</v>
      </c>
      <c r="SKB1" s="15" t="s">
        <v>13377</v>
      </c>
      <c r="SKC1" s="15" t="s">
        <v>13378</v>
      </c>
      <c r="SKD1" s="15" t="s">
        <v>13379</v>
      </c>
      <c r="SKE1" s="15" t="s">
        <v>13380</v>
      </c>
      <c r="SKF1" s="15" t="s">
        <v>13381</v>
      </c>
      <c r="SKG1" s="15" t="s">
        <v>13382</v>
      </c>
      <c r="SKH1" s="15" t="s">
        <v>13383</v>
      </c>
      <c r="SKI1" s="15" t="s">
        <v>13384</v>
      </c>
      <c r="SKJ1" s="15" t="s">
        <v>13385</v>
      </c>
      <c r="SKK1" s="15" t="s">
        <v>13386</v>
      </c>
      <c r="SKL1" s="15" t="s">
        <v>13387</v>
      </c>
      <c r="SKM1" s="15" t="s">
        <v>13388</v>
      </c>
      <c r="SKN1" s="15" t="s">
        <v>13389</v>
      </c>
      <c r="SKO1" s="15" t="s">
        <v>13390</v>
      </c>
      <c r="SKP1" s="15" t="s">
        <v>13391</v>
      </c>
      <c r="SKQ1" s="15" t="s">
        <v>13392</v>
      </c>
      <c r="SKR1" s="15" t="s">
        <v>13393</v>
      </c>
      <c r="SKS1" s="15" t="s">
        <v>13394</v>
      </c>
      <c r="SKT1" s="15" t="s">
        <v>13395</v>
      </c>
      <c r="SKU1" s="15" t="s">
        <v>13396</v>
      </c>
      <c r="SKV1" s="15" t="s">
        <v>13397</v>
      </c>
      <c r="SKW1" s="15" t="s">
        <v>13398</v>
      </c>
      <c r="SKX1" s="15" t="s">
        <v>13399</v>
      </c>
      <c r="SKY1" s="15" t="s">
        <v>13400</v>
      </c>
      <c r="SKZ1" s="15" t="s">
        <v>13401</v>
      </c>
      <c r="SLA1" s="15" t="s">
        <v>13402</v>
      </c>
      <c r="SLB1" s="15" t="s">
        <v>13403</v>
      </c>
      <c r="SLC1" s="15" t="s">
        <v>13404</v>
      </c>
      <c r="SLD1" s="15" t="s">
        <v>13405</v>
      </c>
      <c r="SLE1" s="15" t="s">
        <v>13406</v>
      </c>
      <c r="SLF1" s="15" t="s">
        <v>13407</v>
      </c>
      <c r="SLG1" s="15" t="s">
        <v>13408</v>
      </c>
      <c r="SLH1" s="15" t="s">
        <v>13409</v>
      </c>
      <c r="SLI1" s="15" t="s">
        <v>13410</v>
      </c>
      <c r="SLJ1" s="15" t="s">
        <v>13411</v>
      </c>
      <c r="SLK1" s="15" t="s">
        <v>13412</v>
      </c>
      <c r="SLL1" s="15" t="s">
        <v>13413</v>
      </c>
      <c r="SLM1" s="15" t="s">
        <v>13414</v>
      </c>
      <c r="SLN1" s="15" t="s">
        <v>13415</v>
      </c>
      <c r="SLO1" s="15" t="s">
        <v>13416</v>
      </c>
      <c r="SLP1" s="15" t="s">
        <v>13417</v>
      </c>
      <c r="SLQ1" s="15" t="s">
        <v>13418</v>
      </c>
      <c r="SLR1" s="15" t="s">
        <v>13419</v>
      </c>
      <c r="SLS1" s="15" t="s">
        <v>13420</v>
      </c>
      <c r="SLT1" s="15" t="s">
        <v>13421</v>
      </c>
      <c r="SLU1" s="15" t="s">
        <v>13422</v>
      </c>
      <c r="SLV1" s="15" t="s">
        <v>13423</v>
      </c>
      <c r="SLW1" s="15" t="s">
        <v>13424</v>
      </c>
      <c r="SLX1" s="15" t="s">
        <v>13425</v>
      </c>
      <c r="SLY1" s="15" t="s">
        <v>13426</v>
      </c>
      <c r="SLZ1" s="15" t="s">
        <v>13427</v>
      </c>
      <c r="SMA1" s="15" t="s">
        <v>13428</v>
      </c>
      <c r="SMB1" s="15" t="s">
        <v>13429</v>
      </c>
      <c r="SMC1" s="15" t="s">
        <v>13430</v>
      </c>
      <c r="SMD1" s="15" t="s">
        <v>13431</v>
      </c>
      <c r="SME1" s="15" t="s">
        <v>13432</v>
      </c>
      <c r="SMF1" s="15" t="s">
        <v>13433</v>
      </c>
      <c r="SMG1" s="15" t="s">
        <v>13434</v>
      </c>
      <c r="SMH1" s="15" t="s">
        <v>13435</v>
      </c>
      <c r="SMI1" s="15" t="s">
        <v>13436</v>
      </c>
      <c r="SMJ1" s="15" t="s">
        <v>13437</v>
      </c>
      <c r="SMK1" s="15" t="s">
        <v>13438</v>
      </c>
      <c r="SML1" s="15" t="s">
        <v>13439</v>
      </c>
      <c r="SMM1" s="15" t="s">
        <v>13440</v>
      </c>
      <c r="SMN1" s="15" t="s">
        <v>13441</v>
      </c>
      <c r="SMO1" s="15" t="s">
        <v>13442</v>
      </c>
      <c r="SMP1" s="15" t="s">
        <v>13443</v>
      </c>
      <c r="SMQ1" s="15" t="s">
        <v>13444</v>
      </c>
      <c r="SMR1" s="15" t="s">
        <v>13445</v>
      </c>
      <c r="SMS1" s="15" t="s">
        <v>13446</v>
      </c>
      <c r="SMT1" s="15" t="s">
        <v>13447</v>
      </c>
      <c r="SMU1" s="15" t="s">
        <v>13448</v>
      </c>
      <c r="SMV1" s="15" t="s">
        <v>13449</v>
      </c>
      <c r="SMW1" s="15" t="s">
        <v>13450</v>
      </c>
      <c r="SMX1" s="15" t="s">
        <v>13451</v>
      </c>
      <c r="SMY1" s="15" t="s">
        <v>13452</v>
      </c>
      <c r="SMZ1" s="15" t="s">
        <v>13453</v>
      </c>
      <c r="SNA1" s="15" t="s">
        <v>13454</v>
      </c>
      <c r="SNB1" s="15" t="s">
        <v>13455</v>
      </c>
      <c r="SNC1" s="15" t="s">
        <v>13456</v>
      </c>
      <c r="SND1" s="15" t="s">
        <v>13457</v>
      </c>
      <c r="SNE1" s="15" t="s">
        <v>13458</v>
      </c>
      <c r="SNF1" s="15" t="s">
        <v>13459</v>
      </c>
      <c r="SNG1" s="15" t="s">
        <v>13460</v>
      </c>
      <c r="SNH1" s="15" t="s">
        <v>13461</v>
      </c>
      <c r="SNI1" s="15" t="s">
        <v>13462</v>
      </c>
      <c r="SNJ1" s="15" t="s">
        <v>13463</v>
      </c>
      <c r="SNK1" s="15" t="s">
        <v>13464</v>
      </c>
      <c r="SNL1" s="15" t="s">
        <v>13465</v>
      </c>
      <c r="SNM1" s="15" t="s">
        <v>13466</v>
      </c>
      <c r="SNN1" s="15" t="s">
        <v>13467</v>
      </c>
      <c r="SNO1" s="15" t="s">
        <v>13468</v>
      </c>
      <c r="SNP1" s="15" t="s">
        <v>13469</v>
      </c>
      <c r="SNQ1" s="15" t="s">
        <v>13470</v>
      </c>
      <c r="SNR1" s="15" t="s">
        <v>13471</v>
      </c>
      <c r="SNS1" s="15" t="s">
        <v>13472</v>
      </c>
      <c r="SNT1" s="15" t="s">
        <v>13473</v>
      </c>
      <c r="SNU1" s="15" t="s">
        <v>13474</v>
      </c>
      <c r="SNV1" s="15" t="s">
        <v>13475</v>
      </c>
      <c r="SNW1" s="15" t="s">
        <v>13476</v>
      </c>
      <c r="SNX1" s="15" t="s">
        <v>13477</v>
      </c>
      <c r="SNY1" s="15" t="s">
        <v>13478</v>
      </c>
      <c r="SNZ1" s="15" t="s">
        <v>13479</v>
      </c>
      <c r="SOA1" s="15" t="s">
        <v>13480</v>
      </c>
      <c r="SOB1" s="15" t="s">
        <v>13481</v>
      </c>
      <c r="SOC1" s="15" t="s">
        <v>13482</v>
      </c>
      <c r="SOD1" s="15" t="s">
        <v>13483</v>
      </c>
      <c r="SOE1" s="15" t="s">
        <v>13484</v>
      </c>
      <c r="SOF1" s="15" t="s">
        <v>13485</v>
      </c>
      <c r="SOG1" s="15" t="s">
        <v>13486</v>
      </c>
      <c r="SOH1" s="15" t="s">
        <v>13487</v>
      </c>
      <c r="SOI1" s="15" t="s">
        <v>13488</v>
      </c>
      <c r="SOJ1" s="15" t="s">
        <v>13489</v>
      </c>
      <c r="SOK1" s="15" t="s">
        <v>13490</v>
      </c>
      <c r="SOL1" s="15" t="s">
        <v>13491</v>
      </c>
      <c r="SOM1" s="15" t="s">
        <v>13492</v>
      </c>
      <c r="SON1" s="15" t="s">
        <v>13493</v>
      </c>
      <c r="SOO1" s="15" t="s">
        <v>13494</v>
      </c>
      <c r="SOP1" s="15" t="s">
        <v>13495</v>
      </c>
      <c r="SOQ1" s="15" t="s">
        <v>13496</v>
      </c>
      <c r="SOR1" s="15" t="s">
        <v>13497</v>
      </c>
      <c r="SOS1" s="15" t="s">
        <v>13498</v>
      </c>
      <c r="SOT1" s="15" t="s">
        <v>13499</v>
      </c>
      <c r="SOU1" s="15" t="s">
        <v>13500</v>
      </c>
      <c r="SOV1" s="15" t="s">
        <v>13501</v>
      </c>
      <c r="SOW1" s="15" t="s">
        <v>13502</v>
      </c>
      <c r="SOX1" s="15" t="s">
        <v>13503</v>
      </c>
      <c r="SOY1" s="15" t="s">
        <v>13504</v>
      </c>
      <c r="SOZ1" s="15" t="s">
        <v>13505</v>
      </c>
      <c r="SPA1" s="15" t="s">
        <v>13506</v>
      </c>
      <c r="SPB1" s="15" t="s">
        <v>13507</v>
      </c>
      <c r="SPC1" s="15" t="s">
        <v>13508</v>
      </c>
      <c r="SPD1" s="15" t="s">
        <v>13509</v>
      </c>
      <c r="SPE1" s="15" t="s">
        <v>13510</v>
      </c>
      <c r="SPF1" s="15" t="s">
        <v>13511</v>
      </c>
      <c r="SPG1" s="15" t="s">
        <v>13512</v>
      </c>
      <c r="SPH1" s="15" t="s">
        <v>13513</v>
      </c>
      <c r="SPI1" s="15" t="s">
        <v>13514</v>
      </c>
      <c r="SPJ1" s="15" t="s">
        <v>13515</v>
      </c>
      <c r="SPK1" s="15" t="s">
        <v>13516</v>
      </c>
      <c r="SPL1" s="15" t="s">
        <v>13517</v>
      </c>
      <c r="SPM1" s="15" t="s">
        <v>13518</v>
      </c>
      <c r="SPN1" s="15" t="s">
        <v>13519</v>
      </c>
      <c r="SPO1" s="15" t="s">
        <v>13520</v>
      </c>
      <c r="SPP1" s="15" t="s">
        <v>13521</v>
      </c>
      <c r="SPQ1" s="15" t="s">
        <v>13522</v>
      </c>
      <c r="SPR1" s="15" t="s">
        <v>13523</v>
      </c>
      <c r="SPS1" s="15" t="s">
        <v>13524</v>
      </c>
      <c r="SPT1" s="15" t="s">
        <v>13525</v>
      </c>
      <c r="SPU1" s="15" t="s">
        <v>13526</v>
      </c>
      <c r="SPV1" s="15" t="s">
        <v>13527</v>
      </c>
      <c r="SPW1" s="15" t="s">
        <v>13528</v>
      </c>
      <c r="SPX1" s="15" t="s">
        <v>13529</v>
      </c>
      <c r="SPY1" s="15" t="s">
        <v>13530</v>
      </c>
      <c r="SPZ1" s="15" t="s">
        <v>13531</v>
      </c>
      <c r="SQA1" s="15" t="s">
        <v>13532</v>
      </c>
      <c r="SQB1" s="15" t="s">
        <v>13533</v>
      </c>
      <c r="SQC1" s="15" t="s">
        <v>13534</v>
      </c>
      <c r="SQD1" s="15" t="s">
        <v>13535</v>
      </c>
      <c r="SQE1" s="15" t="s">
        <v>13536</v>
      </c>
      <c r="SQF1" s="15" t="s">
        <v>13537</v>
      </c>
      <c r="SQG1" s="15" t="s">
        <v>13538</v>
      </c>
      <c r="SQH1" s="15" t="s">
        <v>13539</v>
      </c>
      <c r="SQI1" s="15" t="s">
        <v>13540</v>
      </c>
      <c r="SQJ1" s="15" t="s">
        <v>13541</v>
      </c>
      <c r="SQK1" s="15" t="s">
        <v>13542</v>
      </c>
      <c r="SQL1" s="15" t="s">
        <v>13543</v>
      </c>
      <c r="SQM1" s="15" t="s">
        <v>13544</v>
      </c>
      <c r="SQN1" s="15" t="s">
        <v>13545</v>
      </c>
      <c r="SQO1" s="15" t="s">
        <v>13546</v>
      </c>
      <c r="SQP1" s="15" t="s">
        <v>13547</v>
      </c>
      <c r="SQQ1" s="15" t="s">
        <v>13548</v>
      </c>
      <c r="SQR1" s="15" t="s">
        <v>13549</v>
      </c>
      <c r="SQS1" s="15" t="s">
        <v>13550</v>
      </c>
      <c r="SQT1" s="15" t="s">
        <v>13551</v>
      </c>
      <c r="SQU1" s="15" t="s">
        <v>13552</v>
      </c>
      <c r="SQV1" s="15" t="s">
        <v>13553</v>
      </c>
      <c r="SQW1" s="15" t="s">
        <v>13554</v>
      </c>
      <c r="SQX1" s="15" t="s">
        <v>13555</v>
      </c>
      <c r="SQY1" s="15" t="s">
        <v>13556</v>
      </c>
      <c r="SQZ1" s="15" t="s">
        <v>13557</v>
      </c>
      <c r="SRA1" s="15" t="s">
        <v>13558</v>
      </c>
      <c r="SRB1" s="15" t="s">
        <v>13559</v>
      </c>
      <c r="SRC1" s="15" t="s">
        <v>13560</v>
      </c>
      <c r="SRD1" s="15" t="s">
        <v>13561</v>
      </c>
      <c r="SRE1" s="15" t="s">
        <v>13562</v>
      </c>
      <c r="SRF1" s="15" t="s">
        <v>13563</v>
      </c>
      <c r="SRG1" s="15" t="s">
        <v>13564</v>
      </c>
      <c r="SRH1" s="15" t="s">
        <v>13565</v>
      </c>
      <c r="SRI1" s="15" t="s">
        <v>13566</v>
      </c>
      <c r="SRJ1" s="15" t="s">
        <v>13567</v>
      </c>
      <c r="SRK1" s="15" t="s">
        <v>13568</v>
      </c>
      <c r="SRL1" s="15" t="s">
        <v>13569</v>
      </c>
      <c r="SRM1" s="15" t="s">
        <v>13570</v>
      </c>
      <c r="SRN1" s="15" t="s">
        <v>13571</v>
      </c>
      <c r="SRO1" s="15" t="s">
        <v>13572</v>
      </c>
      <c r="SRP1" s="15" t="s">
        <v>13573</v>
      </c>
      <c r="SRQ1" s="15" t="s">
        <v>13574</v>
      </c>
      <c r="SRR1" s="15" t="s">
        <v>13575</v>
      </c>
      <c r="SRS1" s="15" t="s">
        <v>13576</v>
      </c>
      <c r="SRT1" s="15" t="s">
        <v>13577</v>
      </c>
      <c r="SRU1" s="15" t="s">
        <v>13578</v>
      </c>
      <c r="SRV1" s="15" t="s">
        <v>13579</v>
      </c>
      <c r="SRW1" s="15" t="s">
        <v>13580</v>
      </c>
      <c r="SRX1" s="15" t="s">
        <v>13581</v>
      </c>
      <c r="SRY1" s="15" t="s">
        <v>13582</v>
      </c>
      <c r="SRZ1" s="15" t="s">
        <v>13583</v>
      </c>
      <c r="SSA1" s="15" t="s">
        <v>13584</v>
      </c>
      <c r="SSB1" s="15" t="s">
        <v>13585</v>
      </c>
      <c r="SSC1" s="15" t="s">
        <v>13586</v>
      </c>
      <c r="SSD1" s="15" t="s">
        <v>13587</v>
      </c>
      <c r="SSE1" s="15" t="s">
        <v>13588</v>
      </c>
      <c r="SSF1" s="15" t="s">
        <v>13589</v>
      </c>
      <c r="SSG1" s="15" t="s">
        <v>13590</v>
      </c>
      <c r="SSH1" s="15" t="s">
        <v>13591</v>
      </c>
      <c r="SSI1" s="15" t="s">
        <v>13592</v>
      </c>
      <c r="SSJ1" s="15" t="s">
        <v>13593</v>
      </c>
      <c r="SSK1" s="15" t="s">
        <v>13594</v>
      </c>
      <c r="SSL1" s="15" t="s">
        <v>13595</v>
      </c>
      <c r="SSM1" s="15" t="s">
        <v>13596</v>
      </c>
      <c r="SSN1" s="15" t="s">
        <v>13597</v>
      </c>
      <c r="SSO1" s="15" t="s">
        <v>13598</v>
      </c>
      <c r="SSP1" s="15" t="s">
        <v>13599</v>
      </c>
      <c r="SSQ1" s="15" t="s">
        <v>13600</v>
      </c>
      <c r="SSR1" s="15" t="s">
        <v>13601</v>
      </c>
      <c r="SSS1" s="15" t="s">
        <v>13602</v>
      </c>
      <c r="SST1" s="15" t="s">
        <v>13603</v>
      </c>
      <c r="SSU1" s="15" t="s">
        <v>13604</v>
      </c>
      <c r="SSV1" s="15" t="s">
        <v>13605</v>
      </c>
      <c r="SSW1" s="15" t="s">
        <v>13606</v>
      </c>
      <c r="SSX1" s="15" t="s">
        <v>13607</v>
      </c>
      <c r="SSY1" s="15" t="s">
        <v>13608</v>
      </c>
      <c r="SSZ1" s="15" t="s">
        <v>13609</v>
      </c>
      <c r="STA1" s="15" t="s">
        <v>13610</v>
      </c>
      <c r="STB1" s="15" t="s">
        <v>13611</v>
      </c>
      <c r="STC1" s="15" t="s">
        <v>13612</v>
      </c>
      <c r="STD1" s="15" t="s">
        <v>13613</v>
      </c>
      <c r="STE1" s="15" t="s">
        <v>13614</v>
      </c>
      <c r="STF1" s="15" t="s">
        <v>13615</v>
      </c>
      <c r="STG1" s="15" t="s">
        <v>13616</v>
      </c>
      <c r="STH1" s="15" t="s">
        <v>13617</v>
      </c>
      <c r="STI1" s="15" t="s">
        <v>13618</v>
      </c>
      <c r="STJ1" s="15" t="s">
        <v>13619</v>
      </c>
      <c r="STK1" s="15" t="s">
        <v>13620</v>
      </c>
      <c r="STL1" s="15" t="s">
        <v>13621</v>
      </c>
      <c r="STM1" s="15" t="s">
        <v>13622</v>
      </c>
      <c r="STN1" s="15" t="s">
        <v>13623</v>
      </c>
      <c r="STO1" s="15" t="s">
        <v>13624</v>
      </c>
      <c r="STP1" s="15" t="s">
        <v>13625</v>
      </c>
      <c r="STQ1" s="15" t="s">
        <v>13626</v>
      </c>
      <c r="STR1" s="15" t="s">
        <v>13627</v>
      </c>
      <c r="STS1" s="15" t="s">
        <v>13628</v>
      </c>
      <c r="STT1" s="15" t="s">
        <v>13629</v>
      </c>
      <c r="STU1" s="15" t="s">
        <v>13630</v>
      </c>
      <c r="STV1" s="15" t="s">
        <v>13631</v>
      </c>
      <c r="STW1" s="15" t="s">
        <v>13632</v>
      </c>
      <c r="STX1" s="15" t="s">
        <v>13633</v>
      </c>
      <c r="STY1" s="15" t="s">
        <v>13634</v>
      </c>
      <c r="STZ1" s="15" t="s">
        <v>13635</v>
      </c>
      <c r="SUA1" s="15" t="s">
        <v>13636</v>
      </c>
      <c r="SUB1" s="15" t="s">
        <v>13637</v>
      </c>
      <c r="SUC1" s="15" t="s">
        <v>13638</v>
      </c>
      <c r="SUD1" s="15" t="s">
        <v>13639</v>
      </c>
      <c r="SUE1" s="15" t="s">
        <v>13640</v>
      </c>
      <c r="SUF1" s="15" t="s">
        <v>13641</v>
      </c>
      <c r="SUG1" s="15" t="s">
        <v>13642</v>
      </c>
      <c r="SUH1" s="15" t="s">
        <v>13643</v>
      </c>
      <c r="SUI1" s="15" t="s">
        <v>13644</v>
      </c>
      <c r="SUJ1" s="15" t="s">
        <v>13645</v>
      </c>
      <c r="SUK1" s="15" t="s">
        <v>13646</v>
      </c>
      <c r="SUL1" s="15" t="s">
        <v>13647</v>
      </c>
      <c r="SUM1" s="15" t="s">
        <v>13648</v>
      </c>
      <c r="SUN1" s="15" t="s">
        <v>13649</v>
      </c>
      <c r="SUO1" s="15" t="s">
        <v>13650</v>
      </c>
      <c r="SUP1" s="15" t="s">
        <v>13651</v>
      </c>
      <c r="SUQ1" s="15" t="s">
        <v>13652</v>
      </c>
      <c r="SUR1" s="15" t="s">
        <v>13653</v>
      </c>
      <c r="SUS1" s="15" t="s">
        <v>13654</v>
      </c>
      <c r="SUT1" s="15" t="s">
        <v>13655</v>
      </c>
      <c r="SUU1" s="15" t="s">
        <v>13656</v>
      </c>
      <c r="SUV1" s="15" t="s">
        <v>13657</v>
      </c>
      <c r="SUW1" s="15" t="s">
        <v>13658</v>
      </c>
      <c r="SUX1" s="15" t="s">
        <v>13659</v>
      </c>
      <c r="SUY1" s="15" t="s">
        <v>13660</v>
      </c>
      <c r="SUZ1" s="15" t="s">
        <v>13661</v>
      </c>
      <c r="SVA1" s="15" t="s">
        <v>13662</v>
      </c>
      <c r="SVB1" s="15" t="s">
        <v>13663</v>
      </c>
      <c r="SVC1" s="15" t="s">
        <v>13664</v>
      </c>
      <c r="SVD1" s="15" t="s">
        <v>13665</v>
      </c>
      <c r="SVE1" s="15" t="s">
        <v>13666</v>
      </c>
      <c r="SVF1" s="15" t="s">
        <v>13667</v>
      </c>
      <c r="SVG1" s="15" t="s">
        <v>13668</v>
      </c>
      <c r="SVH1" s="15" t="s">
        <v>13669</v>
      </c>
      <c r="SVI1" s="15" t="s">
        <v>13670</v>
      </c>
      <c r="SVJ1" s="15" t="s">
        <v>13671</v>
      </c>
      <c r="SVK1" s="15" t="s">
        <v>13672</v>
      </c>
      <c r="SVL1" s="15" t="s">
        <v>13673</v>
      </c>
      <c r="SVM1" s="15" t="s">
        <v>13674</v>
      </c>
      <c r="SVN1" s="15" t="s">
        <v>13675</v>
      </c>
      <c r="SVO1" s="15" t="s">
        <v>13676</v>
      </c>
      <c r="SVP1" s="15" t="s">
        <v>13677</v>
      </c>
      <c r="SVQ1" s="15" t="s">
        <v>13678</v>
      </c>
      <c r="SVR1" s="15" t="s">
        <v>13679</v>
      </c>
      <c r="SVS1" s="15" t="s">
        <v>13680</v>
      </c>
      <c r="SVT1" s="15" t="s">
        <v>13681</v>
      </c>
      <c r="SVU1" s="15" t="s">
        <v>13682</v>
      </c>
      <c r="SVV1" s="15" t="s">
        <v>13683</v>
      </c>
      <c r="SVW1" s="15" t="s">
        <v>13684</v>
      </c>
      <c r="SVX1" s="15" t="s">
        <v>13685</v>
      </c>
      <c r="SVY1" s="15" t="s">
        <v>13686</v>
      </c>
      <c r="SVZ1" s="15" t="s">
        <v>13687</v>
      </c>
      <c r="SWA1" s="15" t="s">
        <v>13688</v>
      </c>
      <c r="SWB1" s="15" t="s">
        <v>13689</v>
      </c>
      <c r="SWC1" s="15" t="s">
        <v>13690</v>
      </c>
      <c r="SWD1" s="15" t="s">
        <v>13691</v>
      </c>
      <c r="SWE1" s="15" t="s">
        <v>13692</v>
      </c>
      <c r="SWF1" s="15" t="s">
        <v>13693</v>
      </c>
      <c r="SWG1" s="15" t="s">
        <v>13694</v>
      </c>
      <c r="SWH1" s="15" t="s">
        <v>13695</v>
      </c>
      <c r="SWI1" s="15" t="s">
        <v>13696</v>
      </c>
      <c r="SWJ1" s="15" t="s">
        <v>13697</v>
      </c>
      <c r="SWK1" s="15" t="s">
        <v>13698</v>
      </c>
      <c r="SWL1" s="15" t="s">
        <v>13699</v>
      </c>
      <c r="SWM1" s="15" t="s">
        <v>13700</v>
      </c>
      <c r="SWN1" s="15" t="s">
        <v>13701</v>
      </c>
      <c r="SWO1" s="15" t="s">
        <v>13702</v>
      </c>
      <c r="SWP1" s="15" t="s">
        <v>13703</v>
      </c>
      <c r="SWQ1" s="15" t="s">
        <v>13704</v>
      </c>
      <c r="SWR1" s="15" t="s">
        <v>13705</v>
      </c>
      <c r="SWS1" s="15" t="s">
        <v>13706</v>
      </c>
      <c r="SWT1" s="15" t="s">
        <v>13707</v>
      </c>
      <c r="SWU1" s="15" t="s">
        <v>13708</v>
      </c>
      <c r="SWV1" s="15" t="s">
        <v>13709</v>
      </c>
      <c r="SWW1" s="15" t="s">
        <v>13710</v>
      </c>
      <c r="SWX1" s="15" t="s">
        <v>13711</v>
      </c>
      <c r="SWY1" s="15" t="s">
        <v>13712</v>
      </c>
      <c r="SWZ1" s="15" t="s">
        <v>13713</v>
      </c>
      <c r="SXA1" s="15" t="s">
        <v>13714</v>
      </c>
      <c r="SXB1" s="15" t="s">
        <v>13715</v>
      </c>
      <c r="SXC1" s="15" t="s">
        <v>13716</v>
      </c>
      <c r="SXD1" s="15" t="s">
        <v>13717</v>
      </c>
      <c r="SXE1" s="15" t="s">
        <v>13718</v>
      </c>
      <c r="SXF1" s="15" t="s">
        <v>13719</v>
      </c>
      <c r="SXG1" s="15" t="s">
        <v>13720</v>
      </c>
      <c r="SXH1" s="15" t="s">
        <v>13721</v>
      </c>
      <c r="SXI1" s="15" t="s">
        <v>13722</v>
      </c>
      <c r="SXJ1" s="15" t="s">
        <v>13723</v>
      </c>
      <c r="SXK1" s="15" t="s">
        <v>13724</v>
      </c>
      <c r="SXL1" s="15" t="s">
        <v>13725</v>
      </c>
      <c r="SXM1" s="15" t="s">
        <v>13726</v>
      </c>
      <c r="SXN1" s="15" t="s">
        <v>13727</v>
      </c>
      <c r="SXO1" s="15" t="s">
        <v>13728</v>
      </c>
      <c r="SXP1" s="15" t="s">
        <v>13729</v>
      </c>
      <c r="SXQ1" s="15" t="s">
        <v>13730</v>
      </c>
      <c r="SXR1" s="15" t="s">
        <v>13731</v>
      </c>
      <c r="SXS1" s="15" t="s">
        <v>13732</v>
      </c>
      <c r="SXT1" s="15" t="s">
        <v>13733</v>
      </c>
      <c r="SXU1" s="15" t="s">
        <v>13734</v>
      </c>
      <c r="SXV1" s="15" t="s">
        <v>13735</v>
      </c>
      <c r="SXW1" s="15" t="s">
        <v>13736</v>
      </c>
      <c r="SXX1" s="15" t="s">
        <v>13737</v>
      </c>
      <c r="SXY1" s="15" t="s">
        <v>13738</v>
      </c>
      <c r="SXZ1" s="15" t="s">
        <v>13739</v>
      </c>
      <c r="SYA1" s="15" t="s">
        <v>13740</v>
      </c>
      <c r="SYB1" s="15" t="s">
        <v>13741</v>
      </c>
      <c r="SYC1" s="15" t="s">
        <v>13742</v>
      </c>
      <c r="SYD1" s="15" t="s">
        <v>13743</v>
      </c>
      <c r="SYE1" s="15" t="s">
        <v>13744</v>
      </c>
      <c r="SYF1" s="15" t="s">
        <v>13745</v>
      </c>
      <c r="SYG1" s="15" t="s">
        <v>13746</v>
      </c>
      <c r="SYH1" s="15" t="s">
        <v>13747</v>
      </c>
      <c r="SYI1" s="15" t="s">
        <v>13748</v>
      </c>
      <c r="SYJ1" s="15" t="s">
        <v>13749</v>
      </c>
      <c r="SYK1" s="15" t="s">
        <v>13750</v>
      </c>
      <c r="SYL1" s="15" t="s">
        <v>13751</v>
      </c>
      <c r="SYM1" s="15" t="s">
        <v>13752</v>
      </c>
      <c r="SYN1" s="15" t="s">
        <v>13753</v>
      </c>
      <c r="SYO1" s="15" t="s">
        <v>13754</v>
      </c>
      <c r="SYP1" s="15" t="s">
        <v>13755</v>
      </c>
      <c r="SYQ1" s="15" t="s">
        <v>13756</v>
      </c>
      <c r="SYR1" s="15" t="s">
        <v>13757</v>
      </c>
      <c r="SYS1" s="15" t="s">
        <v>13758</v>
      </c>
      <c r="SYT1" s="15" t="s">
        <v>13759</v>
      </c>
      <c r="SYU1" s="15" t="s">
        <v>13760</v>
      </c>
      <c r="SYV1" s="15" t="s">
        <v>13761</v>
      </c>
      <c r="SYW1" s="15" t="s">
        <v>13762</v>
      </c>
      <c r="SYX1" s="15" t="s">
        <v>13763</v>
      </c>
      <c r="SYY1" s="15" t="s">
        <v>13764</v>
      </c>
      <c r="SYZ1" s="15" t="s">
        <v>13765</v>
      </c>
      <c r="SZA1" s="15" t="s">
        <v>13766</v>
      </c>
      <c r="SZB1" s="15" t="s">
        <v>13767</v>
      </c>
      <c r="SZC1" s="15" t="s">
        <v>13768</v>
      </c>
      <c r="SZD1" s="15" t="s">
        <v>13769</v>
      </c>
      <c r="SZE1" s="15" t="s">
        <v>13770</v>
      </c>
      <c r="SZF1" s="15" t="s">
        <v>13771</v>
      </c>
      <c r="SZG1" s="15" t="s">
        <v>13772</v>
      </c>
      <c r="SZH1" s="15" t="s">
        <v>13773</v>
      </c>
      <c r="SZI1" s="15" t="s">
        <v>13774</v>
      </c>
      <c r="SZJ1" s="15" t="s">
        <v>13775</v>
      </c>
      <c r="SZK1" s="15" t="s">
        <v>13776</v>
      </c>
      <c r="SZL1" s="15" t="s">
        <v>13777</v>
      </c>
      <c r="SZM1" s="15" t="s">
        <v>13778</v>
      </c>
      <c r="SZN1" s="15" t="s">
        <v>13779</v>
      </c>
      <c r="SZO1" s="15" t="s">
        <v>13780</v>
      </c>
      <c r="SZP1" s="15" t="s">
        <v>13781</v>
      </c>
      <c r="SZQ1" s="15" t="s">
        <v>13782</v>
      </c>
      <c r="SZR1" s="15" t="s">
        <v>13783</v>
      </c>
      <c r="SZS1" s="15" t="s">
        <v>13784</v>
      </c>
      <c r="SZT1" s="15" t="s">
        <v>13785</v>
      </c>
      <c r="SZU1" s="15" t="s">
        <v>13786</v>
      </c>
      <c r="SZV1" s="15" t="s">
        <v>13787</v>
      </c>
      <c r="SZW1" s="15" t="s">
        <v>13788</v>
      </c>
      <c r="SZX1" s="15" t="s">
        <v>13789</v>
      </c>
      <c r="SZY1" s="15" t="s">
        <v>13790</v>
      </c>
      <c r="SZZ1" s="15" t="s">
        <v>13791</v>
      </c>
      <c r="TAA1" s="15" t="s">
        <v>13792</v>
      </c>
      <c r="TAB1" s="15" t="s">
        <v>13793</v>
      </c>
      <c r="TAC1" s="15" t="s">
        <v>13794</v>
      </c>
      <c r="TAD1" s="15" t="s">
        <v>13795</v>
      </c>
      <c r="TAE1" s="15" t="s">
        <v>13796</v>
      </c>
      <c r="TAF1" s="15" t="s">
        <v>13797</v>
      </c>
      <c r="TAG1" s="15" t="s">
        <v>13798</v>
      </c>
      <c r="TAH1" s="15" t="s">
        <v>13799</v>
      </c>
      <c r="TAI1" s="15" t="s">
        <v>13800</v>
      </c>
      <c r="TAJ1" s="15" t="s">
        <v>13801</v>
      </c>
      <c r="TAK1" s="15" t="s">
        <v>13802</v>
      </c>
      <c r="TAL1" s="15" t="s">
        <v>13803</v>
      </c>
      <c r="TAM1" s="15" t="s">
        <v>13804</v>
      </c>
      <c r="TAN1" s="15" t="s">
        <v>13805</v>
      </c>
      <c r="TAO1" s="15" t="s">
        <v>13806</v>
      </c>
      <c r="TAP1" s="15" t="s">
        <v>13807</v>
      </c>
      <c r="TAQ1" s="15" t="s">
        <v>13808</v>
      </c>
      <c r="TAR1" s="15" t="s">
        <v>13809</v>
      </c>
      <c r="TAS1" s="15" t="s">
        <v>13810</v>
      </c>
      <c r="TAT1" s="15" t="s">
        <v>13811</v>
      </c>
      <c r="TAU1" s="15" t="s">
        <v>13812</v>
      </c>
      <c r="TAV1" s="15" t="s">
        <v>13813</v>
      </c>
      <c r="TAW1" s="15" t="s">
        <v>13814</v>
      </c>
      <c r="TAX1" s="15" t="s">
        <v>13815</v>
      </c>
      <c r="TAY1" s="15" t="s">
        <v>13816</v>
      </c>
      <c r="TAZ1" s="15" t="s">
        <v>13817</v>
      </c>
      <c r="TBA1" s="15" t="s">
        <v>13818</v>
      </c>
      <c r="TBB1" s="15" t="s">
        <v>13819</v>
      </c>
      <c r="TBC1" s="15" t="s">
        <v>13820</v>
      </c>
      <c r="TBD1" s="15" t="s">
        <v>13821</v>
      </c>
      <c r="TBE1" s="15" t="s">
        <v>13822</v>
      </c>
      <c r="TBF1" s="15" t="s">
        <v>13823</v>
      </c>
      <c r="TBG1" s="15" t="s">
        <v>13824</v>
      </c>
      <c r="TBH1" s="15" t="s">
        <v>13825</v>
      </c>
      <c r="TBI1" s="15" t="s">
        <v>13826</v>
      </c>
      <c r="TBJ1" s="15" t="s">
        <v>13827</v>
      </c>
      <c r="TBK1" s="15" t="s">
        <v>13828</v>
      </c>
      <c r="TBL1" s="15" t="s">
        <v>13829</v>
      </c>
      <c r="TBM1" s="15" t="s">
        <v>13830</v>
      </c>
      <c r="TBN1" s="15" t="s">
        <v>13831</v>
      </c>
      <c r="TBO1" s="15" t="s">
        <v>13832</v>
      </c>
      <c r="TBP1" s="15" t="s">
        <v>13833</v>
      </c>
      <c r="TBQ1" s="15" t="s">
        <v>13834</v>
      </c>
      <c r="TBR1" s="15" t="s">
        <v>13835</v>
      </c>
      <c r="TBS1" s="15" t="s">
        <v>13836</v>
      </c>
      <c r="TBT1" s="15" t="s">
        <v>13837</v>
      </c>
      <c r="TBU1" s="15" t="s">
        <v>13838</v>
      </c>
      <c r="TBV1" s="15" t="s">
        <v>13839</v>
      </c>
      <c r="TBW1" s="15" t="s">
        <v>13840</v>
      </c>
      <c r="TBX1" s="15" t="s">
        <v>13841</v>
      </c>
      <c r="TBY1" s="15" t="s">
        <v>13842</v>
      </c>
      <c r="TBZ1" s="15" t="s">
        <v>13843</v>
      </c>
      <c r="TCA1" s="15" t="s">
        <v>13844</v>
      </c>
      <c r="TCB1" s="15" t="s">
        <v>13845</v>
      </c>
      <c r="TCC1" s="15" t="s">
        <v>13846</v>
      </c>
      <c r="TCD1" s="15" t="s">
        <v>13847</v>
      </c>
      <c r="TCE1" s="15" t="s">
        <v>13848</v>
      </c>
      <c r="TCF1" s="15" t="s">
        <v>13849</v>
      </c>
      <c r="TCG1" s="15" t="s">
        <v>13850</v>
      </c>
      <c r="TCH1" s="15" t="s">
        <v>13851</v>
      </c>
      <c r="TCI1" s="15" t="s">
        <v>13852</v>
      </c>
      <c r="TCJ1" s="15" t="s">
        <v>13853</v>
      </c>
      <c r="TCK1" s="15" t="s">
        <v>13854</v>
      </c>
      <c r="TCL1" s="15" t="s">
        <v>13855</v>
      </c>
      <c r="TCM1" s="15" t="s">
        <v>13856</v>
      </c>
      <c r="TCN1" s="15" t="s">
        <v>13857</v>
      </c>
      <c r="TCO1" s="15" t="s">
        <v>13858</v>
      </c>
      <c r="TCP1" s="15" t="s">
        <v>13859</v>
      </c>
      <c r="TCQ1" s="15" t="s">
        <v>13860</v>
      </c>
      <c r="TCR1" s="15" t="s">
        <v>13861</v>
      </c>
      <c r="TCS1" s="15" t="s">
        <v>13862</v>
      </c>
      <c r="TCT1" s="15" t="s">
        <v>13863</v>
      </c>
      <c r="TCU1" s="15" t="s">
        <v>13864</v>
      </c>
      <c r="TCV1" s="15" t="s">
        <v>13865</v>
      </c>
      <c r="TCW1" s="15" t="s">
        <v>13866</v>
      </c>
      <c r="TCX1" s="15" t="s">
        <v>13867</v>
      </c>
      <c r="TCY1" s="15" t="s">
        <v>13868</v>
      </c>
      <c r="TCZ1" s="15" t="s">
        <v>13869</v>
      </c>
      <c r="TDA1" s="15" t="s">
        <v>13870</v>
      </c>
      <c r="TDB1" s="15" t="s">
        <v>13871</v>
      </c>
      <c r="TDC1" s="15" t="s">
        <v>13872</v>
      </c>
      <c r="TDD1" s="15" t="s">
        <v>13873</v>
      </c>
      <c r="TDE1" s="15" t="s">
        <v>13874</v>
      </c>
      <c r="TDF1" s="15" t="s">
        <v>13875</v>
      </c>
      <c r="TDG1" s="15" t="s">
        <v>13876</v>
      </c>
      <c r="TDH1" s="15" t="s">
        <v>13877</v>
      </c>
      <c r="TDI1" s="15" t="s">
        <v>13878</v>
      </c>
      <c r="TDJ1" s="15" t="s">
        <v>13879</v>
      </c>
      <c r="TDK1" s="15" t="s">
        <v>13880</v>
      </c>
      <c r="TDL1" s="15" t="s">
        <v>13881</v>
      </c>
      <c r="TDM1" s="15" t="s">
        <v>13882</v>
      </c>
      <c r="TDN1" s="15" t="s">
        <v>13883</v>
      </c>
      <c r="TDO1" s="15" t="s">
        <v>13884</v>
      </c>
      <c r="TDP1" s="15" t="s">
        <v>13885</v>
      </c>
      <c r="TDQ1" s="15" t="s">
        <v>13886</v>
      </c>
      <c r="TDR1" s="15" t="s">
        <v>13887</v>
      </c>
      <c r="TDS1" s="15" t="s">
        <v>13888</v>
      </c>
      <c r="TDT1" s="15" t="s">
        <v>13889</v>
      </c>
      <c r="TDU1" s="15" t="s">
        <v>13890</v>
      </c>
      <c r="TDV1" s="15" t="s">
        <v>13891</v>
      </c>
      <c r="TDW1" s="15" t="s">
        <v>13892</v>
      </c>
      <c r="TDX1" s="15" t="s">
        <v>13893</v>
      </c>
      <c r="TDY1" s="15" t="s">
        <v>13894</v>
      </c>
      <c r="TDZ1" s="15" t="s">
        <v>13895</v>
      </c>
      <c r="TEA1" s="15" t="s">
        <v>13896</v>
      </c>
      <c r="TEB1" s="15" t="s">
        <v>13897</v>
      </c>
      <c r="TEC1" s="15" t="s">
        <v>13898</v>
      </c>
      <c r="TED1" s="15" t="s">
        <v>13899</v>
      </c>
      <c r="TEE1" s="15" t="s">
        <v>13900</v>
      </c>
      <c r="TEF1" s="15" t="s">
        <v>13901</v>
      </c>
      <c r="TEG1" s="15" t="s">
        <v>13902</v>
      </c>
      <c r="TEH1" s="15" t="s">
        <v>13903</v>
      </c>
      <c r="TEI1" s="15" t="s">
        <v>13904</v>
      </c>
      <c r="TEJ1" s="15" t="s">
        <v>13905</v>
      </c>
      <c r="TEK1" s="15" t="s">
        <v>13906</v>
      </c>
      <c r="TEL1" s="15" t="s">
        <v>13907</v>
      </c>
      <c r="TEM1" s="15" t="s">
        <v>13908</v>
      </c>
      <c r="TEN1" s="15" t="s">
        <v>13909</v>
      </c>
      <c r="TEO1" s="15" t="s">
        <v>13910</v>
      </c>
      <c r="TEP1" s="15" t="s">
        <v>13911</v>
      </c>
      <c r="TEQ1" s="15" t="s">
        <v>13912</v>
      </c>
      <c r="TER1" s="15" t="s">
        <v>13913</v>
      </c>
      <c r="TES1" s="15" t="s">
        <v>13914</v>
      </c>
      <c r="TET1" s="15" t="s">
        <v>13915</v>
      </c>
      <c r="TEU1" s="15" t="s">
        <v>13916</v>
      </c>
      <c r="TEV1" s="15" t="s">
        <v>13917</v>
      </c>
      <c r="TEW1" s="15" t="s">
        <v>13918</v>
      </c>
      <c r="TEX1" s="15" t="s">
        <v>13919</v>
      </c>
      <c r="TEY1" s="15" t="s">
        <v>13920</v>
      </c>
      <c r="TEZ1" s="15" t="s">
        <v>13921</v>
      </c>
      <c r="TFA1" s="15" t="s">
        <v>13922</v>
      </c>
      <c r="TFB1" s="15" t="s">
        <v>13923</v>
      </c>
      <c r="TFC1" s="15" t="s">
        <v>13924</v>
      </c>
      <c r="TFD1" s="15" t="s">
        <v>13925</v>
      </c>
      <c r="TFE1" s="15" t="s">
        <v>13926</v>
      </c>
      <c r="TFF1" s="15" t="s">
        <v>13927</v>
      </c>
      <c r="TFG1" s="15" t="s">
        <v>13928</v>
      </c>
      <c r="TFH1" s="15" t="s">
        <v>13929</v>
      </c>
      <c r="TFI1" s="15" t="s">
        <v>13930</v>
      </c>
      <c r="TFJ1" s="15" t="s">
        <v>13931</v>
      </c>
      <c r="TFK1" s="15" t="s">
        <v>13932</v>
      </c>
      <c r="TFL1" s="15" t="s">
        <v>13933</v>
      </c>
      <c r="TFM1" s="15" t="s">
        <v>13934</v>
      </c>
      <c r="TFN1" s="15" t="s">
        <v>13935</v>
      </c>
      <c r="TFO1" s="15" t="s">
        <v>13936</v>
      </c>
      <c r="TFP1" s="15" t="s">
        <v>13937</v>
      </c>
      <c r="TFQ1" s="15" t="s">
        <v>13938</v>
      </c>
      <c r="TFR1" s="15" t="s">
        <v>13939</v>
      </c>
      <c r="TFS1" s="15" t="s">
        <v>13940</v>
      </c>
      <c r="TFT1" s="15" t="s">
        <v>13941</v>
      </c>
      <c r="TFU1" s="15" t="s">
        <v>13942</v>
      </c>
      <c r="TFV1" s="15" t="s">
        <v>13943</v>
      </c>
      <c r="TFW1" s="15" t="s">
        <v>13944</v>
      </c>
      <c r="TFX1" s="15" t="s">
        <v>13945</v>
      </c>
      <c r="TFY1" s="15" t="s">
        <v>13946</v>
      </c>
      <c r="TFZ1" s="15" t="s">
        <v>13947</v>
      </c>
      <c r="TGA1" s="15" t="s">
        <v>13948</v>
      </c>
      <c r="TGB1" s="15" t="s">
        <v>13949</v>
      </c>
      <c r="TGC1" s="15" t="s">
        <v>13950</v>
      </c>
      <c r="TGD1" s="15" t="s">
        <v>13951</v>
      </c>
      <c r="TGE1" s="15" t="s">
        <v>13952</v>
      </c>
      <c r="TGF1" s="15" t="s">
        <v>13953</v>
      </c>
      <c r="TGG1" s="15" t="s">
        <v>13954</v>
      </c>
      <c r="TGH1" s="15" t="s">
        <v>13955</v>
      </c>
      <c r="TGI1" s="15" t="s">
        <v>13956</v>
      </c>
      <c r="TGJ1" s="15" t="s">
        <v>13957</v>
      </c>
      <c r="TGK1" s="15" t="s">
        <v>13958</v>
      </c>
      <c r="TGL1" s="15" t="s">
        <v>13959</v>
      </c>
      <c r="TGM1" s="15" t="s">
        <v>13960</v>
      </c>
      <c r="TGN1" s="15" t="s">
        <v>13961</v>
      </c>
      <c r="TGO1" s="15" t="s">
        <v>13962</v>
      </c>
      <c r="TGP1" s="15" t="s">
        <v>13963</v>
      </c>
      <c r="TGQ1" s="15" t="s">
        <v>13964</v>
      </c>
      <c r="TGR1" s="15" t="s">
        <v>13965</v>
      </c>
      <c r="TGS1" s="15" t="s">
        <v>13966</v>
      </c>
      <c r="TGT1" s="15" t="s">
        <v>13967</v>
      </c>
      <c r="TGU1" s="15" t="s">
        <v>13968</v>
      </c>
      <c r="TGV1" s="15" t="s">
        <v>13969</v>
      </c>
      <c r="TGW1" s="15" t="s">
        <v>13970</v>
      </c>
      <c r="TGX1" s="15" t="s">
        <v>13971</v>
      </c>
      <c r="TGY1" s="15" t="s">
        <v>13972</v>
      </c>
      <c r="TGZ1" s="15" t="s">
        <v>13973</v>
      </c>
      <c r="THA1" s="15" t="s">
        <v>13974</v>
      </c>
      <c r="THB1" s="15" t="s">
        <v>13975</v>
      </c>
      <c r="THC1" s="15" t="s">
        <v>13976</v>
      </c>
      <c r="THD1" s="15" t="s">
        <v>13977</v>
      </c>
      <c r="THE1" s="15" t="s">
        <v>13978</v>
      </c>
      <c r="THF1" s="15" t="s">
        <v>13979</v>
      </c>
      <c r="THG1" s="15" t="s">
        <v>13980</v>
      </c>
      <c r="THH1" s="15" t="s">
        <v>13981</v>
      </c>
      <c r="THI1" s="15" t="s">
        <v>13982</v>
      </c>
      <c r="THJ1" s="15" t="s">
        <v>13983</v>
      </c>
      <c r="THK1" s="15" t="s">
        <v>13984</v>
      </c>
      <c r="THL1" s="15" t="s">
        <v>13985</v>
      </c>
      <c r="THM1" s="15" t="s">
        <v>13986</v>
      </c>
      <c r="THN1" s="15" t="s">
        <v>13987</v>
      </c>
      <c r="THO1" s="15" t="s">
        <v>13988</v>
      </c>
      <c r="THP1" s="15" t="s">
        <v>13989</v>
      </c>
      <c r="THQ1" s="15" t="s">
        <v>13990</v>
      </c>
      <c r="THR1" s="15" t="s">
        <v>13991</v>
      </c>
      <c r="THS1" s="15" t="s">
        <v>13992</v>
      </c>
      <c r="THT1" s="15" t="s">
        <v>13993</v>
      </c>
      <c r="THU1" s="15" t="s">
        <v>13994</v>
      </c>
      <c r="THV1" s="15" t="s">
        <v>13995</v>
      </c>
      <c r="THW1" s="15" t="s">
        <v>13996</v>
      </c>
      <c r="THX1" s="15" t="s">
        <v>13997</v>
      </c>
      <c r="THY1" s="15" t="s">
        <v>13998</v>
      </c>
      <c r="THZ1" s="15" t="s">
        <v>13999</v>
      </c>
      <c r="TIA1" s="15" t="s">
        <v>14000</v>
      </c>
      <c r="TIB1" s="15" t="s">
        <v>14001</v>
      </c>
      <c r="TIC1" s="15" t="s">
        <v>14002</v>
      </c>
      <c r="TID1" s="15" t="s">
        <v>14003</v>
      </c>
      <c r="TIE1" s="15" t="s">
        <v>14004</v>
      </c>
      <c r="TIF1" s="15" t="s">
        <v>14005</v>
      </c>
      <c r="TIG1" s="15" t="s">
        <v>14006</v>
      </c>
      <c r="TIH1" s="15" t="s">
        <v>14007</v>
      </c>
      <c r="TII1" s="15" t="s">
        <v>14008</v>
      </c>
      <c r="TIJ1" s="15" t="s">
        <v>14009</v>
      </c>
      <c r="TIK1" s="15" t="s">
        <v>14010</v>
      </c>
      <c r="TIL1" s="15" t="s">
        <v>14011</v>
      </c>
      <c r="TIM1" s="15" t="s">
        <v>14012</v>
      </c>
      <c r="TIN1" s="15" t="s">
        <v>14013</v>
      </c>
      <c r="TIO1" s="15" t="s">
        <v>14014</v>
      </c>
      <c r="TIP1" s="15" t="s">
        <v>14015</v>
      </c>
      <c r="TIQ1" s="15" t="s">
        <v>14016</v>
      </c>
      <c r="TIR1" s="15" t="s">
        <v>14017</v>
      </c>
      <c r="TIS1" s="15" t="s">
        <v>14018</v>
      </c>
      <c r="TIT1" s="15" t="s">
        <v>14019</v>
      </c>
      <c r="TIU1" s="15" t="s">
        <v>14020</v>
      </c>
      <c r="TIV1" s="15" t="s">
        <v>14021</v>
      </c>
      <c r="TIW1" s="15" t="s">
        <v>14022</v>
      </c>
      <c r="TIX1" s="15" t="s">
        <v>14023</v>
      </c>
      <c r="TIY1" s="15" t="s">
        <v>14024</v>
      </c>
      <c r="TIZ1" s="15" t="s">
        <v>14025</v>
      </c>
      <c r="TJA1" s="15" t="s">
        <v>14026</v>
      </c>
      <c r="TJB1" s="15" t="s">
        <v>14027</v>
      </c>
      <c r="TJC1" s="15" t="s">
        <v>14028</v>
      </c>
      <c r="TJD1" s="15" t="s">
        <v>14029</v>
      </c>
      <c r="TJE1" s="15" t="s">
        <v>14030</v>
      </c>
      <c r="TJF1" s="15" t="s">
        <v>14031</v>
      </c>
      <c r="TJG1" s="15" t="s">
        <v>14032</v>
      </c>
      <c r="TJH1" s="15" t="s">
        <v>14033</v>
      </c>
      <c r="TJI1" s="15" t="s">
        <v>14034</v>
      </c>
      <c r="TJJ1" s="15" t="s">
        <v>14035</v>
      </c>
      <c r="TJK1" s="15" t="s">
        <v>14036</v>
      </c>
      <c r="TJL1" s="15" t="s">
        <v>14037</v>
      </c>
      <c r="TJM1" s="15" t="s">
        <v>14038</v>
      </c>
      <c r="TJN1" s="15" t="s">
        <v>14039</v>
      </c>
      <c r="TJO1" s="15" t="s">
        <v>14040</v>
      </c>
      <c r="TJP1" s="15" t="s">
        <v>14041</v>
      </c>
      <c r="TJQ1" s="15" t="s">
        <v>14042</v>
      </c>
      <c r="TJR1" s="15" t="s">
        <v>14043</v>
      </c>
      <c r="TJS1" s="15" t="s">
        <v>14044</v>
      </c>
      <c r="TJT1" s="15" t="s">
        <v>14045</v>
      </c>
      <c r="TJU1" s="15" t="s">
        <v>14046</v>
      </c>
      <c r="TJV1" s="15" t="s">
        <v>14047</v>
      </c>
      <c r="TJW1" s="15" t="s">
        <v>14048</v>
      </c>
      <c r="TJX1" s="15" t="s">
        <v>14049</v>
      </c>
      <c r="TJY1" s="15" t="s">
        <v>14050</v>
      </c>
      <c r="TJZ1" s="15" t="s">
        <v>14051</v>
      </c>
      <c r="TKA1" s="15" t="s">
        <v>14052</v>
      </c>
      <c r="TKB1" s="15" t="s">
        <v>14053</v>
      </c>
      <c r="TKC1" s="15" t="s">
        <v>14054</v>
      </c>
      <c r="TKD1" s="15" t="s">
        <v>14055</v>
      </c>
      <c r="TKE1" s="15" t="s">
        <v>14056</v>
      </c>
      <c r="TKF1" s="15" t="s">
        <v>14057</v>
      </c>
      <c r="TKG1" s="15" t="s">
        <v>14058</v>
      </c>
      <c r="TKH1" s="15" t="s">
        <v>14059</v>
      </c>
      <c r="TKI1" s="15" t="s">
        <v>14060</v>
      </c>
      <c r="TKJ1" s="15" t="s">
        <v>14061</v>
      </c>
      <c r="TKK1" s="15" t="s">
        <v>14062</v>
      </c>
      <c r="TKL1" s="15" t="s">
        <v>14063</v>
      </c>
      <c r="TKM1" s="15" t="s">
        <v>14064</v>
      </c>
      <c r="TKN1" s="15" t="s">
        <v>14065</v>
      </c>
      <c r="TKO1" s="15" t="s">
        <v>14066</v>
      </c>
      <c r="TKP1" s="15" t="s">
        <v>14067</v>
      </c>
      <c r="TKQ1" s="15" t="s">
        <v>14068</v>
      </c>
      <c r="TKR1" s="15" t="s">
        <v>14069</v>
      </c>
      <c r="TKS1" s="15" t="s">
        <v>14070</v>
      </c>
      <c r="TKT1" s="15" t="s">
        <v>14071</v>
      </c>
      <c r="TKU1" s="15" t="s">
        <v>14072</v>
      </c>
      <c r="TKV1" s="15" t="s">
        <v>14073</v>
      </c>
      <c r="TKW1" s="15" t="s">
        <v>14074</v>
      </c>
      <c r="TKX1" s="15" t="s">
        <v>14075</v>
      </c>
      <c r="TKY1" s="15" t="s">
        <v>14076</v>
      </c>
      <c r="TKZ1" s="15" t="s">
        <v>14077</v>
      </c>
      <c r="TLA1" s="15" t="s">
        <v>14078</v>
      </c>
      <c r="TLB1" s="15" t="s">
        <v>14079</v>
      </c>
      <c r="TLC1" s="15" t="s">
        <v>14080</v>
      </c>
      <c r="TLD1" s="15" t="s">
        <v>14081</v>
      </c>
      <c r="TLE1" s="15" t="s">
        <v>14082</v>
      </c>
      <c r="TLF1" s="15" t="s">
        <v>14083</v>
      </c>
      <c r="TLG1" s="15" t="s">
        <v>14084</v>
      </c>
      <c r="TLH1" s="15" t="s">
        <v>14085</v>
      </c>
      <c r="TLI1" s="15" t="s">
        <v>14086</v>
      </c>
      <c r="TLJ1" s="15" t="s">
        <v>14087</v>
      </c>
      <c r="TLK1" s="15" t="s">
        <v>14088</v>
      </c>
      <c r="TLL1" s="15" t="s">
        <v>14089</v>
      </c>
      <c r="TLM1" s="15" t="s">
        <v>14090</v>
      </c>
      <c r="TLN1" s="15" t="s">
        <v>14091</v>
      </c>
      <c r="TLO1" s="15" t="s">
        <v>14092</v>
      </c>
      <c r="TLP1" s="15" t="s">
        <v>14093</v>
      </c>
      <c r="TLQ1" s="15" t="s">
        <v>14094</v>
      </c>
      <c r="TLR1" s="15" t="s">
        <v>14095</v>
      </c>
      <c r="TLS1" s="15" t="s">
        <v>14096</v>
      </c>
      <c r="TLT1" s="15" t="s">
        <v>14097</v>
      </c>
      <c r="TLU1" s="15" t="s">
        <v>14098</v>
      </c>
      <c r="TLV1" s="15" t="s">
        <v>14099</v>
      </c>
      <c r="TLW1" s="15" t="s">
        <v>14100</v>
      </c>
      <c r="TLX1" s="15" t="s">
        <v>14101</v>
      </c>
      <c r="TLY1" s="15" t="s">
        <v>14102</v>
      </c>
      <c r="TLZ1" s="15" t="s">
        <v>14103</v>
      </c>
      <c r="TMA1" s="15" t="s">
        <v>14104</v>
      </c>
      <c r="TMB1" s="15" t="s">
        <v>14105</v>
      </c>
      <c r="TMC1" s="15" t="s">
        <v>14106</v>
      </c>
      <c r="TMD1" s="15" t="s">
        <v>14107</v>
      </c>
      <c r="TME1" s="15" t="s">
        <v>14108</v>
      </c>
      <c r="TMF1" s="15" t="s">
        <v>14109</v>
      </c>
      <c r="TMG1" s="15" t="s">
        <v>14110</v>
      </c>
      <c r="TMH1" s="15" t="s">
        <v>14111</v>
      </c>
      <c r="TMI1" s="15" t="s">
        <v>14112</v>
      </c>
      <c r="TMJ1" s="15" t="s">
        <v>14113</v>
      </c>
      <c r="TMK1" s="15" t="s">
        <v>14114</v>
      </c>
      <c r="TML1" s="15" t="s">
        <v>14115</v>
      </c>
      <c r="TMM1" s="15" t="s">
        <v>14116</v>
      </c>
      <c r="TMN1" s="15" t="s">
        <v>14117</v>
      </c>
      <c r="TMO1" s="15" t="s">
        <v>14118</v>
      </c>
      <c r="TMP1" s="15" t="s">
        <v>14119</v>
      </c>
      <c r="TMQ1" s="15" t="s">
        <v>14120</v>
      </c>
      <c r="TMR1" s="15" t="s">
        <v>14121</v>
      </c>
      <c r="TMS1" s="15" t="s">
        <v>14122</v>
      </c>
      <c r="TMT1" s="15" t="s">
        <v>14123</v>
      </c>
      <c r="TMU1" s="15" t="s">
        <v>14124</v>
      </c>
      <c r="TMV1" s="15" t="s">
        <v>14125</v>
      </c>
      <c r="TMW1" s="15" t="s">
        <v>14126</v>
      </c>
      <c r="TMX1" s="15" t="s">
        <v>14127</v>
      </c>
      <c r="TMY1" s="15" t="s">
        <v>14128</v>
      </c>
      <c r="TMZ1" s="15" t="s">
        <v>14129</v>
      </c>
      <c r="TNA1" s="15" t="s">
        <v>14130</v>
      </c>
      <c r="TNB1" s="15" t="s">
        <v>14131</v>
      </c>
      <c r="TNC1" s="15" t="s">
        <v>14132</v>
      </c>
      <c r="TND1" s="15" t="s">
        <v>14133</v>
      </c>
      <c r="TNE1" s="15" t="s">
        <v>14134</v>
      </c>
      <c r="TNF1" s="15" t="s">
        <v>14135</v>
      </c>
      <c r="TNG1" s="15" t="s">
        <v>14136</v>
      </c>
      <c r="TNH1" s="15" t="s">
        <v>14137</v>
      </c>
      <c r="TNI1" s="15" t="s">
        <v>14138</v>
      </c>
      <c r="TNJ1" s="15" t="s">
        <v>14139</v>
      </c>
      <c r="TNK1" s="15" t="s">
        <v>14140</v>
      </c>
      <c r="TNL1" s="15" t="s">
        <v>14141</v>
      </c>
      <c r="TNM1" s="15" t="s">
        <v>14142</v>
      </c>
      <c r="TNN1" s="15" t="s">
        <v>14143</v>
      </c>
      <c r="TNO1" s="15" t="s">
        <v>14144</v>
      </c>
      <c r="TNP1" s="15" t="s">
        <v>14145</v>
      </c>
      <c r="TNQ1" s="15" t="s">
        <v>14146</v>
      </c>
      <c r="TNR1" s="15" t="s">
        <v>14147</v>
      </c>
      <c r="TNS1" s="15" t="s">
        <v>14148</v>
      </c>
      <c r="TNT1" s="15" t="s">
        <v>14149</v>
      </c>
      <c r="TNU1" s="15" t="s">
        <v>14150</v>
      </c>
      <c r="TNV1" s="15" t="s">
        <v>14151</v>
      </c>
      <c r="TNW1" s="15" t="s">
        <v>14152</v>
      </c>
      <c r="TNX1" s="15" t="s">
        <v>14153</v>
      </c>
      <c r="TNY1" s="15" t="s">
        <v>14154</v>
      </c>
      <c r="TNZ1" s="15" t="s">
        <v>14155</v>
      </c>
      <c r="TOA1" s="15" t="s">
        <v>14156</v>
      </c>
      <c r="TOB1" s="15" t="s">
        <v>14157</v>
      </c>
      <c r="TOC1" s="15" t="s">
        <v>14158</v>
      </c>
      <c r="TOD1" s="15" t="s">
        <v>14159</v>
      </c>
      <c r="TOE1" s="15" t="s">
        <v>14160</v>
      </c>
      <c r="TOF1" s="15" t="s">
        <v>14161</v>
      </c>
      <c r="TOG1" s="15" t="s">
        <v>14162</v>
      </c>
      <c r="TOH1" s="15" t="s">
        <v>14163</v>
      </c>
      <c r="TOI1" s="15" t="s">
        <v>14164</v>
      </c>
      <c r="TOJ1" s="15" t="s">
        <v>14165</v>
      </c>
      <c r="TOK1" s="15" t="s">
        <v>14166</v>
      </c>
      <c r="TOL1" s="15" t="s">
        <v>14167</v>
      </c>
      <c r="TOM1" s="15" t="s">
        <v>14168</v>
      </c>
      <c r="TON1" s="15" t="s">
        <v>14169</v>
      </c>
      <c r="TOO1" s="15" t="s">
        <v>14170</v>
      </c>
      <c r="TOP1" s="15" t="s">
        <v>14171</v>
      </c>
      <c r="TOQ1" s="15" t="s">
        <v>14172</v>
      </c>
      <c r="TOR1" s="15" t="s">
        <v>14173</v>
      </c>
      <c r="TOS1" s="15" t="s">
        <v>14174</v>
      </c>
      <c r="TOT1" s="15" t="s">
        <v>14175</v>
      </c>
      <c r="TOU1" s="15" t="s">
        <v>14176</v>
      </c>
      <c r="TOV1" s="15" t="s">
        <v>14177</v>
      </c>
      <c r="TOW1" s="15" t="s">
        <v>14178</v>
      </c>
      <c r="TOX1" s="15" t="s">
        <v>14179</v>
      </c>
      <c r="TOY1" s="15" t="s">
        <v>14180</v>
      </c>
      <c r="TOZ1" s="15" t="s">
        <v>14181</v>
      </c>
      <c r="TPA1" s="15" t="s">
        <v>14182</v>
      </c>
      <c r="TPB1" s="15" t="s">
        <v>14183</v>
      </c>
      <c r="TPC1" s="15" t="s">
        <v>14184</v>
      </c>
      <c r="TPD1" s="15" t="s">
        <v>14185</v>
      </c>
      <c r="TPE1" s="15" t="s">
        <v>14186</v>
      </c>
      <c r="TPF1" s="15" t="s">
        <v>14187</v>
      </c>
      <c r="TPG1" s="15" t="s">
        <v>14188</v>
      </c>
      <c r="TPH1" s="15" t="s">
        <v>14189</v>
      </c>
      <c r="TPI1" s="15" t="s">
        <v>14190</v>
      </c>
      <c r="TPJ1" s="15" t="s">
        <v>14191</v>
      </c>
      <c r="TPK1" s="15" t="s">
        <v>14192</v>
      </c>
      <c r="TPL1" s="15" t="s">
        <v>14193</v>
      </c>
      <c r="TPM1" s="15" t="s">
        <v>14194</v>
      </c>
      <c r="TPN1" s="15" t="s">
        <v>14195</v>
      </c>
      <c r="TPO1" s="15" t="s">
        <v>14196</v>
      </c>
      <c r="TPP1" s="15" t="s">
        <v>14197</v>
      </c>
      <c r="TPQ1" s="15" t="s">
        <v>14198</v>
      </c>
      <c r="TPR1" s="15" t="s">
        <v>14199</v>
      </c>
      <c r="TPS1" s="15" t="s">
        <v>14200</v>
      </c>
      <c r="TPT1" s="15" t="s">
        <v>14201</v>
      </c>
      <c r="TPU1" s="15" t="s">
        <v>14202</v>
      </c>
      <c r="TPV1" s="15" t="s">
        <v>14203</v>
      </c>
      <c r="TPW1" s="15" t="s">
        <v>14204</v>
      </c>
      <c r="TPX1" s="15" t="s">
        <v>14205</v>
      </c>
      <c r="TPY1" s="15" t="s">
        <v>14206</v>
      </c>
      <c r="TPZ1" s="15" t="s">
        <v>14207</v>
      </c>
      <c r="TQA1" s="15" t="s">
        <v>14208</v>
      </c>
      <c r="TQB1" s="15" t="s">
        <v>14209</v>
      </c>
      <c r="TQC1" s="15" t="s">
        <v>14210</v>
      </c>
      <c r="TQD1" s="15" t="s">
        <v>14211</v>
      </c>
      <c r="TQE1" s="15" t="s">
        <v>14212</v>
      </c>
      <c r="TQF1" s="15" t="s">
        <v>14213</v>
      </c>
      <c r="TQG1" s="15" t="s">
        <v>14214</v>
      </c>
      <c r="TQH1" s="15" t="s">
        <v>14215</v>
      </c>
      <c r="TQI1" s="15" t="s">
        <v>14216</v>
      </c>
      <c r="TQJ1" s="15" t="s">
        <v>14217</v>
      </c>
      <c r="TQK1" s="15" t="s">
        <v>14218</v>
      </c>
      <c r="TQL1" s="15" t="s">
        <v>14219</v>
      </c>
      <c r="TQM1" s="15" t="s">
        <v>14220</v>
      </c>
      <c r="TQN1" s="15" t="s">
        <v>14221</v>
      </c>
      <c r="TQO1" s="15" t="s">
        <v>14222</v>
      </c>
      <c r="TQP1" s="15" t="s">
        <v>14223</v>
      </c>
      <c r="TQQ1" s="15" t="s">
        <v>14224</v>
      </c>
      <c r="TQR1" s="15" t="s">
        <v>14225</v>
      </c>
      <c r="TQS1" s="15" t="s">
        <v>14226</v>
      </c>
      <c r="TQT1" s="15" t="s">
        <v>14227</v>
      </c>
      <c r="TQU1" s="15" t="s">
        <v>14228</v>
      </c>
      <c r="TQV1" s="15" t="s">
        <v>14229</v>
      </c>
      <c r="TQW1" s="15" t="s">
        <v>14230</v>
      </c>
      <c r="TQX1" s="15" t="s">
        <v>14231</v>
      </c>
      <c r="TQY1" s="15" t="s">
        <v>14232</v>
      </c>
      <c r="TQZ1" s="15" t="s">
        <v>14233</v>
      </c>
      <c r="TRA1" s="15" t="s">
        <v>14234</v>
      </c>
      <c r="TRB1" s="15" t="s">
        <v>14235</v>
      </c>
      <c r="TRC1" s="15" t="s">
        <v>14236</v>
      </c>
      <c r="TRD1" s="15" t="s">
        <v>14237</v>
      </c>
      <c r="TRE1" s="15" t="s">
        <v>14238</v>
      </c>
      <c r="TRF1" s="15" t="s">
        <v>14239</v>
      </c>
      <c r="TRG1" s="15" t="s">
        <v>14240</v>
      </c>
      <c r="TRH1" s="15" t="s">
        <v>14241</v>
      </c>
      <c r="TRI1" s="15" t="s">
        <v>14242</v>
      </c>
      <c r="TRJ1" s="15" t="s">
        <v>14243</v>
      </c>
      <c r="TRK1" s="15" t="s">
        <v>14244</v>
      </c>
      <c r="TRL1" s="15" t="s">
        <v>14245</v>
      </c>
      <c r="TRM1" s="15" t="s">
        <v>14246</v>
      </c>
      <c r="TRN1" s="15" t="s">
        <v>14247</v>
      </c>
      <c r="TRO1" s="15" t="s">
        <v>14248</v>
      </c>
      <c r="TRP1" s="15" t="s">
        <v>14249</v>
      </c>
      <c r="TRQ1" s="15" t="s">
        <v>14250</v>
      </c>
      <c r="TRR1" s="15" t="s">
        <v>14251</v>
      </c>
      <c r="TRS1" s="15" t="s">
        <v>14252</v>
      </c>
      <c r="TRT1" s="15" t="s">
        <v>14253</v>
      </c>
      <c r="TRU1" s="15" t="s">
        <v>14254</v>
      </c>
      <c r="TRV1" s="15" t="s">
        <v>14255</v>
      </c>
      <c r="TRW1" s="15" t="s">
        <v>14256</v>
      </c>
      <c r="TRX1" s="15" t="s">
        <v>14257</v>
      </c>
      <c r="TRY1" s="15" t="s">
        <v>14258</v>
      </c>
      <c r="TRZ1" s="15" t="s">
        <v>14259</v>
      </c>
      <c r="TSA1" s="15" t="s">
        <v>14260</v>
      </c>
      <c r="TSB1" s="15" t="s">
        <v>14261</v>
      </c>
      <c r="TSC1" s="15" t="s">
        <v>14262</v>
      </c>
      <c r="TSD1" s="15" t="s">
        <v>14263</v>
      </c>
      <c r="TSE1" s="15" t="s">
        <v>14264</v>
      </c>
      <c r="TSF1" s="15" t="s">
        <v>14265</v>
      </c>
      <c r="TSG1" s="15" t="s">
        <v>14266</v>
      </c>
      <c r="TSH1" s="15" t="s">
        <v>14267</v>
      </c>
      <c r="TSI1" s="15" t="s">
        <v>14268</v>
      </c>
      <c r="TSJ1" s="15" t="s">
        <v>14269</v>
      </c>
      <c r="TSK1" s="15" t="s">
        <v>14270</v>
      </c>
      <c r="TSL1" s="15" t="s">
        <v>14271</v>
      </c>
      <c r="TSM1" s="15" t="s">
        <v>14272</v>
      </c>
      <c r="TSN1" s="15" t="s">
        <v>14273</v>
      </c>
      <c r="TSO1" s="15" t="s">
        <v>14274</v>
      </c>
      <c r="TSP1" s="15" t="s">
        <v>14275</v>
      </c>
      <c r="TSQ1" s="15" t="s">
        <v>14276</v>
      </c>
      <c r="TSR1" s="15" t="s">
        <v>14277</v>
      </c>
      <c r="TSS1" s="15" t="s">
        <v>14278</v>
      </c>
      <c r="TST1" s="15" t="s">
        <v>14279</v>
      </c>
      <c r="TSU1" s="15" t="s">
        <v>14280</v>
      </c>
      <c r="TSV1" s="15" t="s">
        <v>14281</v>
      </c>
      <c r="TSW1" s="15" t="s">
        <v>14282</v>
      </c>
      <c r="TSX1" s="15" t="s">
        <v>14283</v>
      </c>
      <c r="TSY1" s="15" t="s">
        <v>14284</v>
      </c>
      <c r="TSZ1" s="15" t="s">
        <v>14285</v>
      </c>
      <c r="TTA1" s="15" t="s">
        <v>14286</v>
      </c>
      <c r="TTB1" s="15" t="s">
        <v>14287</v>
      </c>
      <c r="TTC1" s="15" t="s">
        <v>14288</v>
      </c>
      <c r="TTD1" s="15" t="s">
        <v>14289</v>
      </c>
      <c r="TTE1" s="15" t="s">
        <v>14290</v>
      </c>
      <c r="TTF1" s="15" t="s">
        <v>14291</v>
      </c>
      <c r="TTG1" s="15" t="s">
        <v>14292</v>
      </c>
      <c r="TTH1" s="15" t="s">
        <v>14293</v>
      </c>
      <c r="TTI1" s="15" t="s">
        <v>14294</v>
      </c>
      <c r="TTJ1" s="15" t="s">
        <v>14295</v>
      </c>
      <c r="TTK1" s="15" t="s">
        <v>14296</v>
      </c>
      <c r="TTL1" s="15" t="s">
        <v>14297</v>
      </c>
      <c r="TTM1" s="15" t="s">
        <v>14298</v>
      </c>
      <c r="TTN1" s="15" t="s">
        <v>14299</v>
      </c>
      <c r="TTO1" s="15" t="s">
        <v>14300</v>
      </c>
      <c r="TTP1" s="15" t="s">
        <v>14301</v>
      </c>
      <c r="TTQ1" s="15" t="s">
        <v>14302</v>
      </c>
      <c r="TTR1" s="15" t="s">
        <v>14303</v>
      </c>
      <c r="TTS1" s="15" t="s">
        <v>14304</v>
      </c>
      <c r="TTT1" s="15" t="s">
        <v>14305</v>
      </c>
      <c r="TTU1" s="15" t="s">
        <v>14306</v>
      </c>
      <c r="TTV1" s="15" t="s">
        <v>14307</v>
      </c>
      <c r="TTW1" s="15" t="s">
        <v>14308</v>
      </c>
      <c r="TTX1" s="15" t="s">
        <v>14309</v>
      </c>
      <c r="TTY1" s="15" t="s">
        <v>14310</v>
      </c>
      <c r="TTZ1" s="15" t="s">
        <v>14311</v>
      </c>
      <c r="TUA1" s="15" t="s">
        <v>14312</v>
      </c>
      <c r="TUB1" s="15" t="s">
        <v>14313</v>
      </c>
      <c r="TUC1" s="15" t="s">
        <v>14314</v>
      </c>
      <c r="TUD1" s="15" t="s">
        <v>14315</v>
      </c>
      <c r="TUE1" s="15" t="s">
        <v>14316</v>
      </c>
      <c r="TUF1" s="15" t="s">
        <v>14317</v>
      </c>
      <c r="TUG1" s="15" t="s">
        <v>14318</v>
      </c>
      <c r="TUH1" s="15" t="s">
        <v>14319</v>
      </c>
      <c r="TUI1" s="15" t="s">
        <v>14320</v>
      </c>
      <c r="TUJ1" s="15" t="s">
        <v>14321</v>
      </c>
      <c r="TUK1" s="15" t="s">
        <v>14322</v>
      </c>
      <c r="TUL1" s="15" t="s">
        <v>14323</v>
      </c>
      <c r="TUM1" s="15" t="s">
        <v>14324</v>
      </c>
      <c r="TUN1" s="15" t="s">
        <v>14325</v>
      </c>
      <c r="TUO1" s="15" t="s">
        <v>14326</v>
      </c>
      <c r="TUP1" s="15" t="s">
        <v>14327</v>
      </c>
      <c r="TUQ1" s="15" t="s">
        <v>14328</v>
      </c>
      <c r="TUR1" s="15" t="s">
        <v>14329</v>
      </c>
      <c r="TUS1" s="15" t="s">
        <v>14330</v>
      </c>
      <c r="TUT1" s="15" t="s">
        <v>14331</v>
      </c>
      <c r="TUU1" s="15" t="s">
        <v>14332</v>
      </c>
      <c r="TUV1" s="15" t="s">
        <v>14333</v>
      </c>
      <c r="TUW1" s="15" t="s">
        <v>14334</v>
      </c>
      <c r="TUX1" s="15" t="s">
        <v>14335</v>
      </c>
      <c r="TUY1" s="15" t="s">
        <v>14336</v>
      </c>
      <c r="TUZ1" s="15" t="s">
        <v>14337</v>
      </c>
      <c r="TVA1" s="15" t="s">
        <v>14338</v>
      </c>
      <c r="TVB1" s="15" t="s">
        <v>14339</v>
      </c>
      <c r="TVC1" s="15" t="s">
        <v>14340</v>
      </c>
      <c r="TVD1" s="15" t="s">
        <v>14341</v>
      </c>
      <c r="TVE1" s="15" t="s">
        <v>14342</v>
      </c>
      <c r="TVF1" s="15" t="s">
        <v>14343</v>
      </c>
      <c r="TVG1" s="15" t="s">
        <v>14344</v>
      </c>
      <c r="TVH1" s="15" t="s">
        <v>14345</v>
      </c>
      <c r="TVI1" s="15" t="s">
        <v>14346</v>
      </c>
      <c r="TVJ1" s="15" t="s">
        <v>14347</v>
      </c>
      <c r="TVK1" s="15" t="s">
        <v>14348</v>
      </c>
      <c r="TVL1" s="15" t="s">
        <v>14349</v>
      </c>
      <c r="TVM1" s="15" t="s">
        <v>14350</v>
      </c>
      <c r="TVN1" s="15" t="s">
        <v>14351</v>
      </c>
      <c r="TVO1" s="15" t="s">
        <v>14352</v>
      </c>
      <c r="TVP1" s="15" t="s">
        <v>14353</v>
      </c>
      <c r="TVQ1" s="15" t="s">
        <v>14354</v>
      </c>
      <c r="TVR1" s="15" t="s">
        <v>14355</v>
      </c>
      <c r="TVS1" s="15" t="s">
        <v>14356</v>
      </c>
      <c r="TVT1" s="15" t="s">
        <v>14357</v>
      </c>
      <c r="TVU1" s="15" t="s">
        <v>14358</v>
      </c>
      <c r="TVV1" s="15" t="s">
        <v>14359</v>
      </c>
      <c r="TVW1" s="15" t="s">
        <v>14360</v>
      </c>
      <c r="TVX1" s="15" t="s">
        <v>14361</v>
      </c>
      <c r="TVY1" s="15" t="s">
        <v>14362</v>
      </c>
      <c r="TVZ1" s="15" t="s">
        <v>14363</v>
      </c>
      <c r="TWA1" s="15" t="s">
        <v>14364</v>
      </c>
      <c r="TWB1" s="15" t="s">
        <v>14365</v>
      </c>
      <c r="TWC1" s="15" t="s">
        <v>14366</v>
      </c>
      <c r="TWD1" s="15" t="s">
        <v>14367</v>
      </c>
      <c r="TWE1" s="15" t="s">
        <v>14368</v>
      </c>
      <c r="TWF1" s="15" t="s">
        <v>14369</v>
      </c>
      <c r="TWG1" s="15" t="s">
        <v>14370</v>
      </c>
      <c r="TWH1" s="15" t="s">
        <v>14371</v>
      </c>
      <c r="TWI1" s="15" t="s">
        <v>14372</v>
      </c>
      <c r="TWJ1" s="15" t="s">
        <v>14373</v>
      </c>
      <c r="TWK1" s="15" t="s">
        <v>14374</v>
      </c>
      <c r="TWL1" s="15" t="s">
        <v>14375</v>
      </c>
      <c r="TWM1" s="15" t="s">
        <v>14376</v>
      </c>
      <c r="TWN1" s="15" t="s">
        <v>14377</v>
      </c>
      <c r="TWO1" s="15" t="s">
        <v>14378</v>
      </c>
      <c r="TWP1" s="15" t="s">
        <v>14379</v>
      </c>
      <c r="TWQ1" s="15" t="s">
        <v>14380</v>
      </c>
      <c r="TWR1" s="15" t="s">
        <v>14381</v>
      </c>
      <c r="TWS1" s="15" t="s">
        <v>14382</v>
      </c>
      <c r="TWT1" s="15" t="s">
        <v>14383</v>
      </c>
      <c r="TWU1" s="15" t="s">
        <v>14384</v>
      </c>
      <c r="TWV1" s="15" t="s">
        <v>14385</v>
      </c>
      <c r="TWW1" s="15" t="s">
        <v>14386</v>
      </c>
      <c r="TWX1" s="15" t="s">
        <v>14387</v>
      </c>
      <c r="TWY1" s="15" t="s">
        <v>14388</v>
      </c>
      <c r="TWZ1" s="15" t="s">
        <v>14389</v>
      </c>
      <c r="TXA1" s="15" t="s">
        <v>14390</v>
      </c>
      <c r="TXB1" s="15" t="s">
        <v>14391</v>
      </c>
      <c r="TXC1" s="15" t="s">
        <v>14392</v>
      </c>
      <c r="TXD1" s="15" t="s">
        <v>14393</v>
      </c>
      <c r="TXE1" s="15" t="s">
        <v>14394</v>
      </c>
      <c r="TXF1" s="15" t="s">
        <v>14395</v>
      </c>
      <c r="TXG1" s="15" t="s">
        <v>14396</v>
      </c>
      <c r="TXH1" s="15" t="s">
        <v>14397</v>
      </c>
      <c r="TXI1" s="15" t="s">
        <v>14398</v>
      </c>
      <c r="TXJ1" s="15" t="s">
        <v>14399</v>
      </c>
      <c r="TXK1" s="15" t="s">
        <v>14400</v>
      </c>
      <c r="TXL1" s="15" t="s">
        <v>14401</v>
      </c>
      <c r="TXM1" s="15" t="s">
        <v>14402</v>
      </c>
      <c r="TXN1" s="15" t="s">
        <v>14403</v>
      </c>
      <c r="TXO1" s="15" t="s">
        <v>14404</v>
      </c>
      <c r="TXP1" s="15" t="s">
        <v>14405</v>
      </c>
      <c r="TXQ1" s="15" t="s">
        <v>14406</v>
      </c>
      <c r="TXR1" s="15" t="s">
        <v>14407</v>
      </c>
      <c r="TXS1" s="15" t="s">
        <v>14408</v>
      </c>
      <c r="TXT1" s="15" t="s">
        <v>14409</v>
      </c>
      <c r="TXU1" s="15" t="s">
        <v>14410</v>
      </c>
      <c r="TXV1" s="15" t="s">
        <v>14411</v>
      </c>
      <c r="TXW1" s="15" t="s">
        <v>14412</v>
      </c>
      <c r="TXX1" s="15" t="s">
        <v>14413</v>
      </c>
      <c r="TXY1" s="15" t="s">
        <v>14414</v>
      </c>
      <c r="TXZ1" s="15" t="s">
        <v>14415</v>
      </c>
      <c r="TYA1" s="15" t="s">
        <v>14416</v>
      </c>
      <c r="TYB1" s="15" t="s">
        <v>14417</v>
      </c>
      <c r="TYC1" s="15" t="s">
        <v>14418</v>
      </c>
      <c r="TYD1" s="15" t="s">
        <v>14419</v>
      </c>
      <c r="TYE1" s="15" t="s">
        <v>14420</v>
      </c>
      <c r="TYF1" s="15" t="s">
        <v>14421</v>
      </c>
      <c r="TYG1" s="15" t="s">
        <v>14422</v>
      </c>
      <c r="TYH1" s="15" t="s">
        <v>14423</v>
      </c>
      <c r="TYI1" s="15" t="s">
        <v>14424</v>
      </c>
      <c r="TYJ1" s="15" t="s">
        <v>14425</v>
      </c>
      <c r="TYK1" s="15" t="s">
        <v>14426</v>
      </c>
      <c r="TYL1" s="15" t="s">
        <v>14427</v>
      </c>
      <c r="TYM1" s="15" t="s">
        <v>14428</v>
      </c>
      <c r="TYN1" s="15" t="s">
        <v>14429</v>
      </c>
      <c r="TYO1" s="15" t="s">
        <v>14430</v>
      </c>
      <c r="TYP1" s="15" t="s">
        <v>14431</v>
      </c>
      <c r="TYQ1" s="15" t="s">
        <v>14432</v>
      </c>
      <c r="TYR1" s="15" t="s">
        <v>14433</v>
      </c>
      <c r="TYS1" s="15" t="s">
        <v>14434</v>
      </c>
      <c r="TYT1" s="15" t="s">
        <v>14435</v>
      </c>
      <c r="TYU1" s="15" t="s">
        <v>14436</v>
      </c>
      <c r="TYV1" s="15" t="s">
        <v>14437</v>
      </c>
      <c r="TYW1" s="15" t="s">
        <v>14438</v>
      </c>
      <c r="TYX1" s="15" t="s">
        <v>14439</v>
      </c>
      <c r="TYY1" s="15" t="s">
        <v>14440</v>
      </c>
      <c r="TYZ1" s="15" t="s">
        <v>14441</v>
      </c>
      <c r="TZA1" s="15" t="s">
        <v>14442</v>
      </c>
      <c r="TZB1" s="15" t="s">
        <v>14443</v>
      </c>
      <c r="TZC1" s="15" t="s">
        <v>14444</v>
      </c>
      <c r="TZD1" s="15" t="s">
        <v>14445</v>
      </c>
      <c r="TZE1" s="15" t="s">
        <v>14446</v>
      </c>
      <c r="TZF1" s="15" t="s">
        <v>14447</v>
      </c>
      <c r="TZG1" s="15" t="s">
        <v>14448</v>
      </c>
      <c r="TZH1" s="15" t="s">
        <v>14449</v>
      </c>
      <c r="TZI1" s="15" t="s">
        <v>14450</v>
      </c>
      <c r="TZJ1" s="15" t="s">
        <v>14451</v>
      </c>
      <c r="TZK1" s="15" t="s">
        <v>14452</v>
      </c>
      <c r="TZL1" s="15" t="s">
        <v>14453</v>
      </c>
      <c r="TZM1" s="15" t="s">
        <v>14454</v>
      </c>
      <c r="TZN1" s="15" t="s">
        <v>14455</v>
      </c>
      <c r="TZO1" s="15" t="s">
        <v>14456</v>
      </c>
      <c r="TZP1" s="15" t="s">
        <v>14457</v>
      </c>
      <c r="TZQ1" s="15" t="s">
        <v>14458</v>
      </c>
      <c r="TZR1" s="15" t="s">
        <v>14459</v>
      </c>
      <c r="TZS1" s="15" t="s">
        <v>14460</v>
      </c>
      <c r="TZT1" s="15" t="s">
        <v>14461</v>
      </c>
      <c r="TZU1" s="15" t="s">
        <v>14462</v>
      </c>
      <c r="TZV1" s="15" t="s">
        <v>14463</v>
      </c>
      <c r="TZW1" s="15" t="s">
        <v>14464</v>
      </c>
      <c r="TZX1" s="15" t="s">
        <v>14465</v>
      </c>
      <c r="TZY1" s="15" t="s">
        <v>14466</v>
      </c>
      <c r="TZZ1" s="15" t="s">
        <v>14467</v>
      </c>
      <c r="UAA1" s="15" t="s">
        <v>14468</v>
      </c>
      <c r="UAB1" s="15" t="s">
        <v>14469</v>
      </c>
      <c r="UAC1" s="15" t="s">
        <v>14470</v>
      </c>
      <c r="UAD1" s="15" t="s">
        <v>14471</v>
      </c>
      <c r="UAE1" s="15" t="s">
        <v>14472</v>
      </c>
      <c r="UAF1" s="15" t="s">
        <v>14473</v>
      </c>
      <c r="UAG1" s="15" t="s">
        <v>14474</v>
      </c>
      <c r="UAH1" s="15" t="s">
        <v>14475</v>
      </c>
      <c r="UAI1" s="15" t="s">
        <v>14476</v>
      </c>
      <c r="UAJ1" s="15" t="s">
        <v>14477</v>
      </c>
      <c r="UAK1" s="15" t="s">
        <v>14478</v>
      </c>
      <c r="UAL1" s="15" t="s">
        <v>14479</v>
      </c>
      <c r="UAM1" s="15" t="s">
        <v>14480</v>
      </c>
      <c r="UAN1" s="15" t="s">
        <v>14481</v>
      </c>
      <c r="UAO1" s="15" t="s">
        <v>14482</v>
      </c>
      <c r="UAP1" s="15" t="s">
        <v>14483</v>
      </c>
      <c r="UAQ1" s="15" t="s">
        <v>14484</v>
      </c>
      <c r="UAR1" s="15" t="s">
        <v>14485</v>
      </c>
      <c r="UAS1" s="15" t="s">
        <v>14486</v>
      </c>
      <c r="UAT1" s="15" t="s">
        <v>14487</v>
      </c>
      <c r="UAU1" s="15" t="s">
        <v>14488</v>
      </c>
      <c r="UAV1" s="15" t="s">
        <v>14489</v>
      </c>
      <c r="UAW1" s="15" t="s">
        <v>14490</v>
      </c>
      <c r="UAX1" s="15" t="s">
        <v>14491</v>
      </c>
      <c r="UAY1" s="15" t="s">
        <v>14492</v>
      </c>
      <c r="UAZ1" s="15" t="s">
        <v>14493</v>
      </c>
      <c r="UBA1" s="15" t="s">
        <v>14494</v>
      </c>
      <c r="UBB1" s="15" t="s">
        <v>14495</v>
      </c>
      <c r="UBC1" s="15" t="s">
        <v>14496</v>
      </c>
      <c r="UBD1" s="15" t="s">
        <v>14497</v>
      </c>
      <c r="UBE1" s="15" t="s">
        <v>14498</v>
      </c>
      <c r="UBF1" s="15" t="s">
        <v>14499</v>
      </c>
      <c r="UBG1" s="15" t="s">
        <v>14500</v>
      </c>
      <c r="UBH1" s="15" t="s">
        <v>14501</v>
      </c>
      <c r="UBI1" s="15" t="s">
        <v>14502</v>
      </c>
      <c r="UBJ1" s="15" t="s">
        <v>14503</v>
      </c>
      <c r="UBK1" s="15" t="s">
        <v>14504</v>
      </c>
      <c r="UBL1" s="15" t="s">
        <v>14505</v>
      </c>
      <c r="UBM1" s="15" t="s">
        <v>14506</v>
      </c>
      <c r="UBN1" s="15" t="s">
        <v>14507</v>
      </c>
      <c r="UBO1" s="15" t="s">
        <v>14508</v>
      </c>
      <c r="UBP1" s="15" t="s">
        <v>14509</v>
      </c>
      <c r="UBQ1" s="15" t="s">
        <v>14510</v>
      </c>
      <c r="UBR1" s="15" t="s">
        <v>14511</v>
      </c>
      <c r="UBS1" s="15" t="s">
        <v>14512</v>
      </c>
      <c r="UBT1" s="15" t="s">
        <v>14513</v>
      </c>
      <c r="UBU1" s="15" t="s">
        <v>14514</v>
      </c>
      <c r="UBV1" s="15" t="s">
        <v>14515</v>
      </c>
      <c r="UBW1" s="15" t="s">
        <v>14516</v>
      </c>
      <c r="UBX1" s="15" t="s">
        <v>14517</v>
      </c>
      <c r="UBY1" s="15" t="s">
        <v>14518</v>
      </c>
      <c r="UBZ1" s="15" t="s">
        <v>14519</v>
      </c>
      <c r="UCA1" s="15" t="s">
        <v>14520</v>
      </c>
      <c r="UCB1" s="15" t="s">
        <v>14521</v>
      </c>
      <c r="UCC1" s="15" t="s">
        <v>14522</v>
      </c>
      <c r="UCD1" s="15" t="s">
        <v>14523</v>
      </c>
      <c r="UCE1" s="15" t="s">
        <v>14524</v>
      </c>
      <c r="UCF1" s="15" t="s">
        <v>14525</v>
      </c>
      <c r="UCG1" s="15" t="s">
        <v>14526</v>
      </c>
      <c r="UCH1" s="15" t="s">
        <v>14527</v>
      </c>
      <c r="UCI1" s="15" t="s">
        <v>14528</v>
      </c>
      <c r="UCJ1" s="15" t="s">
        <v>14529</v>
      </c>
      <c r="UCK1" s="15" t="s">
        <v>14530</v>
      </c>
      <c r="UCL1" s="15" t="s">
        <v>14531</v>
      </c>
      <c r="UCM1" s="15" t="s">
        <v>14532</v>
      </c>
      <c r="UCN1" s="15" t="s">
        <v>14533</v>
      </c>
      <c r="UCO1" s="15" t="s">
        <v>14534</v>
      </c>
      <c r="UCP1" s="15" t="s">
        <v>14535</v>
      </c>
      <c r="UCQ1" s="15" t="s">
        <v>14536</v>
      </c>
      <c r="UCR1" s="15" t="s">
        <v>14537</v>
      </c>
      <c r="UCS1" s="15" t="s">
        <v>14538</v>
      </c>
      <c r="UCT1" s="15" t="s">
        <v>14539</v>
      </c>
      <c r="UCU1" s="15" t="s">
        <v>14540</v>
      </c>
      <c r="UCV1" s="15" t="s">
        <v>14541</v>
      </c>
      <c r="UCW1" s="15" t="s">
        <v>14542</v>
      </c>
      <c r="UCX1" s="15" t="s">
        <v>14543</v>
      </c>
      <c r="UCY1" s="15" t="s">
        <v>14544</v>
      </c>
      <c r="UCZ1" s="15" t="s">
        <v>14545</v>
      </c>
      <c r="UDA1" s="15" t="s">
        <v>14546</v>
      </c>
      <c r="UDB1" s="15" t="s">
        <v>14547</v>
      </c>
      <c r="UDC1" s="15" t="s">
        <v>14548</v>
      </c>
      <c r="UDD1" s="15" t="s">
        <v>14549</v>
      </c>
      <c r="UDE1" s="15" t="s">
        <v>14550</v>
      </c>
      <c r="UDF1" s="15" t="s">
        <v>14551</v>
      </c>
      <c r="UDG1" s="15" t="s">
        <v>14552</v>
      </c>
      <c r="UDH1" s="15" t="s">
        <v>14553</v>
      </c>
      <c r="UDI1" s="15" t="s">
        <v>14554</v>
      </c>
      <c r="UDJ1" s="15" t="s">
        <v>14555</v>
      </c>
      <c r="UDK1" s="15" t="s">
        <v>14556</v>
      </c>
      <c r="UDL1" s="15" t="s">
        <v>14557</v>
      </c>
      <c r="UDM1" s="15" t="s">
        <v>14558</v>
      </c>
      <c r="UDN1" s="15" t="s">
        <v>14559</v>
      </c>
      <c r="UDO1" s="15" t="s">
        <v>14560</v>
      </c>
      <c r="UDP1" s="15" t="s">
        <v>14561</v>
      </c>
      <c r="UDQ1" s="15" t="s">
        <v>14562</v>
      </c>
      <c r="UDR1" s="15" t="s">
        <v>14563</v>
      </c>
      <c r="UDS1" s="15" t="s">
        <v>14564</v>
      </c>
      <c r="UDT1" s="15" t="s">
        <v>14565</v>
      </c>
      <c r="UDU1" s="15" t="s">
        <v>14566</v>
      </c>
      <c r="UDV1" s="15" t="s">
        <v>14567</v>
      </c>
      <c r="UDW1" s="15" t="s">
        <v>14568</v>
      </c>
      <c r="UDX1" s="15" t="s">
        <v>14569</v>
      </c>
      <c r="UDY1" s="15" t="s">
        <v>14570</v>
      </c>
      <c r="UDZ1" s="15" t="s">
        <v>14571</v>
      </c>
      <c r="UEA1" s="15" t="s">
        <v>14572</v>
      </c>
      <c r="UEB1" s="15" t="s">
        <v>14573</v>
      </c>
      <c r="UEC1" s="15" t="s">
        <v>14574</v>
      </c>
      <c r="UED1" s="15" t="s">
        <v>14575</v>
      </c>
      <c r="UEE1" s="15" t="s">
        <v>14576</v>
      </c>
      <c r="UEF1" s="15" t="s">
        <v>14577</v>
      </c>
      <c r="UEG1" s="15" t="s">
        <v>14578</v>
      </c>
      <c r="UEH1" s="15" t="s">
        <v>14579</v>
      </c>
      <c r="UEI1" s="15" t="s">
        <v>14580</v>
      </c>
      <c r="UEJ1" s="15" t="s">
        <v>14581</v>
      </c>
      <c r="UEK1" s="15" t="s">
        <v>14582</v>
      </c>
      <c r="UEL1" s="15" t="s">
        <v>14583</v>
      </c>
      <c r="UEM1" s="15" t="s">
        <v>14584</v>
      </c>
      <c r="UEN1" s="15" t="s">
        <v>14585</v>
      </c>
      <c r="UEO1" s="15" t="s">
        <v>14586</v>
      </c>
      <c r="UEP1" s="15" t="s">
        <v>14587</v>
      </c>
      <c r="UEQ1" s="15" t="s">
        <v>14588</v>
      </c>
      <c r="UER1" s="15" t="s">
        <v>14589</v>
      </c>
      <c r="UES1" s="15" t="s">
        <v>14590</v>
      </c>
      <c r="UET1" s="15" t="s">
        <v>14591</v>
      </c>
      <c r="UEU1" s="15" t="s">
        <v>14592</v>
      </c>
      <c r="UEV1" s="15" t="s">
        <v>14593</v>
      </c>
      <c r="UEW1" s="15" t="s">
        <v>14594</v>
      </c>
      <c r="UEX1" s="15" t="s">
        <v>14595</v>
      </c>
      <c r="UEY1" s="15" t="s">
        <v>14596</v>
      </c>
      <c r="UEZ1" s="15" t="s">
        <v>14597</v>
      </c>
      <c r="UFA1" s="15" t="s">
        <v>14598</v>
      </c>
      <c r="UFB1" s="15" t="s">
        <v>14599</v>
      </c>
      <c r="UFC1" s="15" t="s">
        <v>14600</v>
      </c>
      <c r="UFD1" s="15" t="s">
        <v>14601</v>
      </c>
      <c r="UFE1" s="15" t="s">
        <v>14602</v>
      </c>
      <c r="UFF1" s="15" t="s">
        <v>14603</v>
      </c>
      <c r="UFG1" s="15" t="s">
        <v>14604</v>
      </c>
      <c r="UFH1" s="15" t="s">
        <v>14605</v>
      </c>
      <c r="UFI1" s="15" t="s">
        <v>14606</v>
      </c>
      <c r="UFJ1" s="15" t="s">
        <v>14607</v>
      </c>
      <c r="UFK1" s="15" t="s">
        <v>14608</v>
      </c>
      <c r="UFL1" s="15" t="s">
        <v>14609</v>
      </c>
      <c r="UFM1" s="15" t="s">
        <v>14610</v>
      </c>
      <c r="UFN1" s="15" t="s">
        <v>14611</v>
      </c>
      <c r="UFO1" s="15" t="s">
        <v>14612</v>
      </c>
      <c r="UFP1" s="15" t="s">
        <v>14613</v>
      </c>
      <c r="UFQ1" s="15" t="s">
        <v>14614</v>
      </c>
      <c r="UFR1" s="15" t="s">
        <v>14615</v>
      </c>
      <c r="UFS1" s="15" t="s">
        <v>14616</v>
      </c>
      <c r="UFT1" s="15" t="s">
        <v>14617</v>
      </c>
      <c r="UFU1" s="15" t="s">
        <v>14618</v>
      </c>
      <c r="UFV1" s="15" t="s">
        <v>14619</v>
      </c>
      <c r="UFW1" s="15" t="s">
        <v>14620</v>
      </c>
      <c r="UFX1" s="15" t="s">
        <v>14621</v>
      </c>
      <c r="UFY1" s="15" t="s">
        <v>14622</v>
      </c>
      <c r="UFZ1" s="15" t="s">
        <v>14623</v>
      </c>
      <c r="UGA1" s="15" t="s">
        <v>14624</v>
      </c>
      <c r="UGB1" s="15" t="s">
        <v>14625</v>
      </c>
      <c r="UGC1" s="15" t="s">
        <v>14626</v>
      </c>
      <c r="UGD1" s="15" t="s">
        <v>14627</v>
      </c>
      <c r="UGE1" s="15" t="s">
        <v>14628</v>
      </c>
      <c r="UGF1" s="15" t="s">
        <v>14629</v>
      </c>
      <c r="UGG1" s="15" t="s">
        <v>14630</v>
      </c>
      <c r="UGH1" s="15" t="s">
        <v>14631</v>
      </c>
      <c r="UGI1" s="15" t="s">
        <v>14632</v>
      </c>
      <c r="UGJ1" s="15" t="s">
        <v>14633</v>
      </c>
      <c r="UGK1" s="15" t="s">
        <v>14634</v>
      </c>
      <c r="UGL1" s="15" t="s">
        <v>14635</v>
      </c>
      <c r="UGM1" s="15" t="s">
        <v>14636</v>
      </c>
      <c r="UGN1" s="15" t="s">
        <v>14637</v>
      </c>
      <c r="UGO1" s="15" t="s">
        <v>14638</v>
      </c>
      <c r="UGP1" s="15" t="s">
        <v>14639</v>
      </c>
      <c r="UGQ1" s="15" t="s">
        <v>14640</v>
      </c>
      <c r="UGR1" s="15" t="s">
        <v>14641</v>
      </c>
      <c r="UGS1" s="15" t="s">
        <v>14642</v>
      </c>
      <c r="UGT1" s="15" t="s">
        <v>14643</v>
      </c>
      <c r="UGU1" s="15" t="s">
        <v>14644</v>
      </c>
      <c r="UGV1" s="15" t="s">
        <v>14645</v>
      </c>
      <c r="UGW1" s="15" t="s">
        <v>14646</v>
      </c>
      <c r="UGX1" s="15" t="s">
        <v>14647</v>
      </c>
      <c r="UGY1" s="15" t="s">
        <v>14648</v>
      </c>
      <c r="UGZ1" s="15" t="s">
        <v>14649</v>
      </c>
      <c r="UHA1" s="15" t="s">
        <v>14650</v>
      </c>
      <c r="UHB1" s="15" t="s">
        <v>14651</v>
      </c>
      <c r="UHC1" s="15" t="s">
        <v>14652</v>
      </c>
      <c r="UHD1" s="15" t="s">
        <v>14653</v>
      </c>
      <c r="UHE1" s="15" t="s">
        <v>14654</v>
      </c>
      <c r="UHF1" s="15" t="s">
        <v>14655</v>
      </c>
      <c r="UHG1" s="15" t="s">
        <v>14656</v>
      </c>
      <c r="UHH1" s="15" t="s">
        <v>14657</v>
      </c>
      <c r="UHI1" s="15" t="s">
        <v>14658</v>
      </c>
      <c r="UHJ1" s="15" t="s">
        <v>14659</v>
      </c>
      <c r="UHK1" s="15" t="s">
        <v>14660</v>
      </c>
      <c r="UHL1" s="15" t="s">
        <v>14661</v>
      </c>
      <c r="UHM1" s="15" t="s">
        <v>14662</v>
      </c>
      <c r="UHN1" s="15" t="s">
        <v>14663</v>
      </c>
      <c r="UHO1" s="15" t="s">
        <v>14664</v>
      </c>
      <c r="UHP1" s="15" t="s">
        <v>14665</v>
      </c>
      <c r="UHQ1" s="15" t="s">
        <v>14666</v>
      </c>
      <c r="UHR1" s="15" t="s">
        <v>14667</v>
      </c>
      <c r="UHS1" s="15" t="s">
        <v>14668</v>
      </c>
      <c r="UHT1" s="15" t="s">
        <v>14669</v>
      </c>
      <c r="UHU1" s="15" t="s">
        <v>14670</v>
      </c>
      <c r="UHV1" s="15" t="s">
        <v>14671</v>
      </c>
      <c r="UHW1" s="15" t="s">
        <v>14672</v>
      </c>
      <c r="UHX1" s="15" t="s">
        <v>14673</v>
      </c>
      <c r="UHY1" s="15" t="s">
        <v>14674</v>
      </c>
      <c r="UHZ1" s="15" t="s">
        <v>14675</v>
      </c>
      <c r="UIA1" s="15" t="s">
        <v>14676</v>
      </c>
      <c r="UIB1" s="15" t="s">
        <v>14677</v>
      </c>
      <c r="UIC1" s="15" t="s">
        <v>14678</v>
      </c>
      <c r="UID1" s="15" t="s">
        <v>14679</v>
      </c>
      <c r="UIE1" s="15" t="s">
        <v>14680</v>
      </c>
      <c r="UIF1" s="15" t="s">
        <v>14681</v>
      </c>
      <c r="UIG1" s="15" t="s">
        <v>14682</v>
      </c>
      <c r="UIH1" s="15" t="s">
        <v>14683</v>
      </c>
      <c r="UII1" s="15" t="s">
        <v>14684</v>
      </c>
      <c r="UIJ1" s="15" t="s">
        <v>14685</v>
      </c>
      <c r="UIK1" s="15" t="s">
        <v>14686</v>
      </c>
      <c r="UIL1" s="15" t="s">
        <v>14687</v>
      </c>
      <c r="UIM1" s="15" t="s">
        <v>14688</v>
      </c>
      <c r="UIN1" s="15" t="s">
        <v>14689</v>
      </c>
      <c r="UIO1" s="15" t="s">
        <v>14690</v>
      </c>
      <c r="UIP1" s="15" t="s">
        <v>14691</v>
      </c>
      <c r="UIQ1" s="15" t="s">
        <v>14692</v>
      </c>
      <c r="UIR1" s="15" t="s">
        <v>14693</v>
      </c>
      <c r="UIS1" s="15" t="s">
        <v>14694</v>
      </c>
      <c r="UIT1" s="15" t="s">
        <v>14695</v>
      </c>
      <c r="UIU1" s="15" t="s">
        <v>14696</v>
      </c>
      <c r="UIV1" s="15" t="s">
        <v>14697</v>
      </c>
      <c r="UIW1" s="15" t="s">
        <v>14698</v>
      </c>
      <c r="UIX1" s="15" t="s">
        <v>14699</v>
      </c>
      <c r="UIY1" s="15" t="s">
        <v>14700</v>
      </c>
      <c r="UIZ1" s="15" t="s">
        <v>14701</v>
      </c>
      <c r="UJA1" s="15" t="s">
        <v>14702</v>
      </c>
      <c r="UJB1" s="15" t="s">
        <v>14703</v>
      </c>
      <c r="UJC1" s="15" t="s">
        <v>14704</v>
      </c>
      <c r="UJD1" s="15" t="s">
        <v>14705</v>
      </c>
      <c r="UJE1" s="15" t="s">
        <v>14706</v>
      </c>
      <c r="UJF1" s="15" t="s">
        <v>14707</v>
      </c>
      <c r="UJG1" s="15" t="s">
        <v>14708</v>
      </c>
      <c r="UJH1" s="15" t="s">
        <v>14709</v>
      </c>
      <c r="UJI1" s="15" t="s">
        <v>14710</v>
      </c>
      <c r="UJJ1" s="15" t="s">
        <v>14711</v>
      </c>
      <c r="UJK1" s="15" t="s">
        <v>14712</v>
      </c>
      <c r="UJL1" s="15" t="s">
        <v>14713</v>
      </c>
      <c r="UJM1" s="15" t="s">
        <v>14714</v>
      </c>
      <c r="UJN1" s="15" t="s">
        <v>14715</v>
      </c>
      <c r="UJO1" s="15" t="s">
        <v>14716</v>
      </c>
      <c r="UJP1" s="15" t="s">
        <v>14717</v>
      </c>
      <c r="UJQ1" s="15" t="s">
        <v>14718</v>
      </c>
      <c r="UJR1" s="15" t="s">
        <v>14719</v>
      </c>
      <c r="UJS1" s="15" t="s">
        <v>14720</v>
      </c>
      <c r="UJT1" s="15" t="s">
        <v>14721</v>
      </c>
      <c r="UJU1" s="15" t="s">
        <v>14722</v>
      </c>
      <c r="UJV1" s="15" t="s">
        <v>14723</v>
      </c>
      <c r="UJW1" s="15" t="s">
        <v>14724</v>
      </c>
      <c r="UJX1" s="15" t="s">
        <v>14725</v>
      </c>
      <c r="UJY1" s="15" t="s">
        <v>14726</v>
      </c>
      <c r="UJZ1" s="15" t="s">
        <v>14727</v>
      </c>
      <c r="UKA1" s="15" t="s">
        <v>14728</v>
      </c>
      <c r="UKB1" s="15" t="s">
        <v>14729</v>
      </c>
      <c r="UKC1" s="15" t="s">
        <v>14730</v>
      </c>
      <c r="UKD1" s="15" t="s">
        <v>14731</v>
      </c>
      <c r="UKE1" s="15" t="s">
        <v>14732</v>
      </c>
      <c r="UKF1" s="15" t="s">
        <v>14733</v>
      </c>
      <c r="UKG1" s="15" t="s">
        <v>14734</v>
      </c>
      <c r="UKH1" s="15" t="s">
        <v>14735</v>
      </c>
      <c r="UKI1" s="15" t="s">
        <v>14736</v>
      </c>
      <c r="UKJ1" s="15" t="s">
        <v>14737</v>
      </c>
      <c r="UKK1" s="15" t="s">
        <v>14738</v>
      </c>
      <c r="UKL1" s="15" t="s">
        <v>14739</v>
      </c>
      <c r="UKM1" s="15" t="s">
        <v>14740</v>
      </c>
      <c r="UKN1" s="15" t="s">
        <v>14741</v>
      </c>
      <c r="UKO1" s="15" t="s">
        <v>14742</v>
      </c>
      <c r="UKP1" s="15" t="s">
        <v>14743</v>
      </c>
      <c r="UKQ1" s="15" t="s">
        <v>14744</v>
      </c>
      <c r="UKR1" s="15" t="s">
        <v>14745</v>
      </c>
      <c r="UKS1" s="15" t="s">
        <v>14746</v>
      </c>
      <c r="UKT1" s="15" t="s">
        <v>14747</v>
      </c>
      <c r="UKU1" s="15" t="s">
        <v>14748</v>
      </c>
      <c r="UKV1" s="15" t="s">
        <v>14749</v>
      </c>
      <c r="UKW1" s="15" t="s">
        <v>14750</v>
      </c>
      <c r="UKX1" s="15" t="s">
        <v>14751</v>
      </c>
      <c r="UKY1" s="15" t="s">
        <v>14752</v>
      </c>
      <c r="UKZ1" s="15" t="s">
        <v>14753</v>
      </c>
      <c r="ULA1" s="15" t="s">
        <v>14754</v>
      </c>
      <c r="ULB1" s="15" t="s">
        <v>14755</v>
      </c>
      <c r="ULC1" s="15" t="s">
        <v>14756</v>
      </c>
      <c r="ULD1" s="15" t="s">
        <v>14757</v>
      </c>
      <c r="ULE1" s="15" t="s">
        <v>14758</v>
      </c>
      <c r="ULF1" s="15" t="s">
        <v>14759</v>
      </c>
      <c r="ULG1" s="15" t="s">
        <v>14760</v>
      </c>
      <c r="ULH1" s="15" t="s">
        <v>14761</v>
      </c>
      <c r="ULI1" s="15" t="s">
        <v>14762</v>
      </c>
      <c r="ULJ1" s="15" t="s">
        <v>14763</v>
      </c>
      <c r="ULK1" s="15" t="s">
        <v>14764</v>
      </c>
      <c r="ULL1" s="15" t="s">
        <v>14765</v>
      </c>
      <c r="ULM1" s="15" t="s">
        <v>14766</v>
      </c>
      <c r="ULN1" s="15" t="s">
        <v>14767</v>
      </c>
      <c r="ULO1" s="15" t="s">
        <v>14768</v>
      </c>
      <c r="ULP1" s="15" t="s">
        <v>14769</v>
      </c>
      <c r="ULQ1" s="15" t="s">
        <v>14770</v>
      </c>
      <c r="ULR1" s="15" t="s">
        <v>14771</v>
      </c>
      <c r="ULS1" s="15" t="s">
        <v>14772</v>
      </c>
      <c r="ULT1" s="15" t="s">
        <v>14773</v>
      </c>
      <c r="ULU1" s="15" t="s">
        <v>14774</v>
      </c>
      <c r="ULV1" s="15" t="s">
        <v>14775</v>
      </c>
      <c r="ULW1" s="15" t="s">
        <v>14776</v>
      </c>
      <c r="ULX1" s="15" t="s">
        <v>14777</v>
      </c>
      <c r="ULY1" s="15" t="s">
        <v>14778</v>
      </c>
      <c r="ULZ1" s="15" t="s">
        <v>14779</v>
      </c>
      <c r="UMA1" s="15" t="s">
        <v>14780</v>
      </c>
      <c r="UMB1" s="15" t="s">
        <v>14781</v>
      </c>
      <c r="UMC1" s="15" t="s">
        <v>14782</v>
      </c>
      <c r="UMD1" s="15" t="s">
        <v>14783</v>
      </c>
      <c r="UME1" s="15" t="s">
        <v>14784</v>
      </c>
      <c r="UMF1" s="15" t="s">
        <v>14785</v>
      </c>
      <c r="UMG1" s="15" t="s">
        <v>14786</v>
      </c>
      <c r="UMH1" s="15" t="s">
        <v>14787</v>
      </c>
      <c r="UMI1" s="15" t="s">
        <v>14788</v>
      </c>
      <c r="UMJ1" s="15" t="s">
        <v>14789</v>
      </c>
      <c r="UMK1" s="15" t="s">
        <v>14790</v>
      </c>
      <c r="UML1" s="15" t="s">
        <v>14791</v>
      </c>
      <c r="UMM1" s="15" t="s">
        <v>14792</v>
      </c>
      <c r="UMN1" s="15" t="s">
        <v>14793</v>
      </c>
      <c r="UMO1" s="15" t="s">
        <v>14794</v>
      </c>
      <c r="UMP1" s="15" t="s">
        <v>14795</v>
      </c>
      <c r="UMQ1" s="15" t="s">
        <v>14796</v>
      </c>
      <c r="UMR1" s="15" t="s">
        <v>14797</v>
      </c>
      <c r="UMS1" s="15" t="s">
        <v>14798</v>
      </c>
      <c r="UMT1" s="15" t="s">
        <v>14799</v>
      </c>
      <c r="UMU1" s="15" t="s">
        <v>14800</v>
      </c>
      <c r="UMV1" s="15" t="s">
        <v>14801</v>
      </c>
      <c r="UMW1" s="15" t="s">
        <v>14802</v>
      </c>
      <c r="UMX1" s="15" t="s">
        <v>14803</v>
      </c>
      <c r="UMY1" s="15" t="s">
        <v>14804</v>
      </c>
      <c r="UMZ1" s="15" t="s">
        <v>14805</v>
      </c>
      <c r="UNA1" s="15" t="s">
        <v>14806</v>
      </c>
      <c r="UNB1" s="15" t="s">
        <v>14807</v>
      </c>
      <c r="UNC1" s="15" t="s">
        <v>14808</v>
      </c>
      <c r="UND1" s="15" t="s">
        <v>14809</v>
      </c>
      <c r="UNE1" s="15" t="s">
        <v>14810</v>
      </c>
      <c r="UNF1" s="15" t="s">
        <v>14811</v>
      </c>
      <c r="UNG1" s="15" t="s">
        <v>14812</v>
      </c>
      <c r="UNH1" s="15" t="s">
        <v>14813</v>
      </c>
      <c r="UNI1" s="15" t="s">
        <v>14814</v>
      </c>
      <c r="UNJ1" s="15" t="s">
        <v>14815</v>
      </c>
      <c r="UNK1" s="15" t="s">
        <v>14816</v>
      </c>
      <c r="UNL1" s="15" t="s">
        <v>14817</v>
      </c>
      <c r="UNM1" s="15" t="s">
        <v>14818</v>
      </c>
      <c r="UNN1" s="15" t="s">
        <v>14819</v>
      </c>
      <c r="UNO1" s="15" t="s">
        <v>14820</v>
      </c>
      <c r="UNP1" s="15" t="s">
        <v>14821</v>
      </c>
      <c r="UNQ1" s="15" t="s">
        <v>14822</v>
      </c>
      <c r="UNR1" s="15" t="s">
        <v>14823</v>
      </c>
      <c r="UNS1" s="15" t="s">
        <v>14824</v>
      </c>
      <c r="UNT1" s="15" t="s">
        <v>14825</v>
      </c>
      <c r="UNU1" s="15" t="s">
        <v>14826</v>
      </c>
      <c r="UNV1" s="15" t="s">
        <v>14827</v>
      </c>
      <c r="UNW1" s="15" t="s">
        <v>14828</v>
      </c>
      <c r="UNX1" s="15" t="s">
        <v>14829</v>
      </c>
      <c r="UNY1" s="15" t="s">
        <v>14830</v>
      </c>
      <c r="UNZ1" s="15" t="s">
        <v>14831</v>
      </c>
      <c r="UOA1" s="15" t="s">
        <v>14832</v>
      </c>
      <c r="UOB1" s="15" t="s">
        <v>14833</v>
      </c>
      <c r="UOC1" s="15" t="s">
        <v>14834</v>
      </c>
      <c r="UOD1" s="15" t="s">
        <v>14835</v>
      </c>
      <c r="UOE1" s="15" t="s">
        <v>14836</v>
      </c>
      <c r="UOF1" s="15" t="s">
        <v>14837</v>
      </c>
      <c r="UOG1" s="15" t="s">
        <v>14838</v>
      </c>
      <c r="UOH1" s="15" t="s">
        <v>14839</v>
      </c>
      <c r="UOI1" s="15" t="s">
        <v>14840</v>
      </c>
      <c r="UOJ1" s="15" t="s">
        <v>14841</v>
      </c>
      <c r="UOK1" s="15" t="s">
        <v>14842</v>
      </c>
      <c r="UOL1" s="15" t="s">
        <v>14843</v>
      </c>
      <c r="UOM1" s="15" t="s">
        <v>14844</v>
      </c>
      <c r="UON1" s="15" t="s">
        <v>14845</v>
      </c>
      <c r="UOO1" s="15" t="s">
        <v>14846</v>
      </c>
      <c r="UOP1" s="15" t="s">
        <v>14847</v>
      </c>
      <c r="UOQ1" s="15" t="s">
        <v>14848</v>
      </c>
      <c r="UOR1" s="15" t="s">
        <v>14849</v>
      </c>
      <c r="UOS1" s="15" t="s">
        <v>14850</v>
      </c>
      <c r="UOT1" s="15" t="s">
        <v>14851</v>
      </c>
      <c r="UOU1" s="15" t="s">
        <v>14852</v>
      </c>
      <c r="UOV1" s="15" t="s">
        <v>14853</v>
      </c>
      <c r="UOW1" s="15" t="s">
        <v>14854</v>
      </c>
      <c r="UOX1" s="15" t="s">
        <v>14855</v>
      </c>
      <c r="UOY1" s="15" t="s">
        <v>14856</v>
      </c>
      <c r="UOZ1" s="15" t="s">
        <v>14857</v>
      </c>
      <c r="UPA1" s="15" t="s">
        <v>14858</v>
      </c>
      <c r="UPB1" s="15" t="s">
        <v>14859</v>
      </c>
      <c r="UPC1" s="15" t="s">
        <v>14860</v>
      </c>
      <c r="UPD1" s="15" t="s">
        <v>14861</v>
      </c>
      <c r="UPE1" s="15" t="s">
        <v>14862</v>
      </c>
      <c r="UPF1" s="15" t="s">
        <v>14863</v>
      </c>
      <c r="UPG1" s="15" t="s">
        <v>14864</v>
      </c>
      <c r="UPH1" s="15" t="s">
        <v>14865</v>
      </c>
      <c r="UPI1" s="15" t="s">
        <v>14866</v>
      </c>
      <c r="UPJ1" s="15" t="s">
        <v>14867</v>
      </c>
      <c r="UPK1" s="15" t="s">
        <v>14868</v>
      </c>
      <c r="UPL1" s="15" t="s">
        <v>14869</v>
      </c>
      <c r="UPM1" s="15" t="s">
        <v>14870</v>
      </c>
      <c r="UPN1" s="15" t="s">
        <v>14871</v>
      </c>
      <c r="UPO1" s="15" t="s">
        <v>14872</v>
      </c>
      <c r="UPP1" s="15" t="s">
        <v>14873</v>
      </c>
      <c r="UPQ1" s="15" t="s">
        <v>14874</v>
      </c>
      <c r="UPR1" s="15" t="s">
        <v>14875</v>
      </c>
      <c r="UPS1" s="15" t="s">
        <v>14876</v>
      </c>
      <c r="UPT1" s="15" t="s">
        <v>14877</v>
      </c>
      <c r="UPU1" s="15" t="s">
        <v>14878</v>
      </c>
      <c r="UPV1" s="15" t="s">
        <v>14879</v>
      </c>
      <c r="UPW1" s="15" t="s">
        <v>14880</v>
      </c>
      <c r="UPX1" s="15" t="s">
        <v>14881</v>
      </c>
      <c r="UPY1" s="15" t="s">
        <v>14882</v>
      </c>
      <c r="UPZ1" s="15" t="s">
        <v>14883</v>
      </c>
      <c r="UQA1" s="15" t="s">
        <v>14884</v>
      </c>
      <c r="UQB1" s="15" t="s">
        <v>14885</v>
      </c>
      <c r="UQC1" s="15" t="s">
        <v>14886</v>
      </c>
      <c r="UQD1" s="15" t="s">
        <v>14887</v>
      </c>
      <c r="UQE1" s="15" t="s">
        <v>14888</v>
      </c>
      <c r="UQF1" s="15" t="s">
        <v>14889</v>
      </c>
      <c r="UQG1" s="15" t="s">
        <v>14890</v>
      </c>
      <c r="UQH1" s="15" t="s">
        <v>14891</v>
      </c>
      <c r="UQI1" s="15" t="s">
        <v>14892</v>
      </c>
      <c r="UQJ1" s="15" t="s">
        <v>14893</v>
      </c>
      <c r="UQK1" s="15" t="s">
        <v>14894</v>
      </c>
      <c r="UQL1" s="15" t="s">
        <v>14895</v>
      </c>
      <c r="UQM1" s="15" t="s">
        <v>14896</v>
      </c>
      <c r="UQN1" s="15" t="s">
        <v>14897</v>
      </c>
      <c r="UQO1" s="15" t="s">
        <v>14898</v>
      </c>
      <c r="UQP1" s="15" t="s">
        <v>14899</v>
      </c>
      <c r="UQQ1" s="15" t="s">
        <v>14900</v>
      </c>
      <c r="UQR1" s="15" t="s">
        <v>14901</v>
      </c>
      <c r="UQS1" s="15" t="s">
        <v>14902</v>
      </c>
      <c r="UQT1" s="15" t="s">
        <v>14903</v>
      </c>
      <c r="UQU1" s="15" t="s">
        <v>14904</v>
      </c>
      <c r="UQV1" s="15" t="s">
        <v>14905</v>
      </c>
      <c r="UQW1" s="15" t="s">
        <v>14906</v>
      </c>
      <c r="UQX1" s="15" t="s">
        <v>14907</v>
      </c>
      <c r="UQY1" s="15" t="s">
        <v>14908</v>
      </c>
      <c r="UQZ1" s="15" t="s">
        <v>14909</v>
      </c>
      <c r="URA1" s="15" t="s">
        <v>14910</v>
      </c>
      <c r="URB1" s="15" t="s">
        <v>14911</v>
      </c>
      <c r="URC1" s="15" t="s">
        <v>14912</v>
      </c>
      <c r="URD1" s="15" t="s">
        <v>14913</v>
      </c>
      <c r="URE1" s="15" t="s">
        <v>14914</v>
      </c>
      <c r="URF1" s="15" t="s">
        <v>14915</v>
      </c>
      <c r="URG1" s="15" t="s">
        <v>14916</v>
      </c>
      <c r="URH1" s="15" t="s">
        <v>14917</v>
      </c>
      <c r="URI1" s="15" t="s">
        <v>14918</v>
      </c>
      <c r="URJ1" s="15" t="s">
        <v>14919</v>
      </c>
      <c r="URK1" s="15" t="s">
        <v>14920</v>
      </c>
      <c r="URL1" s="15" t="s">
        <v>14921</v>
      </c>
      <c r="URM1" s="15" t="s">
        <v>14922</v>
      </c>
      <c r="URN1" s="15" t="s">
        <v>14923</v>
      </c>
      <c r="URO1" s="15" t="s">
        <v>14924</v>
      </c>
      <c r="URP1" s="15" t="s">
        <v>14925</v>
      </c>
      <c r="URQ1" s="15" t="s">
        <v>14926</v>
      </c>
      <c r="URR1" s="15" t="s">
        <v>14927</v>
      </c>
      <c r="URS1" s="15" t="s">
        <v>14928</v>
      </c>
      <c r="URT1" s="15" t="s">
        <v>14929</v>
      </c>
      <c r="URU1" s="15" t="s">
        <v>14930</v>
      </c>
      <c r="URV1" s="15" t="s">
        <v>14931</v>
      </c>
      <c r="URW1" s="15" t="s">
        <v>14932</v>
      </c>
      <c r="URX1" s="15" t="s">
        <v>14933</v>
      </c>
      <c r="URY1" s="15" t="s">
        <v>14934</v>
      </c>
      <c r="URZ1" s="15" t="s">
        <v>14935</v>
      </c>
      <c r="USA1" s="15" t="s">
        <v>14936</v>
      </c>
      <c r="USB1" s="15" t="s">
        <v>14937</v>
      </c>
      <c r="USC1" s="15" t="s">
        <v>14938</v>
      </c>
      <c r="USD1" s="15" t="s">
        <v>14939</v>
      </c>
      <c r="USE1" s="15" t="s">
        <v>14940</v>
      </c>
      <c r="USF1" s="15" t="s">
        <v>14941</v>
      </c>
      <c r="USG1" s="15" t="s">
        <v>14942</v>
      </c>
      <c r="USH1" s="15" t="s">
        <v>14943</v>
      </c>
      <c r="USI1" s="15" t="s">
        <v>14944</v>
      </c>
      <c r="USJ1" s="15" t="s">
        <v>14945</v>
      </c>
      <c r="USK1" s="15" t="s">
        <v>14946</v>
      </c>
      <c r="USL1" s="15" t="s">
        <v>14947</v>
      </c>
      <c r="USM1" s="15" t="s">
        <v>14948</v>
      </c>
      <c r="USN1" s="15" t="s">
        <v>14949</v>
      </c>
      <c r="USO1" s="15" t="s">
        <v>14950</v>
      </c>
      <c r="USP1" s="15" t="s">
        <v>14951</v>
      </c>
      <c r="USQ1" s="15" t="s">
        <v>14952</v>
      </c>
      <c r="USR1" s="15" t="s">
        <v>14953</v>
      </c>
      <c r="USS1" s="15" t="s">
        <v>14954</v>
      </c>
      <c r="UST1" s="15" t="s">
        <v>14955</v>
      </c>
      <c r="USU1" s="15" t="s">
        <v>14956</v>
      </c>
      <c r="USV1" s="15" t="s">
        <v>14957</v>
      </c>
      <c r="USW1" s="15" t="s">
        <v>14958</v>
      </c>
      <c r="USX1" s="15" t="s">
        <v>14959</v>
      </c>
      <c r="USY1" s="15" t="s">
        <v>14960</v>
      </c>
      <c r="USZ1" s="15" t="s">
        <v>14961</v>
      </c>
      <c r="UTA1" s="15" t="s">
        <v>14962</v>
      </c>
      <c r="UTB1" s="15" t="s">
        <v>14963</v>
      </c>
      <c r="UTC1" s="15" t="s">
        <v>14964</v>
      </c>
      <c r="UTD1" s="15" t="s">
        <v>14965</v>
      </c>
      <c r="UTE1" s="15" t="s">
        <v>14966</v>
      </c>
      <c r="UTF1" s="15" t="s">
        <v>14967</v>
      </c>
      <c r="UTG1" s="15" t="s">
        <v>14968</v>
      </c>
      <c r="UTH1" s="15" t="s">
        <v>14969</v>
      </c>
      <c r="UTI1" s="15" t="s">
        <v>14970</v>
      </c>
      <c r="UTJ1" s="15" t="s">
        <v>14971</v>
      </c>
      <c r="UTK1" s="15" t="s">
        <v>14972</v>
      </c>
      <c r="UTL1" s="15" t="s">
        <v>14973</v>
      </c>
      <c r="UTM1" s="15" t="s">
        <v>14974</v>
      </c>
      <c r="UTN1" s="15" t="s">
        <v>14975</v>
      </c>
      <c r="UTO1" s="15" t="s">
        <v>14976</v>
      </c>
      <c r="UTP1" s="15" t="s">
        <v>14977</v>
      </c>
      <c r="UTQ1" s="15" t="s">
        <v>14978</v>
      </c>
      <c r="UTR1" s="15" t="s">
        <v>14979</v>
      </c>
      <c r="UTS1" s="15" t="s">
        <v>14980</v>
      </c>
      <c r="UTT1" s="15" t="s">
        <v>14981</v>
      </c>
      <c r="UTU1" s="15" t="s">
        <v>14982</v>
      </c>
      <c r="UTV1" s="15" t="s">
        <v>14983</v>
      </c>
      <c r="UTW1" s="15" t="s">
        <v>14984</v>
      </c>
      <c r="UTX1" s="15" t="s">
        <v>14985</v>
      </c>
      <c r="UTY1" s="15" t="s">
        <v>14986</v>
      </c>
      <c r="UTZ1" s="15" t="s">
        <v>14987</v>
      </c>
      <c r="UUA1" s="15" t="s">
        <v>14988</v>
      </c>
      <c r="UUB1" s="15" t="s">
        <v>14989</v>
      </c>
      <c r="UUC1" s="15" t="s">
        <v>14990</v>
      </c>
      <c r="UUD1" s="15" t="s">
        <v>14991</v>
      </c>
      <c r="UUE1" s="15" t="s">
        <v>14992</v>
      </c>
      <c r="UUF1" s="15" t="s">
        <v>14993</v>
      </c>
      <c r="UUG1" s="15" t="s">
        <v>14994</v>
      </c>
      <c r="UUH1" s="15" t="s">
        <v>14995</v>
      </c>
      <c r="UUI1" s="15" t="s">
        <v>14996</v>
      </c>
      <c r="UUJ1" s="15" t="s">
        <v>14997</v>
      </c>
      <c r="UUK1" s="15" t="s">
        <v>14998</v>
      </c>
      <c r="UUL1" s="15" t="s">
        <v>14999</v>
      </c>
      <c r="UUM1" s="15" t="s">
        <v>15000</v>
      </c>
      <c r="UUN1" s="15" t="s">
        <v>15001</v>
      </c>
      <c r="UUO1" s="15" t="s">
        <v>15002</v>
      </c>
      <c r="UUP1" s="15" t="s">
        <v>15003</v>
      </c>
      <c r="UUQ1" s="15" t="s">
        <v>15004</v>
      </c>
      <c r="UUR1" s="15" t="s">
        <v>15005</v>
      </c>
      <c r="UUS1" s="15" t="s">
        <v>15006</v>
      </c>
      <c r="UUT1" s="15" t="s">
        <v>15007</v>
      </c>
      <c r="UUU1" s="15" t="s">
        <v>15008</v>
      </c>
      <c r="UUV1" s="15" t="s">
        <v>15009</v>
      </c>
      <c r="UUW1" s="15" t="s">
        <v>15010</v>
      </c>
      <c r="UUX1" s="15" t="s">
        <v>15011</v>
      </c>
      <c r="UUY1" s="15" t="s">
        <v>15012</v>
      </c>
      <c r="UUZ1" s="15" t="s">
        <v>15013</v>
      </c>
      <c r="UVA1" s="15" t="s">
        <v>15014</v>
      </c>
      <c r="UVB1" s="15" t="s">
        <v>15015</v>
      </c>
      <c r="UVC1" s="15" t="s">
        <v>15016</v>
      </c>
      <c r="UVD1" s="15" t="s">
        <v>15017</v>
      </c>
      <c r="UVE1" s="15" t="s">
        <v>15018</v>
      </c>
      <c r="UVF1" s="15" t="s">
        <v>15019</v>
      </c>
      <c r="UVG1" s="15" t="s">
        <v>15020</v>
      </c>
      <c r="UVH1" s="15" t="s">
        <v>15021</v>
      </c>
      <c r="UVI1" s="15" t="s">
        <v>15022</v>
      </c>
      <c r="UVJ1" s="15" t="s">
        <v>15023</v>
      </c>
      <c r="UVK1" s="15" t="s">
        <v>15024</v>
      </c>
      <c r="UVL1" s="15" t="s">
        <v>15025</v>
      </c>
      <c r="UVM1" s="15" t="s">
        <v>15026</v>
      </c>
      <c r="UVN1" s="15" t="s">
        <v>15027</v>
      </c>
      <c r="UVO1" s="15" t="s">
        <v>15028</v>
      </c>
      <c r="UVP1" s="15" t="s">
        <v>15029</v>
      </c>
      <c r="UVQ1" s="15" t="s">
        <v>15030</v>
      </c>
      <c r="UVR1" s="15" t="s">
        <v>15031</v>
      </c>
      <c r="UVS1" s="15" t="s">
        <v>15032</v>
      </c>
      <c r="UVT1" s="15" t="s">
        <v>15033</v>
      </c>
      <c r="UVU1" s="15" t="s">
        <v>15034</v>
      </c>
      <c r="UVV1" s="15" t="s">
        <v>15035</v>
      </c>
      <c r="UVW1" s="15" t="s">
        <v>15036</v>
      </c>
      <c r="UVX1" s="15" t="s">
        <v>15037</v>
      </c>
      <c r="UVY1" s="15" t="s">
        <v>15038</v>
      </c>
      <c r="UVZ1" s="15" t="s">
        <v>15039</v>
      </c>
      <c r="UWA1" s="15" t="s">
        <v>15040</v>
      </c>
      <c r="UWB1" s="15" t="s">
        <v>15041</v>
      </c>
      <c r="UWC1" s="15" t="s">
        <v>15042</v>
      </c>
      <c r="UWD1" s="15" t="s">
        <v>15043</v>
      </c>
      <c r="UWE1" s="15" t="s">
        <v>15044</v>
      </c>
      <c r="UWF1" s="15" t="s">
        <v>15045</v>
      </c>
      <c r="UWG1" s="15" t="s">
        <v>15046</v>
      </c>
      <c r="UWH1" s="15" t="s">
        <v>15047</v>
      </c>
      <c r="UWI1" s="15" t="s">
        <v>15048</v>
      </c>
      <c r="UWJ1" s="15" t="s">
        <v>15049</v>
      </c>
      <c r="UWK1" s="15" t="s">
        <v>15050</v>
      </c>
      <c r="UWL1" s="15" t="s">
        <v>15051</v>
      </c>
      <c r="UWM1" s="15" t="s">
        <v>15052</v>
      </c>
      <c r="UWN1" s="15" t="s">
        <v>15053</v>
      </c>
      <c r="UWO1" s="15" t="s">
        <v>15054</v>
      </c>
      <c r="UWP1" s="15" t="s">
        <v>15055</v>
      </c>
      <c r="UWQ1" s="15" t="s">
        <v>15056</v>
      </c>
      <c r="UWR1" s="15" t="s">
        <v>15057</v>
      </c>
      <c r="UWS1" s="15" t="s">
        <v>15058</v>
      </c>
      <c r="UWT1" s="15" t="s">
        <v>15059</v>
      </c>
      <c r="UWU1" s="15" t="s">
        <v>15060</v>
      </c>
      <c r="UWV1" s="15" t="s">
        <v>15061</v>
      </c>
      <c r="UWW1" s="15" t="s">
        <v>15062</v>
      </c>
      <c r="UWX1" s="15" t="s">
        <v>15063</v>
      </c>
      <c r="UWY1" s="15" t="s">
        <v>15064</v>
      </c>
      <c r="UWZ1" s="15" t="s">
        <v>15065</v>
      </c>
      <c r="UXA1" s="15" t="s">
        <v>15066</v>
      </c>
      <c r="UXB1" s="15" t="s">
        <v>15067</v>
      </c>
      <c r="UXC1" s="15" t="s">
        <v>15068</v>
      </c>
      <c r="UXD1" s="15" t="s">
        <v>15069</v>
      </c>
      <c r="UXE1" s="15" t="s">
        <v>15070</v>
      </c>
      <c r="UXF1" s="15" t="s">
        <v>15071</v>
      </c>
      <c r="UXG1" s="15" t="s">
        <v>15072</v>
      </c>
      <c r="UXH1" s="15" t="s">
        <v>15073</v>
      </c>
      <c r="UXI1" s="15" t="s">
        <v>15074</v>
      </c>
      <c r="UXJ1" s="15" t="s">
        <v>15075</v>
      </c>
      <c r="UXK1" s="15" t="s">
        <v>15076</v>
      </c>
      <c r="UXL1" s="15" t="s">
        <v>15077</v>
      </c>
      <c r="UXM1" s="15" t="s">
        <v>15078</v>
      </c>
      <c r="UXN1" s="15" t="s">
        <v>15079</v>
      </c>
      <c r="UXO1" s="15" t="s">
        <v>15080</v>
      </c>
      <c r="UXP1" s="15" t="s">
        <v>15081</v>
      </c>
      <c r="UXQ1" s="15" t="s">
        <v>15082</v>
      </c>
      <c r="UXR1" s="15" t="s">
        <v>15083</v>
      </c>
      <c r="UXS1" s="15" t="s">
        <v>15084</v>
      </c>
      <c r="UXT1" s="15" t="s">
        <v>15085</v>
      </c>
      <c r="UXU1" s="15" t="s">
        <v>15086</v>
      </c>
      <c r="UXV1" s="15" t="s">
        <v>15087</v>
      </c>
      <c r="UXW1" s="15" t="s">
        <v>15088</v>
      </c>
      <c r="UXX1" s="15" t="s">
        <v>15089</v>
      </c>
      <c r="UXY1" s="15" t="s">
        <v>15090</v>
      </c>
      <c r="UXZ1" s="15" t="s">
        <v>15091</v>
      </c>
      <c r="UYA1" s="15" t="s">
        <v>15092</v>
      </c>
      <c r="UYB1" s="15" t="s">
        <v>15093</v>
      </c>
      <c r="UYC1" s="15" t="s">
        <v>15094</v>
      </c>
      <c r="UYD1" s="15" t="s">
        <v>15095</v>
      </c>
      <c r="UYE1" s="15" t="s">
        <v>15096</v>
      </c>
      <c r="UYF1" s="15" t="s">
        <v>15097</v>
      </c>
      <c r="UYG1" s="15" t="s">
        <v>15098</v>
      </c>
      <c r="UYH1" s="15" t="s">
        <v>15099</v>
      </c>
      <c r="UYI1" s="15" t="s">
        <v>15100</v>
      </c>
      <c r="UYJ1" s="15" t="s">
        <v>15101</v>
      </c>
      <c r="UYK1" s="15" t="s">
        <v>15102</v>
      </c>
      <c r="UYL1" s="15" t="s">
        <v>15103</v>
      </c>
      <c r="UYM1" s="15" t="s">
        <v>15104</v>
      </c>
      <c r="UYN1" s="15" t="s">
        <v>15105</v>
      </c>
      <c r="UYO1" s="15" t="s">
        <v>15106</v>
      </c>
      <c r="UYP1" s="15" t="s">
        <v>15107</v>
      </c>
      <c r="UYQ1" s="15" t="s">
        <v>15108</v>
      </c>
      <c r="UYR1" s="15" t="s">
        <v>15109</v>
      </c>
      <c r="UYS1" s="15" t="s">
        <v>15110</v>
      </c>
      <c r="UYT1" s="15" t="s">
        <v>15111</v>
      </c>
      <c r="UYU1" s="15" t="s">
        <v>15112</v>
      </c>
      <c r="UYV1" s="15" t="s">
        <v>15113</v>
      </c>
      <c r="UYW1" s="15" t="s">
        <v>15114</v>
      </c>
      <c r="UYX1" s="15" t="s">
        <v>15115</v>
      </c>
      <c r="UYY1" s="15" t="s">
        <v>15116</v>
      </c>
      <c r="UYZ1" s="15" t="s">
        <v>15117</v>
      </c>
      <c r="UZA1" s="15" t="s">
        <v>15118</v>
      </c>
      <c r="UZB1" s="15" t="s">
        <v>15119</v>
      </c>
      <c r="UZC1" s="15" t="s">
        <v>15120</v>
      </c>
      <c r="UZD1" s="15" t="s">
        <v>15121</v>
      </c>
      <c r="UZE1" s="15" t="s">
        <v>15122</v>
      </c>
      <c r="UZF1" s="15" t="s">
        <v>15123</v>
      </c>
      <c r="UZG1" s="15" t="s">
        <v>15124</v>
      </c>
      <c r="UZH1" s="15" t="s">
        <v>15125</v>
      </c>
      <c r="UZI1" s="15" t="s">
        <v>15126</v>
      </c>
      <c r="UZJ1" s="15" t="s">
        <v>15127</v>
      </c>
      <c r="UZK1" s="15" t="s">
        <v>15128</v>
      </c>
      <c r="UZL1" s="15" t="s">
        <v>15129</v>
      </c>
      <c r="UZM1" s="15" t="s">
        <v>15130</v>
      </c>
      <c r="UZN1" s="15" t="s">
        <v>15131</v>
      </c>
      <c r="UZO1" s="15" t="s">
        <v>15132</v>
      </c>
      <c r="UZP1" s="15" t="s">
        <v>15133</v>
      </c>
      <c r="UZQ1" s="15" t="s">
        <v>15134</v>
      </c>
      <c r="UZR1" s="15" t="s">
        <v>15135</v>
      </c>
      <c r="UZS1" s="15" t="s">
        <v>15136</v>
      </c>
      <c r="UZT1" s="15" t="s">
        <v>15137</v>
      </c>
      <c r="UZU1" s="15" t="s">
        <v>15138</v>
      </c>
      <c r="UZV1" s="15" t="s">
        <v>15139</v>
      </c>
      <c r="UZW1" s="15" t="s">
        <v>15140</v>
      </c>
      <c r="UZX1" s="15" t="s">
        <v>15141</v>
      </c>
      <c r="UZY1" s="15" t="s">
        <v>15142</v>
      </c>
      <c r="UZZ1" s="15" t="s">
        <v>15143</v>
      </c>
      <c r="VAA1" s="15" t="s">
        <v>15144</v>
      </c>
      <c r="VAB1" s="15" t="s">
        <v>15145</v>
      </c>
      <c r="VAC1" s="15" t="s">
        <v>15146</v>
      </c>
      <c r="VAD1" s="15" t="s">
        <v>15147</v>
      </c>
      <c r="VAE1" s="15" t="s">
        <v>15148</v>
      </c>
      <c r="VAF1" s="15" t="s">
        <v>15149</v>
      </c>
      <c r="VAG1" s="15" t="s">
        <v>15150</v>
      </c>
      <c r="VAH1" s="15" t="s">
        <v>15151</v>
      </c>
      <c r="VAI1" s="15" t="s">
        <v>15152</v>
      </c>
      <c r="VAJ1" s="15" t="s">
        <v>15153</v>
      </c>
      <c r="VAK1" s="15" t="s">
        <v>15154</v>
      </c>
      <c r="VAL1" s="15" t="s">
        <v>15155</v>
      </c>
      <c r="VAM1" s="15" t="s">
        <v>15156</v>
      </c>
      <c r="VAN1" s="15" t="s">
        <v>15157</v>
      </c>
      <c r="VAO1" s="15" t="s">
        <v>15158</v>
      </c>
      <c r="VAP1" s="15" t="s">
        <v>15159</v>
      </c>
      <c r="VAQ1" s="15" t="s">
        <v>15160</v>
      </c>
      <c r="VAR1" s="15" t="s">
        <v>15161</v>
      </c>
      <c r="VAS1" s="15" t="s">
        <v>15162</v>
      </c>
      <c r="VAT1" s="15" t="s">
        <v>15163</v>
      </c>
      <c r="VAU1" s="15" t="s">
        <v>15164</v>
      </c>
      <c r="VAV1" s="15" t="s">
        <v>15165</v>
      </c>
      <c r="VAW1" s="15" t="s">
        <v>15166</v>
      </c>
      <c r="VAX1" s="15" t="s">
        <v>15167</v>
      </c>
      <c r="VAY1" s="15" t="s">
        <v>15168</v>
      </c>
      <c r="VAZ1" s="15" t="s">
        <v>15169</v>
      </c>
      <c r="VBA1" s="15" t="s">
        <v>15170</v>
      </c>
      <c r="VBB1" s="15" t="s">
        <v>15171</v>
      </c>
      <c r="VBC1" s="15" t="s">
        <v>15172</v>
      </c>
      <c r="VBD1" s="15" t="s">
        <v>15173</v>
      </c>
      <c r="VBE1" s="15" t="s">
        <v>15174</v>
      </c>
      <c r="VBF1" s="15" t="s">
        <v>15175</v>
      </c>
      <c r="VBG1" s="15" t="s">
        <v>15176</v>
      </c>
      <c r="VBH1" s="15" t="s">
        <v>15177</v>
      </c>
      <c r="VBI1" s="15" t="s">
        <v>15178</v>
      </c>
      <c r="VBJ1" s="15" t="s">
        <v>15179</v>
      </c>
      <c r="VBK1" s="15" t="s">
        <v>15180</v>
      </c>
      <c r="VBL1" s="15" t="s">
        <v>15181</v>
      </c>
      <c r="VBM1" s="15" t="s">
        <v>15182</v>
      </c>
      <c r="VBN1" s="15" t="s">
        <v>15183</v>
      </c>
      <c r="VBO1" s="15" t="s">
        <v>15184</v>
      </c>
      <c r="VBP1" s="15" t="s">
        <v>15185</v>
      </c>
      <c r="VBQ1" s="15" t="s">
        <v>15186</v>
      </c>
      <c r="VBR1" s="15" t="s">
        <v>15187</v>
      </c>
      <c r="VBS1" s="15" t="s">
        <v>15188</v>
      </c>
      <c r="VBT1" s="15" t="s">
        <v>15189</v>
      </c>
      <c r="VBU1" s="15" t="s">
        <v>15190</v>
      </c>
      <c r="VBV1" s="15" t="s">
        <v>15191</v>
      </c>
      <c r="VBW1" s="15" t="s">
        <v>15192</v>
      </c>
      <c r="VBX1" s="15" t="s">
        <v>15193</v>
      </c>
      <c r="VBY1" s="15" t="s">
        <v>15194</v>
      </c>
      <c r="VBZ1" s="15" t="s">
        <v>15195</v>
      </c>
      <c r="VCA1" s="15" t="s">
        <v>15196</v>
      </c>
      <c r="VCB1" s="15" t="s">
        <v>15197</v>
      </c>
      <c r="VCC1" s="15" t="s">
        <v>15198</v>
      </c>
      <c r="VCD1" s="15" t="s">
        <v>15199</v>
      </c>
      <c r="VCE1" s="15" t="s">
        <v>15200</v>
      </c>
      <c r="VCF1" s="15" t="s">
        <v>15201</v>
      </c>
      <c r="VCG1" s="15" t="s">
        <v>15202</v>
      </c>
      <c r="VCH1" s="15" t="s">
        <v>15203</v>
      </c>
      <c r="VCI1" s="15" t="s">
        <v>15204</v>
      </c>
      <c r="VCJ1" s="15" t="s">
        <v>15205</v>
      </c>
      <c r="VCK1" s="15" t="s">
        <v>15206</v>
      </c>
      <c r="VCL1" s="15" t="s">
        <v>15207</v>
      </c>
      <c r="VCM1" s="15" t="s">
        <v>15208</v>
      </c>
      <c r="VCN1" s="15" t="s">
        <v>15209</v>
      </c>
      <c r="VCO1" s="15" t="s">
        <v>15210</v>
      </c>
      <c r="VCP1" s="15" t="s">
        <v>15211</v>
      </c>
      <c r="VCQ1" s="15" t="s">
        <v>15212</v>
      </c>
      <c r="VCR1" s="15" t="s">
        <v>15213</v>
      </c>
      <c r="VCS1" s="15" t="s">
        <v>15214</v>
      </c>
      <c r="VCT1" s="15" t="s">
        <v>15215</v>
      </c>
      <c r="VCU1" s="15" t="s">
        <v>15216</v>
      </c>
      <c r="VCV1" s="15" t="s">
        <v>15217</v>
      </c>
      <c r="VCW1" s="15" t="s">
        <v>15218</v>
      </c>
      <c r="VCX1" s="15" t="s">
        <v>15219</v>
      </c>
      <c r="VCY1" s="15" t="s">
        <v>15220</v>
      </c>
      <c r="VCZ1" s="15" t="s">
        <v>15221</v>
      </c>
      <c r="VDA1" s="15" t="s">
        <v>15222</v>
      </c>
      <c r="VDB1" s="15" t="s">
        <v>15223</v>
      </c>
      <c r="VDC1" s="15" t="s">
        <v>15224</v>
      </c>
      <c r="VDD1" s="15" t="s">
        <v>15225</v>
      </c>
      <c r="VDE1" s="15" t="s">
        <v>15226</v>
      </c>
      <c r="VDF1" s="15" t="s">
        <v>15227</v>
      </c>
      <c r="VDG1" s="15" t="s">
        <v>15228</v>
      </c>
      <c r="VDH1" s="15" t="s">
        <v>15229</v>
      </c>
      <c r="VDI1" s="15" t="s">
        <v>15230</v>
      </c>
      <c r="VDJ1" s="15" t="s">
        <v>15231</v>
      </c>
      <c r="VDK1" s="15" t="s">
        <v>15232</v>
      </c>
      <c r="VDL1" s="15" t="s">
        <v>15233</v>
      </c>
      <c r="VDM1" s="15" t="s">
        <v>15234</v>
      </c>
      <c r="VDN1" s="15" t="s">
        <v>15235</v>
      </c>
      <c r="VDO1" s="15" t="s">
        <v>15236</v>
      </c>
      <c r="VDP1" s="15" t="s">
        <v>15237</v>
      </c>
      <c r="VDQ1" s="15" t="s">
        <v>15238</v>
      </c>
      <c r="VDR1" s="15" t="s">
        <v>15239</v>
      </c>
      <c r="VDS1" s="15" t="s">
        <v>15240</v>
      </c>
      <c r="VDT1" s="15" t="s">
        <v>15241</v>
      </c>
      <c r="VDU1" s="15" t="s">
        <v>15242</v>
      </c>
      <c r="VDV1" s="15" t="s">
        <v>15243</v>
      </c>
      <c r="VDW1" s="15" t="s">
        <v>15244</v>
      </c>
      <c r="VDX1" s="15" t="s">
        <v>15245</v>
      </c>
      <c r="VDY1" s="15" t="s">
        <v>15246</v>
      </c>
      <c r="VDZ1" s="15" t="s">
        <v>15247</v>
      </c>
      <c r="VEA1" s="15" t="s">
        <v>15248</v>
      </c>
      <c r="VEB1" s="15" t="s">
        <v>15249</v>
      </c>
      <c r="VEC1" s="15" t="s">
        <v>15250</v>
      </c>
      <c r="VED1" s="15" t="s">
        <v>15251</v>
      </c>
      <c r="VEE1" s="15" t="s">
        <v>15252</v>
      </c>
      <c r="VEF1" s="15" t="s">
        <v>15253</v>
      </c>
      <c r="VEG1" s="15" t="s">
        <v>15254</v>
      </c>
      <c r="VEH1" s="15" t="s">
        <v>15255</v>
      </c>
      <c r="VEI1" s="15" t="s">
        <v>15256</v>
      </c>
      <c r="VEJ1" s="15" t="s">
        <v>15257</v>
      </c>
      <c r="VEK1" s="15" t="s">
        <v>15258</v>
      </c>
      <c r="VEL1" s="15" t="s">
        <v>15259</v>
      </c>
      <c r="VEM1" s="15" t="s">
        <v>15260</v>
      </c>
      <c r="VEN1" s="15" t="s">
        <v>15261</v>
      </c>
      <c r="VEO1" s="15" t="s">
        <v>15262</v>
      </c>
      <c r="VEP1" s="15" t="s">
        <v>15263</v>
      </c>
      <c r="VEQ1" s="15" t="s">
        <v>15264</v>
      </c>
      <c r="VER1" s="15" t="s">
        <v>15265</v>
      </c>
      <c r="VES1" s="15" t="s">
        <v>15266</v>
      </c>
      <c r="VET1" s="15" t="s">
        <v>15267</v>
      </c>
      <c r="VEU1" s="15" t="s">
        <v>15268</v>
      </c>
      <c r="VEV1" s="15" t="s">
        <v>15269</v>
      </c>
      <c r="VEW1" s="15" t="s">
        <v>15270</v>
      </c>
      <c r="VEX1" s="15" t="s">
        <v>15271</v>
      </c>
      <c r="VEY1" s="15" t="s">
        <v>15272</v>
      </c>
      <c r="VEZ1" s="15" t="s">
        <v>15273</v>
      </c>
      <c r="VFA1" s="15" t="s">
        <v>15274</v>
      </c>
      <c r="VFB1" s="15" t="s">
        <v>15275</v>
      </c>
      <c r="VFC1" s="15" t="s">
        <v>15276</v>
      </c>
      <c r="VFD1" s="15" t="s">
        <v>15277</v>
      </c>
      <c r="VFE1" s="15" t="s">
        <v>15278</v>
      </c>
      <c r="VFF1" s="15" t="s">
        <v>15279</v>
      </c>
      <c r="VFG1" s="15" t="s">
        <v>15280</v>
      </c>
      <c r="VFH1" s="15" t="s">
        <v>15281</v>
      </c>
      <c r="VFI1" s="15" t="s">
        <v>15282</v>
      </c>
      <c r="VFJ1" s="15" t="s">
        <v>15283</v>
      </c>
      <c r="VFK1" s="15" t="s">
        <v>15284</v>
      </c>
      <c r="VFL1" s="15" t="s">
        <v>15285</v>
      </c>
      <c r="VFM1" s="15" t="s">
        <v>15286</v>
      </c>
      <c r="VFN1" s="15" t="s">
        <v>15287</v>
      </c>
      <c r="VFO1" s="15" t="s">
        <v>15288</v>
      </c>
      <c r="VFP1" s="15" t="s">
        <v>15289</v>
      </c>
      <c r="VFQ1" s="15" t="s">
        <v>15290</v>
      </c>
      <c r="VFR1" s="15" t="s">
        <v>15291</v>
      </c>
      <c r="VFS1" s="15" t="s">
        <v>15292</v>
      </c>
      <c r="VFT1" s="15" t="s">
        <v>15293</v>
      </c>
      <c r="VFU1" s="15" t="s">
        <v>15294</v>
      </c>
      <c r="VFV1" s="15" t="s">
        <v>15295</v>
      </c>
      <c r="VFW1" s="15" t="s">
        <v>15296</v>
      </c>
      <c r="VFX1" s="15" t="s">
        <v>15297</v>
      </c>
      <c r="VFY1" s="15" t="s">
        <v>15298</v>
      </c>
      <c r="VFZ1" s="15" t="s">
        <v>15299</v>
      </c>
      <c r="VGA1" s="15" t="s">
        <v>15300</v>
      </c>
      <c r="VGB1" s="15" t="s">
        <v>15301</v>
      </c>
      <c r="VGC1" s="15" t="s">
        <v>15302</v>
      </c>
      <c r="VGD1" s="15" t="s">
        <v>15303</v>
      </c>
      <c r="VGE1" s="15" t="s">
        <v>15304</v>
      </c>
      <c r="VGF1" s="15" t="s">
        <v>15305</v>
      </c>
      <c r="VGG1" s="15" t="s">
        <v>15306</v>
      </c>
      <c r="VGH1" s="15" t="s">
        <v>15307</v>
      </c>
      <c r="VGI1" s="15" t="s">
        <v>15308</v>
      </c>
      <c r="VGJ1" s="15" t="s">
        <v>15309</v>
      </c>
      <c r="VGK1" s="15" t="s">
        <v>15310</v>
      </c>
      <c r="VGL1" s="15" t="s">
        <v>15311</v>
      </c>
      <c r="VGM1" s="15" t="s">
        <v>15312</v>
      </c>
      <c r="VGN1" s="15" t="s">
        <v>15313</v>
      </c>
      <c r="VGO1" s="15" t="s">
        <v>15314</v>
      </c>
      <c r="VGP1" s="15" t="s">
        <v>15315</v>
      </c>
      <c r="VGQ1" s="15" t="s">
        <v>15316</v>
      </c>
      <c r="VGR1" s="15" t="s">
        <v>15317</v>
      </c>
      <c r="VGS1" s="15" t="s">
        <v>15318</v>
      </c>
      <c r="VGT1" s="15" t="s">
        <v>15319</v>
      </c>
      <c r="VGU1" s="15" t="s">
        <v>15320</v>
      </c>
      <c r="VGV1" s="15" t="s">
        <v>15321</v>
      </c>
      <c r="VGW1" s="15" t="s">
        <v>15322</v>
      </c>
      <c r="VGX1" s="15" t="s">
        <v>15323</v>
      </c>
      <c r="VGY1" s="15" t="s">
        <v>15324</v>
      </c>
      <c r="VGZ1" s="15" t="s">
        <v>15325</v>
      </c>
      <c r="VHA1" s="15" t="s">
        <v>15326</v>
      </c>
      <c r="VHB1" s="15" t="s">
        <v>15327</v>
      </c>
      <c r="VHC1" s="15" t="s">
        <v>15328</v>
      </c>
      <c r="VHD1" s="15" t="s">
        <v>15329</v>
      </c>
      <c r="VHE1" s="15" t="s">
        <v>15330</v>
      </c>
      <c r="VHF1" s="15" t="s">
        <v>15331</v>
      </c>
      <c r="VHG1" s="15" t="s">
        <v>15332</v>
      </c>
      <c r="VHH1" s="15" t="s">
        <v>15333</v>
      </c>
      <c r="VHI1" s="15" t="s">
        <v>15334</v>
      </c>
      <c r="VHJ1" s="15" t="s">
        <v>15335</v>
      </c>
      <c r="VHK1" s="15" t="s">
        <v>15336</v>
      </c>
      <c r="VHL1" s="15" t="s">
        <v>15337</v>
      </c>
      <c r="VHM1" s="15" t="s">
        <v>15338</v>
      </c>
      <c r="VHN1" s="15" t="s">
        <v>15339</v>
      </c>
      <c r="VHO1" s="15" t="s">
        <v>15340</v>
      </c>
      <c r="VHP1" s="15" t="s">
        <v>15341</v>
      </c>
      <c r="VHQ1" s="15" t="s">
        <v>15342</v>
      </c>
      <c r="VHR1" s="15" t="s">
        <v>15343</v>
      </c>
      <c r="VHS1" s="15" t="s">
        <v>15344</v>
      </c>
      <c r="VHT1" s="15" t="s">
        <v>15345</v>
      </c>
      <c r="VHU1" s="15" t="s">
        <v>15346</v>
      </c>
      <c r="VHV1" s="15" t="s">
        <v>15347</v>
      </c>
      <c r="VHW1" s="15" t="s">
        <v>15348</v>
      </c>
      <c r="VHX1" s="15" t="s">
        <v>15349</v>
      </c>
      <c r="VHY1" s="15" t="s">
        <v>15350</v>
      </c>
      <c r="VHZ1" s="15" t="s">
        <v>15351</v>
      </c>
      <c r="VIA1" s="15" t="s">
        <v>15352</v>
      </c>
      <c r="VIB1" s="15" t="s">
        <v>15353</v>
      </c>
      <c r="VIC1" s="15" t="s">
        <v>15354</v>
      </c>
      <c r="VID1" s="15" t="s">
        <v>15355</v>
      </c>
      <c r="VIE1" s="15" t="s">
        <v>15356</v>
      </c>
      <c r="VIF1" s="15" t="s">
        <v>15357</v>
      </c>
      <c r="VIG1" s="15" t="s">
        <v>15358</v>
      </c>
      <c r="VIH1" s="15" t="s">
        <v>15359</v>
      </c>
      <c r="VII1" s="15" t="s">
        <v>15360</v>
      </c>
      <c r="VIJ1" s="15" t="s">
        <v>15361</v>
      </c>
      <c r="VIK1" s="15" t="s">
        <v>15362</v>
      </c>
      <c r="VIL1" s="15" t="s">
        <v>15363</v>
      </c>
      <c r="VIM1" s="15" t="s">
        <v>15364</v>
      </c>
      <c r="VIN1" s="15" t="s">
        <v>15365</v>
      </c>
      <c r="VIO1" s="15" t="s">
        <v>15366</v>
      </c>
      <c r="VIP1" s="15" t="s">
        <v>15367</v>
      </c>
      <c r="VIQ1" s="15" t="s">
        <v>15368</v>
      </c>
      <c r="VIR1" s="15" t="s">
        <v>15369</v>
      </c>
      <c r="VIS1" s="15" t="s">
        <v>15370</v>
      </c>
      <c r="VIT1" s="15" t="s">
        <v>15371</v>
      </c>
      <c r="VIU1" s="15" t="s">
        <v>15372</v>
      </c>
      <c r="VIV1" s="15" t="s">
        <v>15373</v>
      </c>
      <c r="VIW1" s="15" t="s">
        <v>15374</v>
      </c>
      <c r="VIX1" s="15" t="s">
        <v>15375</v>
      </c>
      <c r="VIY1" s="15" t="s">
        <v>15376</v>
      </c>
      <c r="VIZ1" s="15" t="s">
        <v>15377</v>
      </c>
      <c r="VJA1" s="15" t="s">
        <v>15378</v>
      </c>
      <c r="VJB1" s="15" t="s">
        <v>15379</v>
      </c>
      <c r="VJC1" s="15" t="s">
        <v>15380</v>
      </c>
      <c r="VJD1" s="15" t="s">
        <v>15381</v>
      </c>
      <c r="VJE1" s="15" t="s">
        <v>15382</v>
      </c>
      <c r="VJF1" s="15" t="s">
        <v>15383</v>
      </c>
      <c r="VJG1" s="15" t="s">
        <v>15384</v>
      </c>
      <c r="VJH1" s="15" t="s">
        <v>15385</v>
      </c>
      <c r="VJI1" s="15" t="s">
        <v>15386</v>
      </c>
      <c r="VJJ1" s="15" t="s">
        <v>15387</v>
      </c>
      <c r="VJK1" s="15" t="s">
        <v>15388</v>
      </c>
      <c r="VJL1" s="15" t="s">
        <v>15389</v>
      </c>
      <c r="VJM1" s="15" t="s">
        <v>15390</v>
      </c>
      <c r="VJN1" s="15" t="s">
        <v>15391</v>
      </c>
      <c r="VJO1" s="15" t="s">
        <v>15392</v>
      </c>
      <c r="VJP1" s="15" t="s">
        <v>15393</v>
      </c>
      <c r="VJQ1" s="15" t="s">
        <v>15394</v>
      </c>
      <c r="VJR1" s="15" t="s">
        <v>15395</v>
      </c>
      <c r="VJS1" s="15" t="s">
        <v>15396</v>
      </c>
      <c r="VJT1" s="15" t="s">
        <v>15397</v>
      </c>
      <c r="VJU1" s="15" t="s">
        <v>15398</v>
      </c>
      <c r="VJV1" s="15" t="s">
        <v>15399</v>
      </c>
      <c r="VJW1" s="15" t="s">
        <v>15400</v>
      </c>
      <c r="VJX1" s="15" t="s">
        <v>15401</v>
      </c>
      <c r="VJY1" s="15" t="s">
        <v>15402</v>
      </c>
      <c r="VJZ1" s="15" t="s">
        <v>15403</v>
      </c>
      <c r="VKA1" s="15" t="s">
        <v>15404</v>
      </c>
      <c r="VKB1" s="15" t="s">
        <v>15405</v>
      </c>
      <c r="VKC1" s="15" t="s">
        <v>15406</v>
      </c>
      <c r="VKD1" s="15" t="s">
        <v>15407</v>
      </c>
      <c r="VKE1" s="15" t="s">
        <v>15408</v>
      </c>
      <c r="VKF1" s="15" t="s">
        <v>15409</v>
      </c>
      <c r="VKG1" s="15" t="s">
        <v>15410</v>
      </c>
      <c r="VKH1" s="15" t="s">
        <v>15411</v>
      </c>
      <c r="VKI1" s="15" t="s">
        <v>15412</v>
      </c>
      <c r="VKJ1" s="15" t="s">
        <v>15413</v>
      </c>
      <c r="VKK1" s="15" t="s">
        <v>15414</v>
      </c>
      <c r="VKL1" s="15" t="s">
        <v>15415</v>
      </c>
      <c r="VKM1" s="15" t="s">
        <v>15416</v>
      </c>
      <c r="VKN1" s="15" t="s">
        <v>15417</v>
      </c>
      <c r="VKO1" s="15" t="s">
        <v>15418</v>
      </c>
      <c r="VKP1" s="15" t="s">
        <v>15419</v>
      </c>
      <c r="VKQ1" s="15" t="s">
        <v>15420</v>
      </c>
      <c r="VKR1" s="15" t="s">
        <v>15421</v>
      </c>
      <c r="VKS1" s="15" t="s">
        <v>15422</v>
      </c>
      <c r="VKT1" s="15" t="s">
        <v>15423</v>
      </c>
      <c r="VKU1" s="15" t="s">
        <v>15424</v>
      </c>
      <c r="VKV1" s="15" t="s">
        <v>15425</v>
      </c>
      <c r="VKW1" s="15" t="s">
        <v>15426</v>
      </c>
      <c r="VKX1" s="15" t="s">
        <v>15427</v>
      </c>
      <c r="VKY1" s="15" t="s">
        <v>15428</v>
      </c>
      <c r="VKZ1" s="15" t="s">
        <v>15429</v>
      </c>
      <c r="VLA1" s="15" t="s">
        <v>15430</v>
      </c>
      <c r="VLB1" s="15" t="s">
        <v>15431</v>
      </c>
      <c r="VLC1" s="15" t="s">
        <v>15432</v>
      </c>
      <c r="VLD1" s="15" t="s">
        <v>15433</v>
      </c>
      <c r="VLE1" s="15" t="s">
        <v>15434</v>
      </c>
      <c r="VLF1" s="15" t="s">
        <v>15435</v>
      </c>
      <c r="VLG1" s="15" t="s">
        <v>15436</v>
      </c>
      <c r="VLH1" s="15" t="s">
        <v>15437</v>
      </c>
      <c r="VLI1" s="15" t="s">
        <v>15438</v>
      </c>
      <c r="VLJ1" s="15" t="s">
        <v>15439</v>
      </c>
      <c r="VLK1" s="15" t="s">
        <v>15440</v>
      </c>
      <c r="VLL1" s="15" t="s">
        <v>15441</v>
      </c>
      <c r="VLM1" s="15" t="s">
        <v>15442</v>
      </c>
      <c r="VLN1" s="15" t="s">
        <v>15443</v>
      </c>
      <c r="VLO1" s="15" t="s">
        <v>15444</v>
      </c>
      <c r="VLP1" s="15" t="s">
        <v>15445</v>
      </c>
      <c r="VLQ1" s="15" t="s">
        <v>15446</v>
      </c>
      <c r="VLR1" s="15" t="s">
        <v>15447</v>
      </c>
      <c r="VLS1" s="15" t="s">
        <v>15448</v>
      </c>
      <c r="VLT1" s="15" t="s">
        <v>15449</v>
      </c>
      <c r="VLU1" s="15" t="s">
        <v>15450</v>
      </c>
      <c r="VLV1" s="15" t="s">
        <v>15451</v>
      </c>
      <c r="VLW1" s="15" t="s">
        <v>15452</v>
      </c>
      <c r="VLX1" s="15" t="s">
        <v>15453</v>
      </c>
      <c r="VLY1" s="15" t="s">
        <v>15454</v>
      </c>
      <c r="VLZ1" s="15" t="s">
        <v>15455</v>
      </c>
      <c r="VMA1" s="15" t="s">
        <v>15456</v>
      </c>
      <c r="VMB1" s="15" t="s">
        <v>15457</v>
      </c>
      <c r="VMC1" s="15" t="s">
        <v>15458</v>
      </c>
      <c r="VMD1" s="15" t="s">
        <v>15459</v>
      </c>
      <c r="VME1" s="15" t="s">
        <v>15460</v>
      </c>
      <c r="VMF1" s="15" t="s">
        <v>15461</v>
      </c>
      <c r="VMG1" s="15" t="s">
        <v>15462</v>
      </c>
      <c r="VMH1" s="15" t="s">
        <v>15463</v>
      </c>
      <c r="VMI1" s="15" t="s">
        <v>15464</v>
      </c>
      <c r="VMJ1" s="15" t="s">
        <v>15465</v>
      </c>
      <c r="VMK1" s="15" t="s">
        <v>15466</v>
      </c>
      <c r="VML1" s="15" t="s">
        <v>15467</v>
      </c>
      <c r="VMM1" s="15" t="s">
        <v>15468</v>
      </c>
      <c r="VMN1" s="15" t="s">
        <v>15469</v>
      </c>
      <c r="VMO1" s="15" t="s">
        <v>15470</v>
      </c>
      <c r="VMP1" s="15" t="s">
        <v>15471</v>
      </c>
      <c r="VMQ1" s="15" t="s">
        <v>15472</v>
      </c>
      <c r="VMR1" s="15" t="s">
        <v>15473</v>
      </c>
      <c r="VMS1" s="15" t="s">
        <v>15474</v>
      </c>
      <c r="VMT1" s="15" t="s">
        <v>15475</v>
      </c>
      <c r="VMU1" s="15" t="s">
        <v>15476</v>
      </c>
      <c r="VMV1" s="15" t="s">
        <v>15477</v>
      </c>
      <c r="VMW1" s="15" t="s">
        <v>15478</v>
      </c>
      <c r="VMX1" s="15" t="s">
        <v>15479</v>
      </c>
      <c r="VMY1" s="15" t="s">
        <v>15480</v>
      </c>
      <c r="VMZ1" s="15" t="s">
        <v>15481</v>
      </c>
      <c r="VNA1" s="15" t="s">
        <v>15482</v>
      </c>
      <c r="VNB1" s="15" t="s">
        <v>15483</v>
      </c>
      <c r="VNC1" s="15" t="s">
        <v>15484</v>
      </c>
      <c r="VND1" s="15" t="s">
        <v>15485</v>
      </c>
      <c r="VNE1" s="15" t="s">
        <v>15486</v>
      </c>
      <c r="VNF1" s="15" t="s">
        <v>15487</v>
      </c>
      <c r="VNG1" s="15" t="s">
        <v>15488</v>
      </c>
      <c r="VNH1" s="15" t="s">
        <v>15489</v>
      </c>
      <c r="VNI1" s="15" t="s">
        <v>15490</v>
      </c>
      <c r="VNJ1" s="15" t="s">
        <v>15491</v>
      </c>
      <c r="VNK1" s="15" t="s">
        <v>15492</v>
      </c>
      <c r="VNL1" s="15" t="s">
        <v>15493</v>
      </c>
      <c r="VNM1" s="15" t="s">
        <v>15494</v>
      </c>
      <c r="VNN1" s="15" t="s">
        <v>15495</v>
      </c>
      <c r="VNO1" s="15" t="s">
        <v>15496</v>
      </c>
      <c r="VNP1" s="15" t="s">
        <v>15497</v>
      </c>
      <c r="VNQ1" s="15" t="s">
        <v>15498</v>
      </c>
      <c r="VNR1" s="15" t="s">
        <v>15499</v>
      </c>
      <c r="VNS1" s="15" t="s">
        <v>15500</v>
      </c>
      <c r="VNT1" s="15" t="s">
        <v>15501</v>
      </c>
      <c r="VNU1" s="15" t="s">
        <v>15502</v>
      </c>
      <c r="VNV1" s="15" t="s">
        <v>15503</v>
      </c>
      <c r="VNW1" s="15" t="s">
        <v>15504</v>
      </c>
      <c r="VNX1" s="15" t="s">
        <v>15505</v>
      </c>
      <c r="VNY1" s="15" t="s">
        <v>15506</v>
      </c>
      <c r="VNZ1" s="15" t="s">
        <v>15507</v>
      </c>
      <c r="VOA1" s="15" t="s">
        <v>15508</v>
      </c>
      <c r="VOB1" s="15" t="s">
        <v>15509</v>
      </c>
      <c r="VOC1" s="15" t="s">
        <v>15510</v>
      </c>
      <c r="VOD1" s="15" t="s">
        <v>15511</v>
      </c>
      <c r="VOE1" s="15" t="s">
        <v>15512</v>
      </c>
      <c r="VOF1" s="15" t="s">
        <v>15513</v>
      </c>
      <c r="VOG1" s="15" t="s">
        <v>15514</v>
      </c>
      <c r="VOH1" s="15" t="s">
        <v>15515</v>
      </c>
      <c r="VOI1" s="15" t="s">
        <v>15516</v>
      </c>
      <c r="VOJ1" s="15" t="s">
        <v>15517</v>
      </c>
      <c r="VOK1" s="15" t="s">
        <v>15518</v>
      </c>
      <c r="VOL1" s="15" t="s">
        <v>15519</v>
      </c>
      <c r="VOM1" s="15" t="s">
        <v>15520</v>
      </c>
      <c r="VON1" s="15" t="s">
        <v>15521</v>
      </c>
      <c r="VOO1" s="15" t="s">
        <v>15522</v>
      </c>
      <c r="VOP1" s="15" t="s">
        <v>15523</v>
      </c>
      <c r="VOQ1" s="15" t="s">
        <v>15524</v>
      </c>
      <c r="VOR1" s="15" t="s">
        <v>15525</v>
      </c>
      <c r="VOS1" s="15" t="s">
        <v>15526</v>
      </c>
      <c r="VOT1" s="15" t="s">
        <v>15527</v>
      </c>
      <c r="VOU1" s="15" t="s">
        <v>15528</v>
      </c>
      <c r="VOV1" s="15" t="s">
        <v>15529</v>
      </c>
      <c r="VOW1" s="15" t="s">
        <v>15530</v>
      </c>
      <c r="VOX1" s="15" t="s">
        <v>15531</v>
      </c>
      <c r="VOY1" s="15" t="s">
        <v>15532</v>
      </c>
      <c r="VOZ1" s="15" t="s">
        <v>15533</v>
      </c>
      <c r="VPA1" s="15" t="s">
        <v>15534</v>
      </c>
      <c r="VPB1" s="15" t="s">
        <v>15535</v>
      </c>
      <c r="VPC1" s="15" t="s">
        <v>15536</v>
      </c>
      <c r="VPD1" s="15" t="s">
        <v>15537</v>
      </c>
      <c r="VPE1" s="15" t="s">
        <v>15538</v>
      </c>
      <c r="VPF1" s="15" t="s">
        <v>15539</v>
      </c>
      <c r="VPG1" s="15" t="s">
        <v>15540</v>
      </c>
      <c r="VPH1" s="15" t="s">
        <v>15541</v>
      </c>
      <c r="VPI1" s="15" t="s">
        <v>15542</v>
      </c>
      <c r="VPJ1" s="15" t="s">
        <v>15543</v>
      </c>
      <c r="VPK1" s="15" t="s">
        <v>15544</v>
      </c>
      <c r="VPL1" s="15" t="s">
        <v>15545</v>
      </c>
      <c r="VPM1" s="15" t="s">
        <v>15546</v>
      </c>
      <c r="VPN1" s="15" t="s">
        <v>15547</v>
      </c>
      <c r="VPO1" s="15" t="s">
        <v>15548</v>
      </c>
      <c r="VPP1" s="15" t="s">
        <v>15549</v>
      </c>
      <c r="VPQ1" s="15" t="s">
        <v>15550</v>
      </c>
      <c r="VPR1" s="15" t="s">
        <v>15551</v>
      </c>
      <c r="VPS1" s="15" t="s">
        <v>15552</v>
      </c>
      <c r="VPT1" s="15" t="s">
        <v>15553</v>
      </c>
      <c r="VPU1" s="15" t="s">
        <v>15554</v>
      </c>
      <c r="VPV1" s="15" t="s">
        <v>15555</v>
      </c>
      <c r="VPW1" s="15" t="s">
        <v>15556</v>
      </c>
      <c r="VPX1" s="15" t="s">
        <v>15557</v>
      </c>
      <c r="VPY1" s="15" t="s">
        <v>15558</v>
      </c>
      <c r="VPZ1" s="15" t="s">
        <v>15559</v>
      </c>
      <c r="VQA1" s="15" t="s">
        <v>15560</v>
      </c>
      <c r="VQB1" s="15" t="s">
        <v>15561</v>
      </c>
      <c r="VQC1" s="15" t="s">
        <v>15562</v>
      </c>
      <c r="VQD1" s="15" t="s">
        <v>15563</v>
      </c>
      <c r="VQE1" s="15" t="s">
        <v>15564</v>
      </c>
      <c r="VQF1" s="15" t="s">
        <v>15565</v>
      </c>
      <c r="VQG1" s="15" t="s">
        <v>15566</v>
      </c>
      <c r="VQH1" s="15" t="s">
        <v>15567</v>
      </c>
      <c r="VQI1" s="15" t="s">
        <v>15568</v>
      </c>
      <c r="VQJ1" s="15" t="s">
        <v>15569</v>
      </c>
      <c r="VQK1" s="15" t="s">
        <v>15570</v>
      </c>
      <c r="VQL1" s="15" t="s">
        <v>15571</v>
      </c>
      <c r="VQM1" s="15" t="s">
        <v>15572</v>
      </c>
      <c r="VQN1" s="15" t="s">
        <v>15573</v>
      </c>
      <c r="VQO1" s="15" t="s">
        <v>15574</v>
      </c>
      <c r="VQP1" s="15" t="s">
        <v>15575</v>
      </c>
      <c r="VQQ1" s="15" t="s">
        <v>15576</v>
      </c>
      <c r="VQR1" s="15" t="s">
        <v>15577</v>
      </c>
      <c r="VQS1" s="15" t="s">
        <v>15578</v>
      </c>
      <c r="VQT1" s="15" t="s">
        <v>15579</v>
      </c>
      <c r="VQU1" s="15" t="s">
        <v>15580</v>
      </c>
      <c r="VQV1" s="15" t="s">
        <v>15581</v>
      </c>
      <c r="VQW1" s="15" t="s">
        <v>15582</v>
      </c>
      <c r="VQX1" s="15" t="s">
        <v>15583</v>
      </c>
      <c r="VQY1" s="15" t="s">
        <v>15584</v>
      </c>
      <c r="VQZ1" s="15" t="s">
        <v>15585</v>
      </c>
      <c r="VRA1" s="15" t="s">
        <v>15586</v>
      </c>
      <c r="VRB1" s="15" t="s">
        <v>15587</v>
      </c>
      <c r="VRC1" s="15" t="s">
        <v>15588</v>
      </c>
      <c r="VRD1" s="15" t="s">
        <v>15589</v>
      </c>
      <c r="VRE1" s="15" t="s">
        <v>15590</v>
      </c>
      <c r="VRF1" s="15" t="s">
        <v>15591</v>
      </c>
      <c r="VRG1" s="15" t="s">
        <v>15592</v>
      </c>
      <c r="VRH1" s="15" t="s">
        <v>15593</v>
      </c>
      <c r="VRI1" s="15" t="s">
        <v>15594</v>
      </c>
      <c r="VRJ1" s="15" t="s">
        <v>15595</v>
      </c>
      <c r="VRK1" s="15" t="s">
        <v>15596</v>
      </c>
      <c r="VRL1" s="15" t="s">
        <v>15597</v>
      </c>
      <c r="VRM1" s="15" t="s">
        <v>15598</v>
      </c>
      <c r="VRN1" s="15" t="s">
        <v>15599</v>
      </c>
      <c r="VRO1" s="15" t="s">
        <v>15600</v>
      </c>
      <c r="VRP1" s="15" t="s">
        <v>15601</v>
      </c>
      <c r="VRQ1" s="15" t="s">
        <v>15602</v>
      </c>
      <c r="VRR1" s="15" t="s">
        <v>15603</v>
      </c>
      <c r="VRS1" s="15" t="s">
        <v>15604</v>
      </c>
      <c r="VRT1" s="15" t="s">
        <v>15605</v>
      </c>
      <c r="VRU1" s="15" t="s">
        <v>15606</v>
      </c>
      <c r="VRV1" s="15" t="s">
        <v>15607</v>
      </c>
      <c r="VRW1" s="15" t="s">
        <v>15608</v>
      </c>
      <c r="VRX1" s="15" t="s">
        <v>15609</v>
      </c>
      <c r="VRY1" s="15" t="s">
        <v>15610</v>
      </c>
      <c r="VRZ1" s="15" t="s">
        <v>15611</v>
      </c>
      <c r="VSA1" s="15" t="s">
        <v>15612</v>
      </c>
      <c r="VSB1" s="15" t="s">
        <v>15613</v>
      </c>
      <c r="VSC1" s="15" t="s">
        <v>15614</v>
      </c>
      <c r="VSD1" s="15" t="s">
        <v>15615</v>
      </c>
      <c r="VSE1" s="15" t="s">
        <v>15616</v>
      </c>
      <c r="VSF1" s="15" t="s">
        <v>15617</v>
      </c>
      <c r="VSG1" s="15" t="s">
        <v>15618</v>
      </c>
      <c r="VSH1" s="15" t="s">
        <v>15619</v>
      </c>
      <c r="VSI1" s="15" t="s">
        <v>15620</v>
      </c>
      <c r="VSJ1" s="15" t="s">
        <v>15621</v>
      </c>
      <c r="VSK1" s="15" t="s">
        <v>15622</v>
      </c>
      <c r="VSL1" s="15" t="s">
        <v>15623</v>
      </c>
      <c r="VSM1" s="15" t="s">
        <v>15624</v>
      </c>
      <c r="VSN1" s="15" t="s">
        <v>15625</v>
      </c>
      <c r="VSO1" s="15" t="s">
        <v>15626</v>
      </c>
      <c r="VSP1" s="15" t="s">
        <v>15627</v>
      </c>
      <c r="VSQ1" s="15" t="s">
        <v>15628</v>
      </c>
      <c r="VSR1" s="15" t="s">
        <v>15629</v>
      </c>
      <c r="VSS1" s="15" t="s">
        <v>15630</v>
      </c>
      <c r="VST1" s="15" t="s">
        <v>15631</v>
      </c>
      <c r="VSU1" s="15" t="s">
        <v>15632</v>
      </c>
      <c r="VSV1" s="15" t="s">
        <v>15633</v>
      </c>
      <c r="VSW1" s="15" t="s">
        <v>15634</v>
      </c>
      <c r="VSX1" s="15" t="s">
        <v>15635</v>
      </c>
      <c r="VSY1" s="15" t="s">
        <v>15636</v>
      </c>
      <c r="VSZ1" s="15" t="s">
        <v>15637</v>
      </c>
      <c r="VTA1" s="15" t="s">
        <v>15638</v>
      </c>
      <c r="VTB1" s="15" t="s">
        <v>15639</v>
      </c>
      <c r="VTC1" s="15" t="s">
        <v>15640</v>
      </c>
      <c r="VTD1" s="15" t="s">
        <v>15641</v>
      </c>
      <c r="VTE1" s="15" t="s">
        <v>15642</v>
      </c>
      <c r="VTF1" s="15" t="s">
        <v>15643</v>
      </c>
      <c r="VTG1" s="15" t="s">
        <v>15644</v>
      </c>
      <c r="VTH1" s="15" t="s">
        <v>15645</v>
      </c>
      <c r="VTI1" s="15" t="s">
        <v>15646</v>
      </c>
      <c r="VTJ1" s="15" t="s">
        <v>15647</v>
      </c>
      <c r="VTK1" s="15" t="s">
        <v>15648</v>
      </c>
      <c r="VTL1" s="15" t="s">
        <v>15649</v>
      </c>
      <c r="VTM1" s="15" t="s">
        <v>15650</v>
      </c>
      <c r="VTN1" s="15" t="s">
        <v>15651</v>
      </c>
      <c r="VTO1" s="15" t="s">
        <v>15652</v>
      </c>
      <c r="VTP1" s="15" t="s">
        <v>15653</v>
      </c>
      <c r="VTQ1" s="15" t="s">
        <v>15654</v>
      </c>
      <c r="VTR1" s="15" t="s">
        <v>15655</v>
      </c>
      <c r="VTS1" s="15" t="s">
        <v>15656</v>
      </c>
      <c r="VTT1" s="15" t="s">
        <v>15657</v>
      </c>
      <c r="VTU1" s="15" t="s">
        <v>15658</v>
      </c>
      <c r="VTV1" s="15" t="s">
        <v>15659</v>
      </c>
      <c r="VTW1" s="15" t="s">
        <v>15660</v>
      </c>
      <c r="VTX1" s="15" t="s">
        <v>15661</v>
      </c>
      <c r="VTY1" s="15" t="s">
        <v>15662</v>
      </c>
      <c r="VTZ1" s="15" t="s">
        <v>15663</v>
      </c>
      <c r="VUA1" s="15" t="s">
        <v>15664</v>
      </c>
      <c r="VUB1" s="15" t="s">
        <v>15665</v>
      </c>
      <c r="VUC1" s="15" t="s">
        <v>15666</v>
      </c>
      <c r="VUD1" s="15" t="s">
        <v>15667</v>
      </c>
      <c r="VUE1" s="15" t="s">
        <v>15668</v>
      </c>
      <c r="VUF1" s="15" t="s">
        <v>15669</v>
      </c>
      <c r="VUG1" s="15" t="s">
        <v>15670</v>
      </c>
      <c r="VUH1" s="15" t="s">
        <v>15671</v>
      </c>
      <c r="VUI1" s="15" t="s">
        <v>15672</v>
      </c>
      <c r="VUJ1" s="15" t="s">
        <v>15673</v>
      </c>
      <c r="VUK1" s="15" t="s">
        <v>15674</v>
      </c>
      <c r="VUL1" s="15" t="s">
        <v>15675</v>
      </c>
      <c r="VUM1" s="15" t="s">
        <v>15676</v>
      </c>
      <c r="VUN1" s="15" t="s">
        <v>15677</v>
      </c>
      <c r="VUO1" s="15" t="s">
        <v>15678</v>
      </c>
      <c r="VUP1" s="15" t="s">
        <v>15679</v>
      </c>
      <c r="VUQ1" s="15" t="s">
        <v>15680</v>
      </c>
      <c r="VUR1" s="15" t="s">
        <v>15681</v>
      </c>
      <c r="VUS1" s="15" t="s">
        <v>15682</v>
      </c>
      <c r="VUT1" s="15" t="s">
        <v>15683</v>
      </c>
      <c r="VUU1" s="15" t="s">
        <v>15684</v>
      </c>
      <c r="VUV1" s="15" t="s">
        <v>15685</v>
      </c>
      <c r="VUW1" s="15" t="s">
        <v>15686</v>
      </c>
      <c r="VUX1" s="15" t="s">
        <v>15687</v>
      </c>
      <c r="VUY1" s="15" t="s">
        <v>15688</v>
      </c>
      <c r="VUZ1" s="15" t="s">
        <v>15689</v>
      </c>
      <c r="VVA1" s="15" t="s">
        <v>15690</v>
      </c>
      <c r="VVB1" s="15" t="s">
        <v>15691</v>
      </c>
      <c r="VVC1" s="15" t="s">
        <v>15692</v>
      </c>
      <c r="VVD1" s="15" t="s">
        <v>15693</v>
      </c>
      <c r="VVE1" s="15" t="s">
        <v>15694</v>
      </c>
      <c r="VVF1" s="15" t="s">
        <v>15695</v>
      </c>
      <c r="VVG1" s="15" t="s">
        <v>15696</v>
      </c>
      <c r="VVH1" s="15" t="s">
        <v>15697</v>
      </c>
      <c r="VVI1" s="15" t="s">
        <v>15698</v>
      </c>
      <c r="VVJ1" s="15" t="s">
        <v>15699</v>
      </c>
      <c r="VVK1" s="15" t="s">
        <v>15700</v>
      </c>
      <c r="VVL1" s="15" t="s">
        <v>15701</v>
      </c>
      <c r="VVM1" s="15" t="s">
        <v>15702</v>
      </c>
      <c r="VVN1" s="15" t="s">
        <v>15703</v>
      </c>
      <c r="VVO1" s="15" t="s">
        <v>15704</v>
      </c>
      <c r="VVP1" s="15" t="s">
        <v>15705</v>
      </c>
      <c r="VVQ1" s="15" t="s">
        <v>15706</v>
      </c>
      <c r="VVR1" s="15" t="s">
        <v>15707</v>
      </c>
      <c r="VVS1" s="15" t="s">
        <v>15708</v>
      </c>
      <c r="VVT1" s="15" t="s">
        <v>15709</v>
      </c>
      <c r="VVU1" s="15" t="s">
        <v>15710</v>
      </c>
      <c r="VVV1" s="15" t="s">
        <v>15711</v>
      </c>
      <c r="VVW1" s="15" t="s">
        <v>15712</v>
      </c>
      <c r="VVX1" s="15" t="s">
        <v>15713</v>
      </c>
      <c r="VVY1" s="15" t="s">
        <v>15714</v>
      </c>
      <c r="VVZ1" s="15" t="s">
        <v>15715</v>
      </c>
      <c r="VWA1" s="15" t="s">
        <v>15716</v>
      </c>
      <c r="VWB1" s="15" t="s">
        <v>15717</v>
      </c>
      <c r="VWC1" s="15" t="s">
        <v>15718</v>
      </c>
      <c r="VWD1" s="15" t="s">
        <v>15719</v>
      </c>
      <c r="VWE1" s="15" t="s">
        <v>15720</v>
      </c>
      <c r="VWF1" s="15" t="s">
        <v>15721</v>
      </c>
      <c r="VWG1" s="15" t="s">
        <v>15722</v>
      </c>
      <c r="VWH1" s="15" t="s">
        <v>15723</v>
      </c>
      <c r="VWI1" s="15" t="s">
        <v>15724</v>
      </c>
      <c r="VWJ1" s="15" t="s">
        <v>15725</v>
      </c>
      <c r="VWK1" s="15" t="s">
        <v>15726</v>
      </c>
      <c r="VWL1" s="15" t="s">
        <v>15727</v>
      </c>
      <c r="VWM1" s="15" t="s">
        <v>15728</v>
      </c>
      <c r="VWN1" s="15" t="s">
        <v>15729</v>
      </c>
      <c r="VWO1" s="15" t="s">
        <v>15730</v>
      </c>
      <c r="VWP1" s="15" t="s">
        <v>15731</v>
      </c>
      <c r="VWQ1" s="15" t="s">
        <v>15732</v>
      </c>
      <c r="VWR1" s="15" t="s">
        <v>15733</v>
      </c>
      <c r="VWS1" s="15" t="s">
        <v>15734</v>
      </c>
      <c r="VWT1" s="15" t="s">
        <v>15735</v>
      </c>
      <c r="VWU1" s="15" t="s">
        <v>15736</v>
      </c>
      <c r="VWV1" s="15" t="s">
        <v>15737</v>
      </c>
      <c r="VWW1" s="15" t="s">
        <v>15738</v>
      </c>
      <c r="VWX1" s="15" t="s">
        <v>15739</v>
      </c>
      <c r="VWY1" s="15" t="s">
        <v>15740</v>
      </c>
      <c r="VWZ1" s="15" t="s">
        <v>15741</v>
      </c>
      <c r="VXA1" s="15" t="s">
        <v>15742</v>
      </c>
      <c r="VXB1" s="15" t="s">
        <v>15743</v>
      </c>
      <c r="VXC1" s="15" t="s">
        <v>15744</v>
      </c>
      <c r="VXD1" s="15" t="s">
        <v>15745</v>
      </c>
      <c r="VXE1" s="15" t="s">
        <v>15746</v>
      </c>
      <c r="VXF1" s="15" t="s">
        <v>15747</v>
      </c>
      <c r="VXG1" s="15" t="s">
        <v>15748</v>
      </c>
      <c r="VXH1" s="15" t="s">
        <v>15749</v>
      </c>
      <c r="VXI1" s="15" t="s">
        <v>15750</v>
      </c>
      <c r="VXJ1" s="15" t="s">
        <v>15751</v>
      </c>
      <c r="VXK1" s="15" t="s">
        <v>15752</v>
      </c>
      <c r="VXL1" s="15" t="s">
        <v>15753</v>
      </c>
      <c r="VXM1" s="15" t="s">
        <v>15754</v>
      </c>
      <c r="VXN1" s="15" t="s">
        <v>15755</v>
      </c>
      <c r="VXO1" s="15" t="s">
        <v>15756</v>
      </c>
      <c r="VXP1" s="15" t="s">
        <v>15757</v>
      </c>
      <c r="VXQ1" s="15" t="s">
        <v>15758</v>
      </c>
      <c r="VXR1" s="15" t="s">
        <v>15759</v>
      </c>
      <c r="VXS1" s="15" t="s">
        <v>15760</v>
      </c>
      <c r="VXT1" s="15" t="s">
        <v>15761</v>
      </c>
      <c r="VXU1" s="15" t="s">
        <v>15762</v>
      </c>
      <c r="VXV1" s="15" t="s">
        <v>15763</v>
      </c>
      <c r="VXW1" s="15" t="s">
        <v>15764</v>
      </c>
      <c r="VXX1" s="15" t="s">
        <v>15765</v>
      </c>
      <c r="VXY1" s="15" t="s">
        <v>15766</v>
      </c>
      <c r="VXZ1" s="15" t="s">
        <v>15767</v>
      </c>
      <c r="VYA1" s="15" t="s">
        <v>15768</v>
      </c>
      <c r="VYB1" s="15" t="s">
        <v>15769</v>
      </c>
      <c r="VYC1" s="15" t="s">
        <v>15770</v>
      </c>
      <c r="VYD1" s="15" t="s">
        <v>15771</v>
      </c>
      <c r="VYE1" s="15" t="s">
        <v>15772</v>
      </c>
      <c r="VYF1" s="15" t="s">
        <v>15773</v>
      </c>
      <c r="VYG1" s="15" t="s">
        <v>15774</v>
      </c>
      <c r="VYH1" s="15" t="s">
        <v>15775</v>
      </c>
      <c r="VYI1" s="15" t="s">
        <v>15776</v>
      </c>
      <c r="VYJ1" s="15" t="s">
        <v>15777</v>
      </c>
      <c r="VYK1" s="15" t="s">
        <v>15778</v>
      </c>
      <c r="VYL1" s="15" t="s">
        <v>15779</v>
      </c>
      <c r="VYM1" s="15" t="s">
        <v>15780</v>
      </c>
      <c r="VYN1" s="15" t="s">
        <v>15781</v>
      </c>
      <c r="VYO1" s="15" t="s">
        <v>15782</v>
      </c>
      <c r="VYP1" s="15" t="s">
        <v>15783</v>
      </c>
      <c r="VYQ1" s="15" t="s">
        <v>15784</v>
      </c>
      <c r="VYR1" s="15" t="s">
        <v>15785</v>
      </c>
      <c r="VYS1" s="15" t="s">
        <v>15786</v>
      </c>
      <c r="VYT1" s="15" t="s">
        <v>15787</v>
      </c>
      <c r="VYU1" s="15" t="s">
        <v>15788</v>
      </c>
      <c r="VYV1" s="15" t="s">
        <v>15789</v>
      </c>
      <c r="VYW1" s="15" t="s">
        <v>15790</v>
      </c>
      <c r="VYX1" s="15" t="s">
        <v>15791</v>
      </c>
      <c r="VYY1" s="15" t="s">
        <v>15792</v>
      </c>
      <c r="VYZ1" s="15" t="s">
        <v>15793</v>
      </c>
      <c r="VZA1" s="15" t="s">
        <v>15794</v>
      </c>
      <c r="VZB1" s="15" t="s">
        <v>15795</v>
      </c>
      <c r="VZC1" s="15" t="s">
        <v>15796</v>
      </c>
      <c r="VZD1" s="15" t="s">
        <v>15797</v>
      </c>
      <c r="VZE1" s="15" t="s">
        <v>15798</v>
      </c>
      <c r="VZF1" s="15" t="s">
        <v>15799</v>
      </c>
      <c r="VZG1" s="15" t="s">
        <v>15800</v>
      </c>
      <c r="VZH1" s="15" t="s">
        <v>15801</v>
      </c>
      <c r="VZI1" s="15" t="s">
        <v>15802</v>
      </c>
      <c r="VZJ1" s="15" t="s">
        <v>15803</v>
      </c>
      <c r="VZK1" s="15" t="s">
        <v>15804</v>
      </c>
      <c r="VZL1" s="15" t="s">
        <v>15805</v>
      </c>
      <c r="VZM1" s="15" t="s">
        <v>15806</v>
      </c>
      <c r="VZN1" s="15" t="s">
        <v>15807</v>
      </c>
      <c r="VZO1" s="15" t="s">
        <v>15808</v>
      </c>
      <c r="VZP1" s="15" t="s">
        <v>15809</v>
      </c>
      <c r="VZQ1" s="15" t="s">
        <v>15810</v>
      </c>
      <c r="VZR1" s="15" t="s">
        <v>15811</v>
      </c>
      <c r="VZS1" s="15" t="s">
        <v>15812</v>
      </c>
      <c r="VZT1" s="15" t="s">
        <v>15813</v>
      </c>
      <c r="VZU1" s="15" t="s">
        <v>15814</v>
      </c>
      <c r="VZV1" s="15" t="s">
        <v>15815</v>
      </c>
      <c r="VZW1" s="15" t="s">
        <v>15816</v>
      </c>
      <c r="VZX1" s="15" t="s">
        <v>15817</v>
      </c>
      <c r="VZY1" s="15" t="s">
        <v>15818</v>
      </c>
      <c r="VZZ1" s="15" t="s">
        <v>15819</v>
      </c>
      <c r="WAA1" s="15" t="s">
        <v>15820</v>
      </c>
      <c r="WAB1" s="15" t="s">
        <v>15821</v>
      </c>
      <c r="WAC1" s="15" t="s">
        <v>15822</v>
      </c>
      <c r="WAD1" s="15" t="s">
        <v>15823</v>
      </c>
      <c r="WAE1" s="15" t="s">
        <v>15824</v>
      </c>
      <c r="WAF1" s="15" t="s">
        <v>15825</v>
      </c>
      <c r="WAG1" s="15" t="s">
        <v>15826</v>
      </c>
      <c r="WAH1" s="15" t="s">
        <v>15827</v>
      </c>
      <c r="WAI1" s="15" t="s">
        <v>15828</v>
      </c>
      <c r="WAJ1" s="15" t="s">
        <v>15829</v>
      </c>
      <c r="WAK1" s="15" t="s">
        <v>15830</v>
      </c>
      <c r="WAL1" s="15" t="s">
        <v>15831</v>
      </c>
      <c r="WAM1" s="15" t="s">
        <v>15832</v>
      </c>
      <c r="WAN1" s="15" t="s">
        <v>15833</v>
      </c>
      <c r="WAO1" s="15" t="s">
        <v>15834</v>
      </c>
      <c r="WAP1" s="15" t="s">
        <v>15835</v>
      </c>
      <c r="WAQ1" s="15" t="s">
        <v>15836</v>
      </c>
      <c r="WAR1" s="15" t="s">
        <v>15837</v>
      </c>
      <c r="WAS1" s="15" t="s">
        <v>15838</v>
      </c>
      <c r="WAT1" s="15" t="s">
        <v>15839</v>
      </c>
      <c r="WAU1" s="15" t="s">
        <v>15840</v>
      </c>
      <c r="WAV1" s="15" t="s">
        <v>15841</v>
      </c>
      <c r="WAW1" s="15" t="s">
        <v>15842</v>
      </c>
      <c r="WAX1" s="15" t="s">
        <v>15843</v>
      </c>
      <c r="WAY1" s="15" t="s">
        <v>15844</v>
      </c>
      <c r="WAZ1" s="15" t="s">
        <v>15845</v>
      </c>
      <c r="WBA1" s="15" t="s">
        <v>15846</v>
      </c>
      <c r="WBB1" s="15" t="s">
        <v>15847</v>
      </c>
      <c r="WBC1" s="15" t="s">
        <v>15848</v>
      </c>
      <c r="WBD1" s="15" t="s">
        <v>15849</v>
      </c>
      <c r="WBE1" s="15" t="s">
        <v>15850</v>
      </c>
      <c r="WBF1" s="15" t="s">
        <v>15851</v>
      </c>
      <c r="WBG1" s="15" t="s">
        <v>15852</v>
      </c>
      <c r="WBH1" s="15" t="s">
        <v>15853</v>
      </c>
      <c r="WBI1" s="15" t="s">
        <v>15854</v>
      </c>
      <c r="WBJ1" s="15" t="s">
        <v>15855</v>
      </c>
      <c r="WBK1" s="15" t="s">
        <v>15856</v>
      </c>
      <c r="WBL1" s="15" t="s">
        <v>15857</v>
      </c>
      <c r="WBM1" s="15" t="s">
        <v>15858</v>
      </c>
      <c r="WBN1" s="15" t="s">
        <v>15859</v>
      </c>
      <c r="WBO1" s="15" t="s">
        <v>15860</v>
      </c>
      <c r="WBP1" s="15" t="s">
        <v>15861</v>
      </c>
      <c r="WBQ1" s="15" t="s">
        <v>15862</v>
      </c>
      <c r="WBR1" s="15" t="s">
        <v>15863</v>
      </c>
      <c r="WBS1" s="15" t="s">
        <v>15864</v>
      </c>
      <c r="WBT1" s="15" t="s">
        <v>15865</v>
      </c>
      <c r="WBU1" s="15" t="s">
        <v>15866</v>
      </c>
      <c r="WBV1" s="15" t="s">
        <v>15867</v>
      </c>
      <c r="WBW1" s="15" t="s">
        <v>15868</v>
      </c>
      <c r="WBX1" s="15" t="s">
        <v>15869</v>
      </c>
      <c r="WBY1" s="15" t="s">
        <v>15870</v>
      </c>
      <c r="WBZ1" s="15" t="s">
        <v>15871</v>
      </c>
      <c r="WCA1" s="15" t="s">
        <v>15872</v>
      </c>
      <c r="WCB1" s="15" t="s">
        <v>15873</v>
      </c>
      <c r="WCC1" s="15" t="s">
        <v>15874</v>
      </c>
      <c r="WCD1" s="15" t="s">
        <v>15875</v>
      </c>
      <c r="WCE1" s="15" t="s">
        <v>15876</v>
      </c>
      <c r="WCF1" s="15" t="s">
        <v>15877</v>
      </c>
      <c r="WCG1" s="15" t="s">
        <v>15878</v>
      </c>
      <c r="WCH1" s="15" t="s">
        <v>15879</v>
      </c>
      <c r="WCI1" s="15" t="s">
        <v>15880</v>
      </c>
      <c r="WCJ1" s="15" t="s">
        <v>15881</v>
      </c>
      <c r="WCK1" s="15" t="s">
        <v>15882</v>
      </c>
      <c r="WCL1" s="15" t="s">
        <v>15883</v>
      </c>
      <c r="WCM1" s="15" t="s">
        <v>15884</v>
      </c>
      <c r="WCN1" s="15" t="s">
        <v>15885</v>
      </c>
      <c r="WCO1" s="15" t="s">
        <v>15886</v>
      </c>
      <c r="WCP1" s="15" t="s">
        <v>15887</v>
      </c>
      <c r="WCQ1" s="15" t="s">
        <v>15888</v>
      </c>
      <c r="WCR1" s="15" t="s">
        <v>15889</v>
      </c>
      <c r="WCS1" s="15" t="s">
        <v>15890</v>
      </c>
      <c r="WCT1" s="15" t="s">
        <v>15891</v>
      </c>
      <c r="WCU1" s="15" t="s">
        <v>15892</v>
      </c>
      <c r="WCV1" s="15" t="s">
        <v>15893</v>
      </c>
      <c r="WCW1" s="15" t="s">
        <v>15894</v>
      </c>
      <c r="WCX1" s="15" t="s">
        <v>15895</v>
      </c>
      <c r="WCY1" s="15" t="s">
        <v>15896</v>
      </c>
      <c r="WCZ1" s="15" t="s">
        <v>15897</v>
      </c>
      <c r="WDA1" s="15" t="s">
        <v>15898</v>
      </c>
      <c r="WDB1" s="15" t="s">
        <v>15899</v>
      </c>
      <c r="WDC1" s="15" t="s">
        <v>15900</v>
      </c>
      <c r="WDD1" s="15" t="s">
        <v>15901</v>
      </c>
      <c r="WDE1" s="15" t="s">
        <v>15902</v>
      </c>
      <c r="WDF1" s="15" t="s">
        <v>15903</v>
      </c>
      <c r="WDG1" s="15" t="s">
        <v>15904</v>
      </c>
      <c r="WDH1" s="15" t="s">
        <v>15905</v>
      </c>
      <c r="WDI1" s="15" t="s">
        <v>15906</v>
      </c>
      <c r="WDJ1" s="15" t="s">
        <v>15907</v>
      </c>
      <c r="WDK1" s="15" t="s">
        <v>15908</v>
      </c>
      <c r="WDL1" s="15" t="s">
        <v>15909</v>
      </c>
      <c r="WDM1" s="15" t="s">
        <v>15910</v>
      </c>
      <c r="WDN1" s="15" t="s">
        <v>15911</v>
      </c>
      <c r="WDO1" s="15" t="s">
        <v>15912</v>
      </c>
      <c r="WDP1" s="15" t="s">
        <v>15913</v>
      </c>
      <c r="WDQ1" s="15" t="s">
        <v>15914</v>
      </c>
      <c r="WDR1" s="15" t="s">
        <v>15915</v>
      </c>
      <c r="WDS1" s="15" t="s">
        <v>15916</v>
      </c>
      <c r="WDT1" s="15" t="s">
        <v>15917</v>
      </c>
      <c r="WDU1" s="15" t="s">
        <v>15918</v>
      </c>
      <c r="WDV1" s="15" t="s">
        <v>15919</v>
      </c>
      <c r="WDW1" s="15" t="s">
        <v>15920</v>
      </c>
      <c r="WDX1" s="15" t="s">
        <v>15921</v>
      </c>
      <c r="WDY1" s="15" t="s">
        <v>15922</v>
      </c>
      <c r="WDZ1" s="15" t="s">
        <v>15923</v>
      </c>
      <c r="WEA1" s="15" t="s">
        <v>15924</v>
      </c>
      <c r="WEB1" s="15" t="s">
        <v>15925</v>
      </c>
      <c r="WEC1" s="15" t="s">
        <v>15926</v>
      </c>
      <c r="WED1" s="15" t="s">
        <v>15927</v>
      </c>
      <c r="WEE1" s="15" t="s">
        <v>15928</v>
      </c>
      <c r="WEF1" s="15" t="s">
        <v>15929</v>
      </c>
      <c r="WEG1" s="15" t="s">
        <v>15930</v>
      </c>
      <c r="WEH1" s="15" t="s">
        <v>15931</v>
      </c>
      <c r="WEI1" s="15" t="s">
        <v>15932</v>
      </c>
      <c r="WEJ1" s="15" t="s">
        <v>15933</v>
      </c>
      <c r="WEK1" s="15" t="s">
        <v>15934</v>
      </c>
      <c r="WEL1" s="15" t="s">
        <v>15935</v>
      </c>
      <c r="WEM1" s="15" t="s">
        <v>15936</v>
      </c>
      <c r="WEN1" s="15" t="s">
        <v>15937</v>
      </c>
      <c r="WEO1" s="15" t="s">
        <v>15938</v>
      </c>
      <c r="WEP1" s="15" t="s">
        <v>15939</v>
      </c>
      <c r="WEQ1" s="15" t="s">
        <v>15940</v>
      </c>
      <c r="WER1" s="15" t="s">
        <v>15941</v>
      </c>
      <c r="WES1" s="15" t="s">
        <v>15942</v>
      </c>
      <c r="WET1" s="15" t="s">
        <v>15943</v>
      </c>
      <c r="WEU1" s="15" t="s">
        <v>15944</v>
      </c>
      <c r="WEV1" s="15" t="s">
        <v>15945</v>
      </c>
      <c r="WEW1" s="15" t="s">
        <v>15946</v>
      </c>
      <c r="WEX1" s="15" t="s">
        <v>15947</v>
      </c>
      <c r="WEY1" s="15" t="s">
        <v>15948</v>
      </c>
      <c r="WEZ1" s="15" t="s">
        <v>15949</v>
      </c>
      <c r="WFA1" s="15" t="s">
        <v>15950</v>
      </c>
      <c r="WFB1" s="15" t="s">
        <v>15951</v>
      </c>
      <c r="WFC1" s="15" t="s">
        <v>15952</v>
      </c>
      <c r="WFD1" s="15" t="s">
        <v>15953</v>
      </c>
      <c r="WFE1" s="15" t="s">
        <v>15954</v>
      </c>
      <c r="WFF1" s="15" t="s">
        <v>15955</v>
      </c>
      <c r="WFG1" s="15" t="s">
        <v>15956</v>
      </c>
      <c r="WFH1" s="15" t="s">
        <v>15957</v>
      </c>
      <c r="WFI1" s="15" t="s">
        <v>15958</v>
      </c>
      <c r="WFJ1" s="15" t="s">
        <v>15959</v>
      </c>
      <c r="WFK1" s="15" t="s">
        <v>15960</v>
      </c>
      <c r="WFL1" s="15" t="s">
        <v>15961</v>
      </c>
      <c r="WFM1" s="15" t="s">
        <v>15962</v>
      </c>
      <c r="WFN1" s="15" t="s">
        <v>15963</v>
      </c>
      <c r="WFO1" s="15" t="s">
        <v>15964</v>
      </c>
      <c r="WFP1" s="15" t="s">
        <v>15965</v>
      </c>
      <c r="WFQ1" s="15" t="s">
        <v>15966</v>
      </c>
      <c r="WFR1" s="15" t="s">
        <v>15967</v>
      </c>
      <c r="WFS1" s="15" t="s">
        <v>15968</v>
      </c>
      <c r="WFT1" s="15" t="s">
        <v>15969</v>
      </c>
      <c r="WFU1" s="15" t="s">
        <v>15970</v>
      </c>
      <c r="WFV1" s="15" t="s">
        <v>15971</v>
      </c>
      <c r="WFW1" s="15" t="s">
        <v>15972</v>
      </c>
      <c r="WFX1" s="15" t="s">
        <v>15973</v>
      </c>
      <c r="WFY1" s="15" t="s">
        <v>15974</v>
      </c>
      <c r="WFZ1" s="15" t="s">
        <v>15975</v>
      </c>
      <c r="WGA1" s="15" t="s">
        <v>15976</v>
      </c>
      <c r="WGB1" s="15" t="s">
        <v>15977</v>
      </c>
      <c r="WGC1" s="15" t="s">
        <v>15978</v>
      </c>
      <c r="WGD1" s="15" t="s">
        <v>15979</v>
      </c>
      <c r="WGE1" s="15" t="s">
        <v>15980</v>
      </c>
      <c r="WGF1" s="15" t="s">
        <v>15981</v>
      </c>
      <c r="WGG1" s="15" t="s">
        <v>15982</v>
      </c>
      <c r="WGH1" s="15" t="s">
        <v>15983</v>
      </c>
      <c r="WGI1" s="15" t="s">
        <v>15984</v>
      </c>
      <c r="WGJ1" s="15" t="s">
        <v>15985</v>
      </c>
      <c r="WGK1" s="15" t="s">
        <v>15986</v>
      </c>
      <c r="WGL1" s="15" t="s">
        <v>15987</v>
      </c>
      <c r="WGM1" s="15" t="s">
        <v>15988</v>
      </c>
      <c r="WGN1" s="15" t="s">
        <v>15989</v>
      </c>
      <c r="WGO1" s="15" t="s">
        <v>15990</v>
      </c>
      <c r="WGP1" s="15" t="s">
        <v>15991</v>
      </c>
      <c r="WGQ1" s="15" t="s">
        <v>15992</v>
      </c>
      <c r="WGR1" s="15" t="s">
        <v>15993</v>
      </c>
      <c r="WGS1" s="15" t="s">
        <v>15994</v>
      </c>
      <c r="WGT1" s="15" t="s">
        <v>15995</v>
      </c>
      <c r="WGU1" s="15" t="s">
        <v>15996</v>
      </c>
      <c r="WGV1" s="15" t="s">
        <v>15997</v>
      </c>
      <c r="WGW1" s="15" t="s">
        <v>15998</v>
      </c>
      <c r="WGX1" s="15" t="s">
        <v>15999</v>
      </c>
      <c r="WGY1" s="15" t="s">
        <v>16000</v>
      </c>
      <c r="WGZ1" s="15" t="s">
        <v>16001</v>
      </c>
      <c r="WHA1" s="15" t="s">
        <v>16002</v>
      </c>
      <c r="WHB1" s="15" t="s">
        <v>16003</v>
      </c>
      <c r="WHC1" s="15" t="s">
        <v>16004</v>
      </c>
      <c r="WHD1" s="15" t="s">
        <v>16005</v>
      </c>
      <c r="WHE1" s="15" t="s">
        <v>16006</v>
      </c>
      <c r="WHF1" s="15" t="s">
        <v>16007</v>
      </c>
      <c r="WHG1" s="15" t="s">
        <v>16008</v>
      </c>
      <c r="WHH1" s="15" t="s">
        <v>16009</v>
      </c>
      <c r="WHI1" s="15" t="s">
        <v>16010</v>
      </c>
      <c r="WHJ1" s="15" t="s">
        <v>16011</v>
      </c>
      <c r="WHK1" s="15" t="s">
        <v>16012</v>
      </c>
      <c r="WHL1" s="15" t="s">
        <v>16013</v>
      </c>
      <c r="WHM1" s="15" t="s">
        <v>16014</v>
      </c>
      <c r="WHN1" s="15" t="s">
        <v>16015</v>
      </c>
      <c r="WHO1" s="15" t="s">
        <v>16016</v>
      </c>
      <c r="WHP1" s="15" t="s">
        <v>16017</v>
      </c>
      <c r="WHQ1" s="15" t="s">
        <v>16018</v>
      </c>
      <c r="WHR1" s="15" t="s">
        <v>16019</v>
      </c>
      <c r="WHS1" s="15" t="s">
        <v>16020</v>
      </c>
      <c r="WHT1" s="15" t="s">
        <v>16021</v>
      </c>
      <c r="WHU1" s="15" t="s">
        <v>16022</v>
      </c>
      <c r="WHV1" s="15" t="s">
        <v>16023</v>
      </c>
      <c r="WHW1" s="15" t="s">
        <v>16024</v>
      </c>
      <c r="WHX1" s="15" t="s">
        <v>16025</v>
      </c>
      <c r="WHY1" s="15" t="s">
        <v>16026</v>
      </c>
      <c r="WHZ1" s="15" t="s">
        <v>16027</v>
      </c>
      <c r="WIA1" s="15" t="s">
        <v>16028</v>
      </c>
      <c r="WIB1" s="15" t="s">
        <v>16029</v>
      </c>
      <c r="WIC1" s="15" t="s">
        <v>16030</v>
      </c>
      <c r="WID1" s="15" t="s">
        <v>16031</v>
      </c>
      <c r="WIE1" s="15" t="s">
        <v>16032</v>
      </c>
      <c r="WIF1" s="15" t="s">
        <v>16033</v>
      </c>
      <c r="WIG1" s="15" t="s">
        <v>16034</v>
      </c>
      <c r="WIH1" s="15" t="s">
        <v>16035</v>
      </c>
      <c r="WII1" s="15" t="s">
        <v>16036</v>
      </c>
      <c r="WIJ1" s="15" t="s">
        <v>16037</v>
      </c>
      <c r="WIK1" s="15" t="s">
        <v>16038</v>
      </c>
      <c r="WIL1" s="15" t="s">
        <v>16039</v>
      </c>
      <c r="WIM1" s="15" t="s">
        <v>16040</v>
      </c>
      <c r="WIN1" s="15" t="s">
        <v>16041</v>
      </c>
      <c r="WIO1" s="15" t="s">
        <v>16042</v>
      </c>
      <c r="WIP1" s="15" t="s">
        <v>16043</v>
      </c>
      <c r="WIQ1" s="15" t="s">
        <v>16044</v>
      </c>
      <c r="WIR1" s="15" t="s">
        <v>16045</v>
      </c>
      <c r="WIS1" s="15" t="s">
        <v>16046</v>
      </c>
      <c r="WIT1" s="15" t="s">
        <v>16047</v>
      </c>
      <c r="WIU1" s="15" t="s">
        <v>16048</v>
      </c>
      <c r="WIV1" s="15" t="s">
        <v>16049</v>
      </c>
      <c r="WIW1" s="15" t="s">
        <v>16050</v>
      </c>
      <c r="WIX1" s="15" t="s">
        <v>16051</v>
      </c>
      <c r="WIY1" s="15" t="s">
        <v>16052</v>
      </c>
      <c r="WIZ1" s="15" t="s">
        <v>16053</v>
      </c>
      <c r="WJA1" s="15" t="s">
        <v>16054</v>
      </c>
      <c r="WJB1" s="15" t="s">
        <v>16055</v>
      </c>
      <c r="WJC1" s="15" t="s">
        <v>16056</v>
      </c>
      <c r="WJD1" s="15" t="s">
        <v>16057</v>
      </c>
      <c r="WJE1" s="15" t="s">
        <v>16058</v>
      </c>
      <c r="WJF1" s="15" t="s">
        <v>16059</v>
      </c>
      <c r="WJG1" s="15" t="s">
        <v>16060</v>
      </c>
      <c r="WJH1" s="15" t="s">
        <v>16061</v>
      </c>
      <c r="WJI1" s="15" t="s">
        <v>16062</v>
      </c>
      <c r="WJJ1" s="15" t="s">
        <v>16063</v>
      </c>
      <c r="WJK1" s="15" t="s">
        <v>16064</v>
      </c>
      <c r="WJL1" s="15" t="s">
        <v>16065</v>
      </c>
      <c r="WJM1" s="15" t="s">
        <v>16066</v>
      </c>
      <c r="WJN1" s="15" t="s">
        <v>16067</v>
      </c>
      <c r="WJO1" s="15" t="s">
        <v>16068</v>
      </c>
      <c r="WJP1" s="15" t="s">
        <v>16069</v>
      </c>
      <c r="WJQ1" s="15" t="s">
        <v>16070</v>
      </c>
      <c r="WJR1" s="15" t="s">
        <v>16071</v>
      </c>
      <c r="WJS1" s="15" t="s">
        <v>16072</v>
      </c>
      <c r="WJT1" s="15" t="s">
        <v>16073</v>
      </c>
      <c r="WJU1" s="15" t="s">
        <v>16074</v>
      </c>
      <c r="WJV1" s="15" t="s">
        <v>16075</v>
      </c>
      <c r="WJW1" s="15" t="s">
        <v>16076</v>
      </c>
      <c r="WJX1" s="15" t="s">
        <v>16077</v>
      </c>
      <c r="WJY1" s="15" t="s">
        <v>16078</v>
      </c>
      <c r="WJZ1" s="15" t="s">
        <v>16079</v>
      </c>
      <c r="WKA1" s="15" t="s">
        <v>16080</v>
      </c>
      <c r="WKB1" s="15" t="s">
        <v>16081</v>
      </c>
      <c r="WKC1" s="15" t="s">
        <v>16082</v>
      </c>
      <c r="WKD1" s="15" t="s">
        <v>16083</v>
      </c>
      <c r="WKE1" s="15" t="s">
        <v>16084</v>
      </c>
      <c r="WKF1" s="15" t="s">
        <v>16085</v>
      </c>
      <c r="WKG1" s="15" t="s">
        <v>16086</v>
      </c>
      <c r="WKH1" s="15" t="s">
        <v>16087</v>
      </c>
      <c r="WKI1" s="15" t="s">
        <v>16088</v>
      </c>
      <c r="WKJ1" s="15" t="s">
        <v>16089</v>
      </c>
      <c r="WKK1" s="15" t="s">
        <v>16090</v>
      </c>
      <c r="WKL1" s="15" t="s">
        <v>16091</v>
      </c>
      <c r="WKM1" s="15" t="s">
        <v>16092</v>
      </c>
      <c r="WKN1" s="15" t="s">
        <v>16093</v>
      </c>
      <c r="WKO1" s="15" t="s">
        <v>16094</v>
      </c>
      <c r="WKP1" s="15" t="s">
        <v>16095</v>
      </c>
      <c r="WKQ1" s="15" t="s">
        <v>16096</v>
      </c>
      <c r="WKR1" s="15" t="s">
        <v>16097</v>
      </c>
      <c r="WKS1" s="15" t="s">
        <v>16098</v>
      </c>
      <c r="WKT1" s="15" t="s">
        <v>16099</v>
      </c>
      <c r="WKU1" s="15" t="s">
        <v>16100</v>
      </c>
      <c r="WKV1" s="15" t="s">
        <v>16101</v>
      </c>
      <c r="WKW1" s="15" t="s">
        <v>16102</v>
      </c>
      <c r="WKX1" s="15" t="s">
        <v>16103</v>
      </c>
      <c r="WKY1" s="15" t="s">
        <v>16104</v>
      </c>
      <c r="WKZ1" s="15" t="s">
        <v>16105</v>
      </c>
      <c r="WLA1" s="15" t="s">
        <v>16106</v>
      </c>
      <c r="WLB1" s="15" t="s">
        <v>16107</v>
      </c>
      <c r="WLC1" s="15" t="s">
        <v>16108</v>
      </c>
      <c r="WLD1" s="15" t="s">
        <v>16109</v>
      </c>
      <c r="WLE1" s="15" t="s">
        <v>16110</v>
      </c>
      <c r="WLF1" s="15" t="s">
        <v>16111</v>
      </c>
      <c r="WLG1" s="15" t="s">
        <v>16112</v>
      </c>
      <c r="WLH1" s="15" t="s">
        <v>16113</v>
      </c>
      <c r="WLI1" s="15" t="s">
        <v>16114</v>
      </c>
      <c r="WLJ1" s="15" t="s">
        <v>16115</v>
      </c>
      <c r="WLK1" s="15" t="s">
        <v>16116</v>
      </c>
      <c r="WLL1" s="15" t="s">
        <v>16117</v>
      </c>
      <c r="WLM1" s="15" t="s">
        <v>16118</v>
      </c>
      <c r="WLN1" s="15" t="s">
        <v>16119</v>
      </c>
      <c r="WLO1" s="15" t="s">
        <v>16120</v>
      </c>
      <c r="WLP1" s="15" t="s">
        <v>16121</v>
      </c>
      <c r="WLQ1" s="15" t="s">
        <v>16122</v>
      </c>
      <c r="WLR1" s="15" t="s">
        <v>16123</v>
      </c>
      <c r="WLS1" s="15" t="s">
        <v>16124</v>
      </c>
      <c r="WLT1" s="15" t="s">
        <v>16125</v>
      </c>
      <c r="WLU1" s="15" t="s">
        <v>16126</v>
      </c>
      <c r="WLV1" s="15" t="s">
        <v>16127</v>
      </c>
      <c r="WLW1" s="15" t="s">
        <v>16128</v>
      </c>
      <c r="WLX1" s="15" t="s">
        <v>16129</v>
      </c>
      <c r="WLY1" s="15" t="s">
        <v>16130</v>
      </c>
      <c r="WLZ1" s="15" t="s">
        <v>16131</v>
      </c>
      <c r="WMA1" s="15" t="s">
        <v>16132</v>
      </c>
      <c r="WMB1" s="15" t="s">
        <v>16133</v>
      </c>
      <c r="WMC1" s="15" t="s">
        <v>16134</v>
      </c>
      <c r="WMD1" s="15" t="s">
        <v>16135</v>
      </c>
      <c r="WME1" s="15" t="s">
        <v>16136</v>
      </c>
      <c r="WMF1" s="15" t="s">
        <v>16137</v>
      </c>
      <c r="WMG1" s="15" t="s">
        <v>16138</v>
      </c>
      <c r="WMH1" s="15" t="s">
        <v>16139</v>
      </c>
      <c r="WMI1" s="15" t="s">
        <v>16140</v>
      </c>
      <c r="WMJ1" s="15" t="s">
        <v>16141</v>
      </c>
      <c r="WMK1" s="15" t="s">
        <v>16142</v>
      </c>
      <c r="WML1" s="15" t="s">
        <v>16143</v>
      </c>
      <c r="WMM1" s="15" t="s">
        <v>16144</v>
      </c>
      <c r="WMN1" s="15" t="s">
        <v>16145</v>
      </c>
      <c r="WMO1" s="15" t="s">
        <v>16146</v>
      </c>
      <c r="WMP1" s="15" t="s">
        <v>16147</v>
      </c>
      <c r="WMQ1" s="15" t="s">
        <v>16148</v>
      </c>
      <c r="WMR1" s="15" t="s">
        <v>16149</v>
      </c>
      <c r="WMS1" s="15" t="s">
        <v>16150</v>
      </c>
      <c r="WMT1" s="15" t="s">
        <v>16151</v>
      </c>
      <c r="WMU1" s="15" t="s">
        <v>16152</v>
      </c>
      <c r="WMV1" s="15" t="s">
        <v>16153</v>
      </c>
      <c r="WMW1" s="15" t="s">
        <v>16154</v>
      </c>
      <c r="WMX1" s="15" t="s">
        <v>16155</v>
      </c>
      <c r="WMY1" s="15" t="s">
        <v>16156</v>
      </c>
      <c r="WMZ1" s="15" t="s">
        <v>16157</v>
      </c>
      <c r="WNA1" s="15" t="s">
        <v>16158</v>
      </c>
      <c r="WNB1" s="15" t="s">
        <v>16159</v>
      </c>
      <c r="WNC1" s="15" t="s">
        <v>16160</v>
      </c>
      <c r="WND1" s="15" t="s">
        <v>16161</v>
      </c>
      <c r="WNE1" s="15" t="s">
        <v>16162</v>
      </c>
      <c r="WNF1" s="15" t="s">
        <v>16163</v>
      </c>
      <c r="WNG1" s="15" t="s">
        <v>16164</v>
      </c>
      <c r="WNH1" s="15" t="s">
        <v>16165</v>
      </c>
      <c r="WNI1" s="15" t="s">
        <v>16166</v>
      </c>
      <c r="WNJ1" s="15" t="s">
        <v>16167</v>
      </c>
      <c r="WNK1" s="15" t="s">
        <v>16168</v>
      </c>
      <c r="WNL1" s="15" t="s">
        <v>16169</v>
      </c>
      <c r="WNM1" s="15" t="s">
        <v>16170</v>
      </c>
      <c r="WNN1" s="15" t="s">
        <v>16171</v>
      </c>
      <c r="WNO1" s="15" t="s">
        <v>16172</v>
      </c>
      <c r="WNP1" s="15" t="s">
        <v>16173</v>
      </c>
      <c r="WNQ1" s="15" t="s">
        <v>16174</v>
      </c>
      <c r="WNR1" s="15" t="s">
        <v>16175</v>
      </c>
      <c r="WNS1" s="15" t="s">
        <v>16176</v>
      </c>
      <c r="WNT1" s="15" t="s">
        <v>16177</v>
      </c>
      <c r="WNU1" s="15" t="s">
        <v>16178</v>
      </c>
      <c r="WNV1" s="15" t="s">
        <v>16179</v>
      </c>
      <c r="WNW1" s="15" t="s">
        <v>16180</v>
      </c>
      <c r="WNX1" s="15" t="s">
        <v>16181</v>
      </c>
      <c r="WNY1" s="15" t="s">
        <v>16182</v>
      </c>
      <c r="WNZ1" s="15" t="s">
        <v>16183</v>
      </c>
      <c r="WOA1" s="15" t="s">
        <v>16184</v>
      </c>
      <c r="WOB1" s="15" t="s">
        <v>16185</v>
      </c>
      <c r="WOC1" s="15" t="s">
        <v>16186</v>
      </c>
      <c r="WOD1" s="15" t="s">
        <v>16187</v>
      </c>
      <c r="WOE1" s="15" t="s">
        <v>16188</v>
      </c>
      <c r="WOF1" s="15" t="s">
        <v>16189</v>
      </c>
      <c r="WOG1" s="15" t="s">
        <v>16190</v>
      </c>
      <c r="WOH1" s="15" t="s">
        <v>16191</v>
      </c>
      <c r="WOI1" s="15" t="s">
        <v>16192</v>
      </c>
      <c r="WOJ1" s="15" t="s">
        <v>16193</v>
      </c>
      <c r="WOK1" s="15" t="s">
        <v>16194</v>
      </c>
      <c r="WOL1" s="15" t="s">
        <v>16195</v>
      </c>
      <c r="WOM1" s="15" t="s">
        <v>16196</v>
      </c>
      <c r="WON1" s="15" t="s">
        <v>16197</v>
      </c>
      <c r="WOO1" s="15" t="s">
        <v>16198</v>
      </c>
      <c r="WOP1" s="15" t="s">
        <v>16199</v>
      </c>
      <c r="WOQ1" s="15" t="s">
        <v>16200</v>
      </c>
      <c r="WOR1" s="15" t="s">
        <v>16201</v>
      </c>
      <c r="WOS1" s="15" t="s">
        <v>16202</v>
      </c>
      <c r="WOT1" s="15" t="s">
        <v>16203</v>
      </c>
      <c r="WOU1" s="15" t="s">
        <v>16204</v>
      </c>
      <c r="WOV1" s="15" t="s">
        <v>16205</v>
      </c>
      <c r="WOW1" s="15" t="s">
        <v>16206</v>
      </c>
      <c r="WOX1" s="15" t="s">
        <v>16207</v>
      </c>
      <c r="WOY1" s="15" t="s">
        <v>16208</v>
      </c>
      <c r="WOZ1" s="15" t="s">
        <v>16209</v>
      </c>
      <c r="WPA1" s="15" t="s">
        <v>16210</v>
      </c>
      <c r="WPB1" s="15" t="s">
        <v>16211</v>
      </c>
      <c r="WPC1" s="15" t="s">
        <v>16212</v>
      </c>
      <c r="WPD1" s="15" t="s">
        <v>16213</v>
      </c>
      <c r="WPE1" s="15" t="s">
        <v>16214</v>
      </c>
      <c r="WPF1" s="15" t="s">
        <v>16215</v>
      </c>
      <c r="WPG1" s="15" t="s">
        <v>16216</v>
      </c>
      <c r="WPH1" s="15" t="s">
        <v>16217</v>
      </c>
      <c r="WPI1" s="15" t="s">
        <v>16218</v>
      </c>
      <c r="WPJ1" s="15" t="s">
        <v>16219</v>
      </c>
      <c r="WPK1" s="15" t="s">
        <v>16220</v>
      </c>
      <c r="WPL1" s="15" t="s">
        <v>16221</v>
      </c>
      <c r="WPM1" s="15" t="s">
        <v>16222</v>
      </c>
      <c r="WPN1" s="15" t="s">
        <v>16223</v>
      </c>
      <c r="WPO1" s="15" t="s">
        <v>16224</v>
      </c>
      <c r="WPP1" s="15" t="s">
        <v>16225</v>
      </c>
      <c r="WPQ1" s="15" t="s">
        <v>16226</v>
      </c>
      <c r="WPR1" s="15" t="s">
        <v>16227</v>
      </c>
      <c r="WPS1" s="15" t="s">
        <v>16228</v>
      </c>
      <c r="WPT1" s="15" t="s">
        <v>16229</v>
      </c>
      <c r="WPU1" s="15" t="s">
        <v>16230</v>
      </c>
      <c r="WPV1" s="15" t="s">
        <v>16231</v>
      </c>
      <c r="WPW1" s="15" t="s">
        <v>16232</v>
      </c>
      <c r="WPX1" s="15" t="s">
        <v>16233</v>
      </c>
      <c r="WPY1" s="15" t="s">
        <v>16234</v>
      </c>
      <c r="WPZ1" s="15" t="s">
        <v>16235</v>
      </c>
      <c r="WQA1" s="15" t="s">
        <v>16236</v>
      </c>
      <c r="WQB1" s="15" t="s">
        <v>16237</v>
      </c>
      <c r="WQC1" s="15" t="s">
        <v>16238</v>
      </c>
      <c r="WQD1" s="15" t="s">
        <v>16239</v>
      </c>
      <c r="WQE1" s="15" t="s">
        <v>16240</v>
      </c>
      <c r="WQF1" s="15" t="s">
        <v>16241</v>
      </c>
      <c r="WQG1" s="15" t="s">
        <v>16242</v>
      </c>
      <c r="WQH1" s="15" t="s">
        <v>16243</v>
      </c>
      <c r="WQI1" s="15" t="s">
        <v>16244</v>
      </c>
      <c r="WQJ1" s="15" t="s">
        <v>16245</v>
      </c>
      <c r="WQK1" s="15" t="s">
        <v>16246</v>
      </c>
      <c r="WQL1" s="15" t="s">
        <v>16247</v>
      </c>
      <c r="WQM1" s="15" t="s">
        <v>16248</v>
      </c>
      <c r="WQN1" s="15" t="s">
        <v>16249</v>
      </c>
      <c r="WQO1" s="15" t="s">
        <v>16250</v>
      </c>
      <c r="WQP1" s="15" t="s">
        <v>16251</v>
      </c>
      <c r="WQQ1" s="15" t="s">
        <v>16252</v>
      </c>
      <c r="WQR1" s="15" t="s">
        <v>16253</v>
      </c>
      <c r="WQS1" s="15" t="s">
        <v>16254</v>
      </c>
      <c r="WQT1" s="15" t="s">
        <v>16255</v>
      </c>
      <c r="WQU1" s="15" t="s">
        <v>16256</v>
      </c>
      <c r="WQV1" s="15" t="s">
        <v>16257</v>
      </c>
      <c r="WQW1" s="15" t="s">
        <v>16258</v>
      </c>
      <c r="WQX1" s="15" t="s">
        <v>16259</v>
      </c>
      <c r="WQY1" s="15" t="s">
        <v>16260</v>
      </c>
      <c r="WQZ1" s="15" t="s">
        <v>16261</v>
      </c>
      <c r="WRA1" s="15" t="s">
        <v>16262</v>
      </c>
      <c r="WRB1" s="15" t="s">
        <v>16263</v>
      </c>
      <c r="WRC1" s="15" t="s">
        <v>16264</v>
      </c>
      <c r="WRD1" s="15" t="s">
        <v>16265</v>
      </c>
      <c r="WRE1" s="15" t="s">
        <v>16266</v>
      </c>
      <c r="WRF1" s="15" t="s">
        <v>16267</v>
      </c>
      <c r="WRG1" s="15" t="s">
        <v>16268</v>
      </c>
      <c r="WRH1" s="15" t="s">
        <v>16269</v>
      </c>
      <c r="WRI1" s="15" t="s">
        <v>16270</v>
      </c>
      <c r="WRJ1" s="15" t="s">
        <v>16271</v>
      </c>
      <c r="WRK1" s="15" t="s">
        <v>16272</v>
      </c>
      <c r="WRL1" s="15" t="s">
        <v>16273</v>
      </c>
      <c r="WRM1" s="15" t="s">
        <v>16274</v>
      </c>
      <c r="WRN1" s="15" t="s">
        <v>16275</v>
      </c>
      <c r="WRO1" s="15" t="s">
        <v>16276</v>
      </c>
      <c r="WRP1" s="15" t="s">
        <v>16277</v>
      </c>
      <c r="WRQ1" s="15" t="s">
        <v>16278</v>
      </c>
      <c r="WRR1" s="15" t="s">
        <v>16279</v>
      </c>
      <c r="WRS1" s="15" t="s">
        <v>16280</v>
      </c>
      <c r="WRT1" s="15" t="s">
        <v>16281</v>
      </c>
      <c r="WRU1" s="15" t="s">
        <v>16282</v>
      </c>
      <c r="WRV1" s="15" t="s">
        <v>16283</v>
      </c>
      <c r="WRW1" s="15" t="s">
        <v>16284</v>
      </c>
      <c r="WRX1" s="15" t="s">
        <v>16285</v>
      </c>
      <c r="WRY1" s="15" t="s">
        <v>16286</v>
      </c>
      <c r="WRZ1" s="15" t="s">
        <v>16287</v>
      </c>
      <c r="WSA1" s="15" t="s">
        <v>16288</v>
      </c>
      <c r="WSB1" s="15" t="s">
        <v>16289</v>
      </c>
      <c r="WSC1" s="15" t="s">
        <v>16290</v>
      </c>
      <c r="WSD1" s="15" t="s">
        <v>16291</v>
      </c>
      <c r="WSE1" s="15" t="s">
        <v>16292</v>
      </c>
      <c r="WSF1" s="15" t="s">
        <v>16293</v>
      </c>
      <c r="WSG1" s="15" t="s">
        <v>16294</v>
      </c>
      <c r="WSH1" s="15" t="s">
        <v>16295</v>
      </c>
      <c r="WSI1" s="15" t="s">
        <v>16296</v>
      </c>
      <c r="WSJ1" s="15" t="s">
        <v>16297</v>
      </c>
      <c r="WSK1" s="15" t="s">
        <v>16298</v>
      </c>
      <c r="WSL1" s="15" t="s">
        <v>16299</v>
      </c>
      <c r="WSM1" s="15" t="s">
        <v>16300</v>
      </c>
      <c r="WSN1" s="15" t="s">
        <v>16301</v>
      </c>
      <c r="WSO1" s="15" t="s">
        <v>16302</v>
      </c>
      <c r="WSP1" s="15" t="s">
        <v>16303</v>
      </c>
      <c r="WSQ1" s="15" t="s">
        <v>16304</v>
      </c>
      <c r="WSR1" s="15" t="s">
        <v>16305</v>
      </c>
      <c r="WSS1" s="15" t="s">
        <v>16306</v>
      </c>
      <c r="WST1" s="15" t="s">
        <v>16307</v>
      </c>
      <c r="WSU1" s="15" t="s">
        <v>16308</v>
      </c>
      <c r="WSV1" s="15" t="s">
        <v>16309</v>
      </c>
      <c r="WSW1" s="15" t="s">
        <v>16310</v>
      </c>
      <c r="WSX1" s="15" t="s">
        <v>16311</v>
      </c>
      <c r="WSY1" s="15" t="s">
        <v>16312</v>
      </c>
      <c r="WSZ1" s="15" t="s">
        <v>16313</v>
      </c>
      <c r="WTA1" s="15" t="s">
        <v>16314</v>
      </c>
      <c r="WTB1" s="15" t="s">
        <v>16315</v>
      </c>
      <c r="WTC1" s="15" t="s">
        <v>16316</v>
      </c>
      <c r="WTD1" s="15" t="s">
        <v>16317</v>
      </c>
      <c r="WTE1" s="15" t="s">
        <v>16318</v>
      </c>
      <c r="WTF1" s="15" t="s">
        <v>16319</v>
      </c>
      <c r="WTG1" s="15" t="s">
        <v>16320</v>
      </c>
      <c r="WTH1" s="15" t="s">
        <v>16321</v>
      </c>
      <c r="WTI1" s="15" t="s">
        <v>16322</v>
      </c>
      <c r="WTJ1" s="15" t="s">
        <v>16323</v>
      </c>
      <c r="WTK1" s="15" t="s">
        <v>16324</v>
      </c>
      <c r="WTL1" s="15" t="s">
        <v>16325</v>
      </c>
      <c r="WTM1" s="15" t="s">
        <v>16326</v>
      </c>
      <c r="WTN1" s="15" t="s">
        <v>16327</v>
      </c>
      <c r="WTO1" s="15" t="s">
        <v>16328</v>
      </c>
      <c r="WTP1" s="15" t="s">
        <v>16329</v>
      </c>
      <c r="WTQ1" s="15" t="s">
        <v>16330</v>
      </c>
      <c r="WTR1" s="15" t="s">
        <v>16331</v>
      </c>
      <c r="WTS1" s="15" t="s">
        <v>16332</v>
      </c>
      <c r="WTT1" s="15" t="s">
        <v>16333</v>
      </c>
      <c r="WTU1" s="15" t="s">
        <v>16334</v>
      </c>
      <c r="WTV1" s="15" t="s">
        <v>16335</v>
      </c>
      <c r="WTW1" s="15" t="s">
        <v>16336</v>
      </c>
      <c r="WTX1" s="15" t="s">
        <v>16337</v>
      </c>
      <c r="WTY1" s="15" t="s">
        <v>16338</v>
      </c>
      <c r="WTZ1" s="15" t="s">
        <v>16339</v>
      </c>
      <c r="WUA1" s="15" t="s">
        <v>16340</v>
      </c>
      <c r="WUB1" s="15" t="s">
        <v>16341</v>
      </c>
      <c r="WUC1" s="15" t="s">
        <v>16342</v>
      </c>
      <c r="WUD1" s="15" t="s">
        <v>16343</v>
      </c>
      <c r="WUE1" s="15" t="s">
        <v>16344</v>
      </c>
      <c r="WUF1" s="15" t="s">
        <v>16345</v>
      </c>
      <c r="WUG1" s="15" t="s">
        <v>16346</v>
      </c>
      <c r="WUH1" s="15" t="s">
        <v>16347</v>
      </c>
      <c r="WUI1" s="15" t="s">
        <v>16348</v>
      </c>
      <c r="WUJ1" s="15" t="s">
        <v>16349</v>
      </c>
      <c r="WUK1" s="15" t="s">
        <v>16350</v>
      </c>
      <c r="WUL1" s="15" t="s">
        <v>16351</v>
      </c>
      <c r="WUM1" s="15" t="s">
        <v>16352</v>
      </c>
      <c r="WUN1" s="15" t="s">
        <v>16353</v>
      </c>
      <c r="WUO1" s="15" t="s">
        <v>16354</v>
      </c>
      <c r="WUP1" s="15" t="s">
        <v>16355</v>
      </c>
      <c r="WUQ1" s="15" t="s">
        <v>16356</v>
      </c>
      <c r="WUR1" s="15" t="s">
        <v>16357</v>
      </c>
      <c r="WUS1" s="15" t="s">
        <v>16358</v>
      </c>
      <c r="WUT1" s="15" t="s">
        <v>16359</v>
      </c>
      <c r="WUU1" s="15" t="s">
        <v>16360</v>
      </c>
      <c r="WUV1" s="15" t="s">
        <v>16361</v>
      </c>
      <c r="WUW1" s="15" t="s">
        <v>16362</v>
      </c>
      <c r="WUX1" s="15" t="s">
        <v>16363</v>
      </c>
      <c r="WUY1" s="15" t="s">
        <v>16364</v>
      </c>
      <c r="WUZ1" s="15" t="s">
        <v>16365</v>
      </c>
      <c r="WVA1" s="15" t="s">
        <v>16366</v>
      </c>
      <c r="WVB1" s="15" t="s">
        <v>16367</v>
      </c>
      <c r="WVC1" s="15" t="s">
        <v>16368</v>
      </c>
      <c r="WVD1" s="15" t="s">
        <v>16369</v>
      </c>
      <c r="WVE1" s="15" t="s">
        <v>16370</v>
      </c>
      <c r="WVF1" s="15" t="s">
        <v>16371</v>
      </c>
      <c r="WVG1" s="15" t="s">
        <v>16372</v>
      </c>
      <c r="WVH1" s="15" t="s">
        <v>16373</v>
      </c>
      <c r="WVI1" s="15" t="s">
        <v>16374</v>
      </c>
      <c r="WVJ1" s="15" t="s">
        <v>16375</v>
      </c>
      <c r="WVK1" s="15" t="s">
        <v>16376</v>
      </c>
      <c r="WVL1" s="15" t="s">
        <v>16377</v>
      </c>
      <c r="WVM1" s="15" t="s">
        <v>16378</v>
      </c>
      <c r="WVN1" s="15" t="s">
        <v>16379</v>
      </c>
      <c r="WVO1" s="15" t="s">
        <v>16380</v>
      </c>
      <c r="WVP1" s="15" t="s">
        <v>16381</v>
      </c>
      <c r="WVQ1" s="15" t="s">
        <v>16382</v>
      </c>
      <c r="WVR1" s="15" t="s">
        <v>16383</v>
      </c>
      <c r="WVS1" s="15" t="s">
        <v>16384</v>
      </c>
      <c r="WVT1" s="15" t="s">
        <v>16385</v>
      </c>
      <c r="WVU1" s="15" t="s">
        <v>16386</v>
      </c>
      <c r="WVV1" s="15" t="s">
        <v>16387</v>
      </c>
      <c r="WVW1" s="15" t="s">
        <v>16388</v>
      </c>
      <c r="WVX1" s="15" t="s">
        <v>16389</v>
      </c>
      <c r="WVY1" s="15" t="s">
        <v>16390</v>
      </c>
      <c r="WVZ1" s="15" t="s">
        <v>16391</v>
      </c>
      <c r="WWA1" s="15" t="s">
        <v>16392</v>
      </c>
      <c r="WWB1" s="15" t="s">
        <v>16393</v>
      </c>
      <c r="WWC1" s="15" t="s">
        <v>16394</v>
      </c>
      <c r="WWD1" s="15" t="s">
        <v>16395</v>
      </c>
      <c r="WWE1" s="15" t="s">
        <v>16396</v>
      </c>
      <c r="WWF1" s="15" t="s">
        <v>16397</v>
      </c>
      <c r="WWG1" s="15" t="s">
        <v>16398</v>
      </c>
      <c r="WWH1" s="15" t="s">
        <v>16399</v>
      </c>
      <c r="WWI1" s="15" t="s">
        <v>16400</v>
      </c>
      <c r="WWJ1" s="15" t="s">
        <v>16401</v>
      </c>
      <c r="WWK1" s="15" t="s">
        <v>16402</v>
      </c>
      <c r="WWL1" s="15" t="s">
        <v>16403</v>
      </c>
      <c r="WWM1" s="15" t="s">
        <v>16404</v>
      </c>
      <c r="WWN1" s="15" t="s">
        <v>16405</v>
      </c>
      <c r="WWO1" s="15" t="s">
        <v>16406</v>
      </c>
      <c r="WWP1" s="15" t="s">
        <v>16407</v>
      </c>
      <c r="WWQ1" s="15" t="s">
        <v>16408</v>
      </c>
      <c r="WWR1" s="15" t="s">
        <v>16409</v>
      </c>
      <c r="WWS1" s="15" t="s">
        <v>16410</v>
      </c>
      <c r="WWT1" s="15" t="s">
        <v>16411</v>
      </c>
      <c r="WWU1" s="15" t="s">
        <v>16412</v>
      </c>
      <c r="WWV1" s="15" t="s">
        <v>16413</v>
      </c>
      <c r="WWW1" s="15" t="s">
        <v>16414</v>
      </c>
      <c r="WWX1" s="15" t="s">
        <v>16415</v>
      </c>
      <c r="WWY1" s="15" t="s">
        <v>16416</v>
      </c>
      <c r="WWZ1" s="15" t="s">
        <v>16417</v>
      </c>
      <c r="WXA1" s="15" t="s">
        <v>16418</v>
      </c>
      <c r="WXB1" s="15" t="s">
        <v>16419</v>
      </c>
      <c r="WXC1" s="15" t="s">
        <v>16420</v>
      </c>
      <c r="WXD1" s="15" t="s">
        <v>16421</v>
      </c>
      <c r="WXE1" s="15" t="s">
        <v>16422</v>
      </c>
      <c r="WXF1" s="15" t="s">
        <v>16423</v>
      </c>
      <c r="WXG1" s="15" t="s">
        <v>16424</v>
      </c>
      <c r="WXH1" s="15" t="s">
        <v>16425</v>
      </c>
      <c r="WXI1" s="15" t="s">
        <v>16426</v>
      </c>
      <c r="WXJ1" s="15" t="s">
        <v>16427</v>
      </c>
      <c r="WXK1" s="15" t="s">
        <v>16428</v>
      </c>
      <c r="WXL1" s="15" t="s">
        <v>16429</v>
      </c>
      <c r="WXM1" s="15" t="s">
        <v>16430</v>
      </c>
      <c r="WXN1" s="15" t="s">
        <v>16431</v>
      </c>
      <c r="WXO1" s="15" t="s">
        <v>16432</v>
      </c>
      <c r="WXP1" s="15" t="s">
        <v>16433</v>
      </c>
      <c r="WXQ1" s="15" t="s">
        <v>16434</v>
      </c>
      <c r="WXR1" s="15" t="s">
        <v>16435</v>
      </c>
      <c r="WXS1" s="15" t="s">
        <v>16436</v>
      </c>
      <c r="WXT1" s="15" t="s">
        <v>16437</v>
      </c>
      <c r="WXU1" s="15" t="s">
        <v>16438</v>
      </c>
      <c r="WXV1" s="15" t="s">
        <v>16439</v>
      </c>
      <c r="WXW1" s="15" t="s">
        <v>16440</v>
      </c>
      <c r="WXX1" s="15" t="s">
        <v>16441</v>
      </c>
      <c r="WXY1" s="15" t="s">
        <v>16442</v>
      </c>
      <c r="WXZ1" s="15" t="s">
        <v>16443</v>
      </c>
      <c r="WYA1" s="15" t="s">
        <v>16444</v>
      </c>
      <c r="WYB1" s="15" t="s">
        <v>16445</v>
      </c>
      <c r="WYC1" s="15" t="s">
        <v>16446</v>
      </c>
      <c r="WYD1" s="15" t="s">
        <v>16447</v>
      </c>
      <c r="WYE1" s="15" t="s">
        <v>16448</v>
      </c>
      <c r="WYF1" s="15" t="s">
        <v>16449</v>
      </c>
      <c r="WYG1" s="15" t="s">
        <v>16450</v>
      </c>
      <c r="WYH1" s="15" t="s">
        <v>16451</v>
      </c>
      <c r="WYI1" s="15" t="s">
        <v>16452</v>
      </c>
      <c r="WYJ1" s="15" t="s">
        <v>16453</v>
      </c>
      <c r="WYK1" s="15" t="s">
        <v>16454</v>
      </c>
      <c r="WYL1" s="15" t="s">
        <v>16455</v>
      </c>
      <c r="WYM1" s="15" t="s">
        <v>16456</v>
      </c>
      <c r="WYN1" s="15" t="s">
        <v>16457</v>
      </c>
      <c r="WYO1" s="15" t="s">
        <v>16458</v>
      </c>
      <c r="WYP1" s="15" t="s">
        <v>16459</v>
      </c>
      <c r="WYQ1" s="15" t="s">
        <v>16460</v>
      </c>
      <c r="WYR1" s="15" t="s">
        <v>16461</v>
      </c>
      <c r="WYS1" s="15" t="s">
        <v>16462</v>
      </c>
      <c r="WYT1" s="15" t="s">
        <v>16463</v>
      </c>
      <c r="WYU1" s="15" t="s">
        <v>16464</v>
      </c>
      <c r="WYV1" s="15" t="s">
        <v>16465</v>
      </c>
      <c r="WYW1" s="15" t="s">
        <v>16466</v>
      </c>
      <c r="WYX1" s="15" t="s">
        <v>16467</v>
      </c>
      <c r="WYY1" s="15" t="s">
        <v>16468</v>
      </c>
      <c r="WYZ1" s="15" t="s">
        <v>16469</v>
      </c>
      <c r="WZA1" s="15" t="s">
        <v>16470</v>
      </c>
      <c r="WZB1" s="15" t="s">
        <v>16471</v>
      </c>
      <c r="WZC1" s="15" t="s">
        <v>16472</v>
      </c>
      <c r="WZD1" s="15" t="s">
        <v>16473</v>
      </c>
      <c r="WZE1" s="15" t="s">
        <v>16474</v>
      </c>
      <c r="WZF1" s="15" t="s">
        <v>16475</v>
      </c>
      <c r="WZG1" s="15" t="s">
        <v>16476</v>
      </c>
      <c r="WZH1" s="15" t="s">
        <v>16477</v>
      </c>
      <c r="WZI1" s="15" t="s">
        <v>16478</v>
      </c>
      <c r="WZJ1" s="15" t="s">
        <v>16479</v>
      </c>
      <c r="WZK1" s="15" t="s">
        <v>16480</v>
      </c>
      <c r="WZL1" s="15" t="s">
        <v>16481</v>
      </c>
      <c r="WZM1" s="15" t="s">
        <v>16482</v>
      </c>
      <c r="WZN1" s="15" t="s">
        <v>16483</v>
      </c>
      <c r="WZO1" s="15" t="s">
        <v>16484</v>
      </c>
      <c r="WZP1" s="15" t="s">
        <v>16485</v>
      </c>
      <c r="WZQ1" s="15" t="s">
        <v>16486</v>
      </c>
      <c r="WZR1" s="15" t="s">
        <v>16487</v>
      </c>
      <c r="WZS1" s="15" t="s">
        <v>16488</v>
      </c>
      <c r="WZT1" s="15" t="s">
        <v>16489</v>
      </c>
      <c r="WZU1" s="15" t="s">
        <v>16490</v>
      </c>
      <c r="WZV1" s="15" t="s">
        <v>16491</v>
      </c>
      <c r="WZW1" s="15" t="s">
        <v>16492</v>
      </c>
      <c r="WZX1" s="15" t="s">
        <v>16493</v>
      </c>
      <c r="WZY1" s="15" t="s">
        <v>16494</v>
      </c>
      <c r="WZZ1" s="15" t="s">
        <v>16495</v>
      </c>
      <c r="XAA1" s="15" t="s">
        <v>16496</v>
      </c>
      <c r="XAB1" s="15" t="s">
        <v>16497</v>
      </c>
      <c r="XAC1" s="15" t="s">
        <v>16498</v>
      </c>
      <c r="XAD1" s="15" t="s">
        <v>16499</v>
      </c>
      <c r="XAE1" s="15" t="s">
        <v>16500</v>
      </c>
      <c r="XAF1" s="15" t="s">
        <v>16501</v>
      </c>
      <c r="XAG1" s="15" t="s">
        <v>16502</v>
      </c>
      <c r="XAH1" s="15" t="s">
        <v>16503</v>
      </c>
      <c r="XAI1" s="15" t="s">
        <v>16504</v>
      </c>
      <c r="XAJ1" s="15" t="s">
        <v>16505</v>
      </c>
      <c r="XAK1" s="15" t="s">
        <v>16506</v>
      </c>
      <c r="XAL1" s="15" t="s">
        <v>16507</v>
      </c>
      <c r="XAM1" s="15" t="s">
        <v>16508</v>
      </c>
      <c r="XAN1" s="15" t="s">
        <v>16509</v>
      </c>
      <c r="XAO1" s="15" t="s">
        <v>16510</v>
      </c>
      <c r="XAP1" s="15" t="s">
        <v>16511</v>
      </c>
      <c r="XAQ1" s="15" t="s">
        <v>16512</v>
      </c>
      <c r="XAR1" s="15" t="s">
        <v>16513</v>
      </c>
      <c r="XAS1" s="15" t="s">
        <v>16514</v>
      </c>
      <c r="XAT1" s="15" t="s">
        <v>16515</v>
      </c>
      <c r="XAU1" s="15" t="s">
        <v>16516</v>
      </c>
      <c r="XAV1" s="15" t="s">
        <v>16517</v>
      </c>
      <c r="XAW1" s="15" t="s">
        <v>16518</v>
      </c>
      <c r="XAX1" s="15" t="s">
        <v>16519</v>
      </c>
      <c r="XAY1" s="15" t="s">
        <v>16520</v>
      </c>
      <c r="XAZ1" s="15" t="s">
        <v>16521</v>
      </c>
      <c r="XBA1" s="15" t="s">
        <v>16522</v>
      </c>
      <c r="XBB1" s="15" t="s">
        <v>16523</v>
      </c>
      <c r="XBC1" s="15" t="s">
        <v>16524</v>
      </c>
      <c r="XBD1" s="15" t="s">
        <v>16525</v>
      </c>
      <c r="XBE1" s="15" t="s">
        <v>16526</v>
      </c>
      <c r="XBF1" s="15" t="s">
        <v>16527</v>
      </c>
      <c r="XBG1" s="15" t="s">
        <v>16528</v>
      </c>
      <c r="XBH1" s="15" t="s">
        <v>16529</v>
      </c>
      <c r="XBI1" s="15" t="s">
        <v>16530</v>
      </c>
      <c r="XBJ1" s="15" t="s">
        <v>16531</v>
      </c>
      <c r="XBK1" s="15" t="s">
        <v>16532</v>
      </c>
      <c r="XBL1" s="15" t="s">
        <v>16533</v>
      </c>
      <c r="XBM1" s="15" t="s">
        <v>16534</v>
      </c>
      <c r="XBN1" s="15" t="s">
        <v>16535</v>
      </c>
      <c r="XBO1" s="15" t="s">
        <v>16536</v>
      </c>
      <c r="XBP1" s="15" t="s">
        <v>16537</v>
      </c>
      <c r="XBQ1" s="15" t="s">
        <v>16538</v>
      </c>
      <c r="XBR1" s="15" t="s">
        <v>16539</v>
      </c>
      <c r="XBS1" s="15" t="s">
        <v>16540</v>
      </c>
      <c r="XBT1" s="15" t="s">
        <v>16541</v>
      </c>
      <c r="XBU1" s="15" t="s">
        <v>16542</v>
      </c>
      <c r="XBV1" s="15" t="s">
        <v>16543</v>
      </c>
      <c r="XBW1" s="15" t="s">
        <v>16544</v>
      </c>
      <c r="XBX1" s="15" t="s">
        <v>16545</v>
      </c>
      <c r="XBY1" s="15" t="s">
        <v>16546</v>
      </c>
      <c r="XBZ1" s="15" t="s">
        <v>16547</v>
      </c>
      <c r="XCA1" s="15" t="s">
        <v>16548</v>
      </c>
      <c r="XCB1" s="15" t="s">
        <v>16549</v>
      </c>
      <c r="XCC1" s="15" t="s">
        <v>16550</v>
      </c>
      <c r="XCD1" s="15" t="s">
        <v>16551</v>
      </c>
      <c r="XCE1" s="15" t="s">
        <v>16552</v>
      </c>
      <c r="XCF1" s="15" t="s">
        <v>16553</v>
      </c>
      <c r="XCG1" s="15" t="s">
        <v>16554</v>
      </c>
      <c r="XCH1" s="15" t="s">
        <v>16555</v>
      </c>
      <c r="XCI1" s="15" t="s">
        <v>16556</v>
      </c>
      <c r="XCJ1" s="15" t="s">
        <v>16557</v>
      </c>
      <c r="XCK1" s="15" t="s">
        <v>16558</v>
      </c>
      <c r="XCL1" s="15" t="s">
        <v>16559</v>
      </c>
      <c r="XCM1" s="15" t="s">
        <v>16560</v>
      </c>
      <c r="XCN1" s="15" t="s">
        <v>16561</v>
      </c>
      <c r="XCO1" s="15" t="s">
        <v>16562</v>
      </c>
      <c r="XCP1" s="15" t="s">
        <v>16563</v>
      </c>
      <c r="XCQ1" s="15" t="s">
        <v>16564</v>
      </c>
      <c r="XCR1" s="15" t="s">
        <v>16565</v>
      </c>
      <c r="XCS1" s="15" t="s">
        <v>16566</v>
      </c>
      <c r="XCT1" s="15" t="s">
        <v>16567</v>
      </c>
      <c r="XCU1" s="15" t="s">
        <v>16568</v>
      </c>
      <c r="XCV1" s="15" t="s">
        <v>16569</v>
      </c>
      <c r="XCW1" s="15" t="s">
        <v>16570</v>
      </c>
      <c r="XCX1" s="15" t="s">
        <v>16571</v>
      </c>
      <c r="XCY1" s="15" t="s">
        <v>16572</v>
      </c>
      <c r="XCZ1" s="15" t="s">
        <v>16573</v>
      </c>
      <c r="XDA1" s="15" t="s">
        <v>16574</v>
      </c>
      <c r="XDB1" s="15" t="s">
        <v>16575</v>
      </c>
      <c r="XDC1" s="15" t="s">
        <v>16576</v>
      </c>
      <c r="XDD1" s="15" t="s">
        <v>16577</v>
      </c>
      <c r="XDE1" s="15" t="s">
        <v>16578</v>
      </c>
      <c r="XDF1" s="15" t="s">
        <v>16579</v>
      </c>
      <c r="XDG1" s="15" t="s">
        <v>16580</v>
      </c>
      <c r="XDH1" s="15" t="s">
        <v>16581</v>
      </c>
      <c r="XDI1" s="15" t="s">
        <v>16582</v>
      </c>
      <c r="XDJ1" s="15" t="s">
        <v>16583</v>
      </c>
      <c r="XDK1" s="15" t="s">
        <v>16584</v>
      </c>
      <c r="XDL1" s="15" t="s">
        <v>16585</v>
      </c>
      <c r="XDM1" s="15" t="s">
        <v>16586</v>
      </c>
      <c r="XDN1" s="15" t="s">
        <v>16587</v>
      </c>
      <c r="XDO1" s="15" t="s">
        <v>16588</v>
      </c>
      <c r="XDP1" s="15" t="s">
        <v>16589</v>
      </c>
      <c r="XDQ1" s="15" t="s">
        <v>16590</v>
      </c>
      <c r="XDR1" s="15" t="s">
        <v>16591</v>
      </c>
      <c r="XDS1" s="15" t="s">
        <v>16592</v>
      </c>
      <c r="XDT1" s="15" t="s">
        <v>16593</v>
      </c>
      <c r="XDU1" s="15" t="s">
        <v>16594</v>
      </c>
      <c r="XDV1" s="15" t="s">
        <v>16595</v>
      </c>
      <c r="XDW1" s="15" t="s">
        <v>16596</v>
      </c>
      <c r="XDX1" s="15" t="s">
        <v>16597</v>
      </c>
      <c r="XDY1" s="15" t="s">
        <v>16598</v>
      </c>
      <c r="XDZ1" s="15" t="s">
        <v>16599</v>
      </c>
      <c r="XEA1" s="15" t="s">
        <v>16600</v>
      </c>
      <c r="XEB1" s="15" t="s">
        <v>16601</v>
      </c>
      <c r="XEC1" s="15" t="s">
        <v>16602</v>
      </c>
      <c r="XED1" s="15" t="s">
        <v>16603</v>
      </c>
      <c r="XEE1" s="15" t="s">
        <v>16604</v>
      </c>
      <c r="XEF1" s="15" t="s">
        <v>16605</v>
      </c>
      <c r="XEG1" s="15" t="s">
        <v>16606</v>
      </c>
      <c r="XEH1" s="15" t="s">
        <v>16607</v>
      </c>
      <c r="XEI1" s="15" t="s">
        <v>16608</v>
      </c>
      <c r="XEJ1" s="15" t="s">
        <v>16609</v>
      </c>
      <c r="XEK1" s="15" t="s">
        <v>16610</v>
      </c>
      <c r="XEL1" s="15" t="s">
        <v>16611</v>
      </c>
      <c r="XEM1" s="15" t="s">
        <v>16612</v>
      </c>
      <c r="XEN1" s="15" t="s">
        <v>16613</v>
      </c>
      <c r="XEO1" s="15" t="s">
        <v>16614</v>
      </c>
      <c r="XEP1" s="15" t="s">
        <v>16615</v>
      </c>
      <c r="XEQ1" s="15" t="s">
        <v>16616</v>
      </c>
      <c r="XER1" s="15" t="s">
        <v>16617</v>
      </c>
      <c r="XES1" s="15" t="s">
        <v>16618</v>
      </c>
      <c r="XET1" s="15" t="s">
        <v>16619</v>
      </c>
      <c r="XEU1" s="15" t="s">
        <v>16620</v>
      </c>
      <c r="XEV1" s="15" t="s">
        <v>16621</v>
      </c>
      <c r="XEW1" s="15" t="s">
        <v>16622</v>
      </c>
      <c r="XEX1" s="15" t="s">
        <v>16623</v>
      </c>
      <c r="XEY1" s="15" t="s">
        <v>16624</v>
      </c>
      <c r="XEZ1" s="15" t="s">
        <v>16625</v>
      </c>
      <c r="XFA1" s="15" t="s">
        <v>16626</v>
      </c>
      <c r="XFB1" s="15" t="s">
        <v>16627</v>
      </c>
      <c r="XFC1" s="15" t="s">
        <v>16628</v>
      </c>
      <c r="XFD1" s="15" t="s">
        <v>16629</v>
      </c>
    </row>
    <row r="2" spans="1:16384" s="48" customFormat="1" ht="58" x14ac:dyDescent="0.35">
      <c r="A2" s="2">
        <v>91262</v>
      </c>
      <c r="B2" s="4" t="s">
        <v>243</v>
      </c>
      <c r="C2" s="60">
        <v>42640</v>
      </c>
      <c r="D2" s="4" t="s">
        <v>16651</v>
      </c>
      <c r="E2" s="4" t="s">
        <v>244</v>
      </c>
      <c r="F2" s="4"/>
    </row>
    <row r="3" spans="1:16384" s="48" customFormat="1" ht="58" x14ac:dyDescent="0.35">
      <c r="A3" s="2">
        <v>91249</v>
      </c>
      <c r="B3" s="4" t="s">
        <v>245</v>
      </c>
      <c r="C3" s="60">
        <v>42640</v>
      </c>
      <c r="D3" s="4" t="s">
        <v>246</v>
      </c>
      <c r="E3" s="4" t="s">
        <v>247</v>
      </c>
      <c r="F3" s="4"/>
    </row>
    <row r="4" spans="1:16384" s="48" customFormat="1" ht="116" x14ac:dyDescent="0.35">
      <c r="A4" s="2">
        <v>91015</v>
      </c>
      <c r="B4" s="16" t="s">
        <v>248</v>
      </c>
      <c r="C4" s="61">
        <v>42627</v>
      </c>
      <c r="D4" s="16" t="s">
        <v>16653</v>
      </c>
      <c r="E4" s="16" t="s">
        <v>16652</v>
      </c>
      <c r="F4" s="16"/>
    </row>
    <row r="5" spans="1:16384" s="48" customFormat="1" ht="232" x14ac:dyDescent="0.35">
      <c r="A5" s="2">
        <v>90740</v>
      </c>
      <c r="B5" s="4" t="s">
        <v>249</v>
      </c>
      <c r="C5" s="4"/>
      <c r="D5" s="4" t="s">
        <v>250</v>
      </c>
      <c r="E5" s="4" t="s">
        <v>247</v>
      </c>
      <c r="F5" s="4"/>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K109"/>
  <sheetViews>
    <sheetView workbookViewId="0">
      <pane ySplit="1" topLeftCell="A101" activePane="bottomLeft" state="frozen"/>
      <selection pane="bottomLeft" activeCell="B104" sqref="B104"/>
    </sheetView>
  </sheetViews>
  <sheetFormatPr defaultRowHeight="14.5" x14ac:dyDescent="0.35"/>
  <cols>
    <col min="1" max="1" width="10.54296875" style="93" customWidth="1"/>
    <col min="2" max="2" width="19.7265625" style="27" customWidth="1"/>
    <col min="3" max="3" width="16" style="4" customWidth="1"/>
    <col min="4" max="4" width="29.81640625" style="4" customWidth="1"/>
    <col min="5" max="5" width="43.453125" style="4" customWidth="1"/>
    <col min="6" max="6" width="38.1796875" style="4" customWidth="1"/>
    <col min="8" max="8" width="11.26953125" customWidth="1"/>
    <col min="9" max="10" width="8.7265625" customWidth="1"/>
    <col min="11" max="11" width="30.453125" style="63" customWidth="1"/>
  </cols>
  <sheetData>
    <row r="1" spans="1:11" ht="46.5" customHeight="1" x14ac:dyDescent="0.35">
      <c r="A1" s="23" t="s">
        <v>4</v>
      </c>
      <c r="B1" s="24" t="s">
        <v>0</v>
      </c>
      <c r="C1" s="23" t="s">
        <v>13</v>
      </c>
      <c r="D1" s="23" t="s">
        <v>1</v>
      </c>
      <c r="E1" s="23" t="s">
        <v>82</v>
      </c>
      <c r="F1" s="23" t="s">
        <v>87</v>
      </c>
      <c r="G1" s="15" t="s">
        <v>80</v>
      </c>
      <c r="H1" s="23" t="s">
        <v>113</v>
      </c>
      <c r="I1" s="23" t="s">
        <v>114</v>
      </c>
      <c r="J1" s="23" t="s">
        <v>182</v>
      </c>
      <c r="K1" s="23" t="s">
        <v>172</v>
      </c>
    </row>
    <row r="2" spans="1:11" ht="43.5" x14ac:dyDescent="0.35">
      <c r="A2" s="24" t="s">
        <v>16866</v>
      </c>
      <c r="B2" s="25" t="s">
        <v>147</v>
      </c>
      <c r="C2" s="26" t="s">
        <v>135</v>
      </c>
      <c r="D2" s="26" t="s">
        <v>148</v>
      </c>
      <c r="E2" s="46" t="s">
        <v>149</v>
      </c>
      <c r="F2" s="17"/>
      <c r="G2" s="15" t="s">
        <v>81</v>
      </c>
      <c r="H2" s="15" t="s">
        <v>81</v>
      </c>
      <c r="I2" s="15" t="s">
        <v>81</v>
      </c>
      <c r="J2" s="15" t="s">
        <v>81</v>
      </c>
      <c r="K2" s="18"/>
    </row>
    <row r="3" spans="1:11" ht="174" x14ac:dyDescent="0.35">
      <c r="A3" s="15" t="s">
        <v>2</v>
      </c>
      <c r="B3" s="25" t="s">
        <v>7</v>
      </c>
      <c r="C3" s="17" t="s">
        <v>14</v>
      </c>
      <c r="D3" s="17" t="s">
        <v>48</v>
      </c>
      <c r="E3" s="18" t="s">
        <v>16631</v>
      </c>
      <c r="F3" s="17" t="s">
        <v>16649</v>
      </c>
      <c r="G3" s="15" t="s">
        <v>81</v>
      </c>
      <c r="H3" s="15" t="s">
        <v>81</v>
      </c>
      <c r="I3" s="15" t="s">
        <v>81</v>
      </c>
      <c r="J3" s="15" t="s">
        <v>81</v>
      </c>
      <c r="K3" s="45"/>
    </row>
    <row r="4" spans="1:11" ht="87" x14ac:dyDescent="0.35">
      <c r="A4" s="15" t="s">
        <v>123</v>
      </c>
      <c r="B4" s="25" t="s">
        <v>7</v>
      </c>
      <c r="C4" s="17" t="s">
        <v>14</v>
      </c>
      <c r="D4" s="17" t="s">
        <v>16885</v>
      </c>
      <c r="E4" s="18" t="s">
        <v>181</v>
      </c>
      <c r="F4" s="17"/>
      <c r="G4" s="15" t="s">
        <v>81</v>
      </c>
      <c r="H4" s="15" t="s">
        <v>81</v>
      </c>
      <c r="I4" s="15" t="s">
        <v>81</v>
      </c>
      <c r="J4" s="15" t="s">
        <v>81</v>
      </c>
      <c r="K4" s="45"/>
    </row>
    <row r="5" spans="1:11" ht="58" x14ac:dyDescent="0.35">
      <c r="A5" s="15" t="s">
        <v>3</v>
      </c>
      <c r="B5" s="31" t="s">
        <v>7</v>
      </c>
      <c r="C5" s="30" t="s">
        <v>98</v>
      </c>
      <c r="D5" s="30" t="s">
        <v>92</v>
      </c>
      <c r="E5" s="30" t="s">
        <v>183</v>
      </c>
      <c r="F5" s="30" t="s">
        <v>184</v>
      </c>
      <c r="G5" s="32" t="s">
        <v>81</v>
      </c>
      <c r="H5" s="32" t="s">
        <v>81</v>
      </c>
      <c r="I5" s="32" t="s">
        <v>81</v>
      </c>
      <c r="J5" s="15" t="s">
        <v>81</v>
      </c>
      <c r="K5" s="45" t="s">
        <v>16632</v>
      </c>
    </row>
    <row r="6" spans="1:11" ht="43.5" x14ac:dyDescent="0.35">
      <c r="A6" s="91" t="s">
        <v>52</v>
      </c>
      <c r="B6" s="31" t="s">
        <v>7</v>
      </c>
      <c r="C6" s="47" t="s">
        <v>98</v>
      </c>
      <c r="D6" s="26" t="s">
        <v>186</v>
      </c>
      <c r="E6" s="47" t="s">
        <v>187</v>
      </c>
      <c r="F6" s="26" t="s">
        <v>192</v>
      </c>
      <c r="G6" s="24" t="s">
        <v>81</v>
      </c>
      <c r="H6" s="24" t="s">
        <v>81</v>
      </c>
      <c r="I6" s="24" t="s">
        <v>81</v>
      </c>
      <c r="J6" s="24" t="s">
        <v>81</v>
      </c>
      <c r="K6" s="45"/>
    </row>
    <row r="7" spans="1:11" ht="43.5" x14ac:dyDescent="0.35">
      <c r="A7" s="24" t="s">
        <v>185</v>
      </c>
      <c r="B7" s="31" t="s">
        <v>7</v>
      </c>
      <c r="C7" s="47" t="s">
        <v>135</v>
      </c>
      <c r="D7" s="17" t="s">
        <v>188</v>
      </c>
      <c r="E7" s="55" t="s">
        <v>189</v>
      </c>
      <c r="F7" s="17"/>
      <c r="G7" s="24" t="s">
        <v>81</v>
      </c>
      <c r="H7" s="24" t="s">
        <v>81</v>
      </c>
      <c r="I7" s="24" t="s">
        <v>81</v>
      </c>
      <c r="J7" s="24" t="s">
        <v>81</v>
      </c>
      <c r="K7" s="45"/>
    </row>
    <row r="8" spans="1:11" ht="101.5" x14ac:dyDescent="0.35">
      <c r="A8" s="24" t="s">
        <v>16704</v>
      </c>
      <c r="B8" s="31" t="s">
        <v>7</v>
      </c>
      <c r="C8" s="47" t="s">
        <v>135</v>
      </c>
      <c r="D8" s="17" t="s">
        <v>16686</v>
      </c>
      <c r="E8" s="55" t="s">
        <v>16687</v>
      </c>
      <c r="F8" s="17" t="s">
        <v>16688</v>
      </c>
      <c r="G8" s="24" t="s">
        <v>81</v>
      </c>
      <c r="H8" s="24" t="s">
        <v>95</v>
      </c>
      <c r="I8" s="24" t="s">
        <v>95</v>
      </c>
      <c r="J8" s="24" t="s">
        <v>95</v>
      </c>
      <c r="K8" s="45" t="s">
        <v>16689</v>
      </c>
    </row>
    <row r="9" spans="1:11" ht="319" x14ac:dyDescent="0.35">
      <c r="A9" s="24" t="s">
        <v>16742</v>
      </c>
      <c r="B9" s="31" t="s">
        <v>7</v>
      </c>
      <c r="C9" s="47" t="s">
        <v>16907</v>
      </c>
      <c r="D9" s="17" t="s">
        <v>16724</v>
      </c>
      <c r="E9" s="29" t="s">
        <v>16722</v>
      </c>
      <c r="F9" s="17" t="s">
        <v>16725</v>
      </c>
      <c r="G9" s="15" t="s">
        <v>81</v>
      </c>
      <c r="H9" s="15" t="s">
        <v>81</v>
      </c>
      <c r="I9" s="15" t="s">
        <v>81</v>
      </c>
      <c r="J9" s="24"/>
      <c r="K9" s="45"/>
    </row>
    <row r="10" spans="1:11" ht="29" x14ac:dyDescent="0.35">
      <c r="A10" s="24" t="s">
        <v>16886</v>
      </c>
      <c r="B10" s="25" t="s">
        <v>101</v>
      </c>
      <c r="C10" s="47" t="s">
        <v>16889</v>
      </c>
      <c r="D10" s="17" t="s">
        <v>16908</v>
      </c>
      <c r="E10" s="29" t="s">
        <v>16909</v>
      </c>
      <c r="F10" s="17"/>
      <c r="G10" s="15"/>
      <c r="H10" s="15"/>
      <c r="I10" s="15"/>
      <c r="J10" s="24"/>
      <c r="K10" s="45"/>
    </row>
    <row r="11" spans="1:11" ht="29" x14ac:dyDescent="0.35">
      <c r="A11" s="24" t="s">
        <v>5</v>
      </c>
      <c r="B11" s="25" t="s">
        <v>101</v>
      </c>
      <c r="C11" s="47" t="s">
        <v>135</v>
      </c>
      <c r="D11" s="26" t="s">
        <v>115</v>
      </c>
      <c r="E11" s="45" t="s">
        <v>190</v>
      </c>
      <c r="F11" s="26"/>
      <c r="G11" s="24" t="s">
        <v>81</v>
      </c>
      <c r="H11" s="24" t="s">
        <v>81</v>
      </c>
      <c r="I11" s="24" t="s">
        <v>81</v>
      </c>
      <c r="J11" s="24" t="s">
        <v>81</v>
      </c>
      <c r="K11" s="18"/>
    </row>
    <row r="12" spans="1:11" ht="217.5" x14ac:dyDescent="0.35">
      <c r="A12" s="15" t="s">
        <v>6</v>
      </c>
      <c r="B12" s="25" t="s">
        <v>101</v>
      </c>
      <c r="C12" s="47" t="s">
        <v>135</v>
      </c>
      <c r="D12" s="17" t="s">
        <v>16867</v>
      </c>
      <c r="E12" s="17" t="s">
        <v>16923</v>
      </c>
      <c r="F12" s="18"/>
      <c r="G12" s="15" t="s">
        <v>81</v>
      </c>
      <c r="H12" s="15" t="s">
        <v>81</v>
      </c>
      <c r="I12" s="15" t="s">
        <v>81</v>
      </c>
      <c r="J12" s="24" t="s">
        <v>81</v>
      </c>
      <c r="K12" s="18"/>
    </row>
    <row r="13" spans="1:11" ht="188.5" x14ac:dyDescent="0.35">
      <c r="A13" s="15" t="s">
        <v>16743</v>
      </c>
      <c r="B13" s="25" t="s">
        <v>101</v>
      </c>
      <c r="C13" s="47" t="s">
        <v>135</v>
      </c>
      <c r="D13" s="17" t="s">
        <v>16868</v>
      </c>
      <c r="E13" s="18" t="s">
        <v>16928</v>
      </c>
      <c r="F13" s="17" t="s">
        <v>16929</v>
      </c>
      <c r="G13" s="15" t="s">
        <v>81</v>
      </c>
      <c r="H13" s="15" t="s">
        <v>81</v>
      </c>
      <c r="I13" s="15" t="s">
        <v>81</v>
      </c>
      <c r="J13" s="24" t="s">
        <v>81</v>
      </c>
      <c r="K13" s="18"/>
    </row>
    <row r="14" spans="1:11" ht="174" x14ac:dyDescent="0.35">
      <c r="A14" s="15" t="s">
        <v>124</v>
      </c>
      <c r="B14" s="25" t="s">
        <v>101</v>
      </c>
      <c r="C14" s="47" t="s">
        <v>135</v>
      </c>
      <c r="D14" s="17" t="s">
        <v>53</v>
      </c>
      <c r="E14" s="17" t="s">
        <v>191</v>
      </c>
      <c r="F14" s="18" t="s">
        <v>16930</v>
      </c>
      <c r="G14" s="15" t="s">
        <v>81</v>
      </c>
      <c r="H14" s="15" t="s">
        <v>81</v>
      </c>
      <c r="I14" s="15" t="s">
        <v>81</v>
      </c>
      <c r="J14" s="24" t="s">
        <v>81</v>
      </c>
      <c r="K14" s="18"/>
    </row>
    <row r="15" spans="1:11" ht="101.5" x14ac:dyDescent="0.35">
      <c r="A15" s="24" t="s">
        <v>16744</v>
      </c>
      <c r="B15" s="25" t="s">
        <v>101</v>
      </c>
      <c r="C15" s="47" t="s">
        <v>135</v>
      </c>
      <c r="D15" s="26" t="s">
        <v>16740</v>
      </c>
      <c r="E15" s="45" t="s">
        <v>16633</v>
      </c>
      <c r="F15" s="26" t="s">
        <v>16931</v>
      </c>
      <c r="G15" s="24" t="s">
        <v>81</v>
      </c>
      <c r="H15" s="24" t="s">
        <v>81</v>
      </c>
      <c r="I15" s="24" t="s">
        <v>81</v>
      </c>
      <c r="J15" s="24" t="s">
        <v>81</v>
      </c>
      <c r="K15" s="62"/>
    </row>
    <row r="16" spans="1:11" ht="203" x14ac:dyDescent="0.35">
      <c r="A16" s="24" t="s">
        <v>16745</v>
      </c>
      <c r="B16" s="25" t="s">
        <v>101</v>
      </c>
      <c r="C16" s="47" t="s">
        <v>135</v>
      </c>
      <c r="D16" s="26" t="s">
        <v>16932</v>
      </c>
      <c r="E16" s="46" t="s">
        <v>16933</v>
      </c>
      <c r="F16" s="26" t="s">
        <v>16961</v>
      </c>
      <c r="G16" s="15" t="s">
        <v>81</v>
      </c>
      <c r="H16" s="15" t="s">
        <v>81</v>
      </c>
      <c r="I16" s="15" t="s">
        <v>81</v>
      </c>
      <c r="J16" s="24" t="s">
        <v>81</v>
      </c>
      <c r="K16" s="45"/>
    </row>
    <row r="17" spans="1:11" ht="43.5" x14ac:dyDescent="0.35">
      <c r="A17" s="65" t="s">
        <v>193</v>
      </c>
      <c r="B17" s="66" t="s">
        <v>101</v>
      </c>
      <c r="C17" s="47" t="s">
        <v>135</v>
      </c>
      <c r="D17" s="38" t="s">
        <v>16650</v>
      </c>
      <c r="E17" s="38" t="s">
        <v>16934</v>
      </c>
      <c r="F17" s="67"/>
      <c r="G17" s="15" t="s">
        <v>81</v>
      </c>
      <c r="H17" s="15" t="s">
        <v>81</v>
      </c>
      <c r="I17" s="15" t="s">
        <v>81</v>
      </c>
      <c r="J17" s="15" t="s">
        <v>81</v>
      </c>
      <c r="K17" s="70"/>
    </row>
    <row r="18" spans="1:11" x14ac:dyDescent="0.35">
      <c r="A18" s="65" t="s">
        <v>16888</v>
      </c>
      <c r="B18" s="25" t="s">
        <v>16739</v>
      </c>
      <c r="C18" s="47" t="s">
        <v>16889</v>
      </c>
      <c r="D18" s="69" t="s">
        <v>16890</v>
      </c>
      <c r="E18" s="99" t="s">
        <v>16891</v>
      </c>
      <c r="F18" s="67"/>
      <c r="G18" s="15"/>
      <c r="H18" s="15"/>
      <c r="I18" s="15"/>
      <c r="J18" s="15"/>
      <c r="K18" s="70"/>
    </row>
    <row r="19" spans="1:11" ht="159.5" x14ac:dyDescent="0.35">
      <c r="A19" s="15" t="s">
        <v>16746</v>
      </c>
      <c r="B19" s="25" t="s">
        <v>16739</v>
      </c>
      <c r="C19" s="47" t="s">
        <v>135</v>
      </c>
      <c r="D19" s="17" t="s">
        <v>194</v>
      </c>
      <c r="E19" s="17" t="s">
        <v>154</v>
      </c>
      <c r="F19" s="17"/>
      <c r="G19" s="15" t="s">
        <v>81</v>
      </c>
      <c r="H19" s="15" t="s">
        <v>81</v>
      </c>
      <c r="I19" s="15" t="s">
        <v>81</v>
      </c>
      <c r="J19" s="24" t="s">
        <v>81</v>
      </c>
      <c r="K19" s="18"/>
    </row>
    <row r="20" spans="1:11" ht="72.5" x14ac:dyDescent="0.35">
      <c r="A20" s="15" t="s">
        <v>8</v>
      </c>
      <c r="B20" s="25" t="s">
        <v>16739</v>
      </c>
      <c r="C20" s="47" t="s">
        <v>135</v>
      </c>
      <c r="D20" s="17" t="s">
        <v>16690</v>
      </c>
      <c r="E20" s="17" t="s">
        <v>91</v>
      </c>
      <c r="F20" s="17"/>
      <c r="G20" s="15" t="s">
        <v>81</v>
      </c>
      <c r="H20" s="15" t="s">
        <v>81</v>
      </c>
      <c r="I20" s="15" t="s">
        <v>81</v>
      </c>
      <c r="J20" s="24" t="s">
        <v>81</v>
      </c>
      <c r="K20" s="18"/>
    </row>
    <row r="21" spans="1:11" s="56" customFormat="1" ht="87" x14ac:dyDescent="0.35">
      <c r="A21" s="15" t="s">
        <v>9</v>
      </c>
      <c r="B21" s="25" t="s">
        <v>16739</v>
      </c>
      <c r="C21" s="47" t="s">
        <v>135</v>
      </c>
      <c r="D21" s="17" t="s">
        <v>117</v>
      </c>
      <c r="E21" s="17" t="s">
        <v>16935</v>
      </c>
      <c r="F21" s="17" t="s">
        <v>161</v>
      </c>
      <c r="G21" s="15" t="s">
        <v>81</v>
      </c>
      <c r="H21" s="15" t="s">
        <v>81</v>
      </c>
      <c r="I21" s="15" t="s">
        <v>81</v>
      </c>
      <c r="J21" s="24" t="s">
        <v>81</v>
      </c>
      <c r="K21" s="18"/>
    </row>
    <row r="22" spans="1:11" ht="203" x14ac:dyDescent="0.35">
      <c r="A22" s="15" t="s">
        <v>10</v>
      </c>
      <c r="B22" s="25" t="s">
        <v>16739</v>
      </c>
      <c r="C22" s="47" t="s">
        <v>135</v>
      </c>
      <c r="D22" s="26" t="s">
        <v>16936</v>
      </c>
      <c r="E22" s="46" t="s">
        <v>16937</v>
      </c>
      <c r="F22" s="26" t="s">
        <v>16961</v>
      </c>
      <c r="G22" s="15" t="s">
        <v>81</v>
      </c>
      <c r="H22" s="15" t="s">
        <v>81</v>
      </c>
      <c r="I22" s="15" t="s">
        <v>81</v>
      </c>
      <c r="J22" s="15" t="s">
        <v>81</v>
      </c>
      <c r="K22" s="18"/>
    </row>
    <row r="23" spans="1:11" ht="72.5" x14ac:dyDescent="0.35">
      <c r="A23" s="65" t="s">
        <v>11</v>
      </c>
      <c r="B23" s="25" t="s">
        <v>16739</v>
      </c>
      <c r="C23" s="47" t="s">
        <v>135</v>
      </c>
      <c r="D23" s="67" t="s">
        <v>16634</v>
      </c>
      <c r="E23" s="67" t="s">
        <v>16869</v>
      </c>
      <c r="F23" s="26" t="s">
        <v>195</v>
      </c>
      <c r="G23" s="24" t="s">
        <v>81</v>
      </c>
      <c r="H23" s="24" t="s">
        <v>81</v>
      </c>
      <c r="I23" s="24" t="s">
        <v>81</v>
      </c>
      <c r="J23" s="24" t="s">
        <v>81</v>
      </c>
      <c r="K23" s="64"/>
    </row>
    <row r="24" spans="1:11" ht="58" x14ac:dyDescent="0.35">
      <c r="A24" s="68" t="s">
        <v>12</v>
      </c>
      <c r="B24" s="25" t="s">
        <v>16739</v>
      </c>
      <c r="C24" s="47" t="s">
        <v>135</v>
      </c>
      <c r="D24" s="69" t="s">
        <v>16738</v>
      </c>
      <c r="E24" s="38" t="s">
        <v>196</v>
      </c>
      <c r="F24" s="57"/>
      <c r="G24" s="68" t="s">
        <v>81</v>
      </c>
      <c r="H24" s="68" t="s">
        <v>81</v>
      </c>
      <c r="I24" s="68" t="s">
        <v>81</v>
      </c>
      <c r="J24" s="68" t="s">
        <v>81</v>
      </c>
      <c r="K24" s="58"/>
    </row>
    <row r="25" spans="1:11" ht="116" x14ac:dyDescent="0.35">
      <c r="A25" s="15" t="s">
        <v>16747</v>
      </c>
      <c r="B25" s="25" t="s">
        <v>16739</v>
      </c>
      <c r="C25" s="47" t="s">
        <v>135</v>
      </c>
      <c r="D25" s="17" t="s">
        <v>16737</v>
      </c>
      <c r="E25" s="18" t="s">
        <v>155</v>
      </c>
      <c r="F25" s="17" t="s">
        <v>162</v>
      </c>
      <c r="G25" s="15" t="s">
        <v>81</v>
      </c>
      <c r="H25" s="15" t="s">
        <v>81</v>
      </c>
      <c r="I25" s="15" t="s">
        <v>81</v>
      </c>
      <c r="J25" s="15" t="s">
        <v>81</v>
      </c>
      <c r="K25" s="18"/>
    </row>
    <row r="26" spans="1:11" x14ac:dyDescent="0.35">
      <c r="A26" s="15" t="s">
        <v>16887</v>
      </c>
      <c r="B26" s="47" t="s">
        <v>16892</v>
      </c>
      <c r="C26" s="47" t="s">
        <v>16889</v>
      </c>
      <c r="D26" s="17" t="s">
        <v>16893</v>
      </c>
      <c r="E26" s="29" t="s">
        <v>16894</v>
      </c>
      <c r="F26" s="17"/>
      <c r="G26" s="15"/>
      <c r="H26" s="15"/>
      <c r="I26" s="15"/>
      <c r="J26" s="15"/>
      <c r="K26" s="18"/>
    </row>
    <row r="27" spans="1:11" ht="58" x14ac:dyDescent="0.35">
      <c r="A27" s="15" t="s">
        <v>16748</v>
      </c>
      <c r="B27" s="47" t="s">
        <v>16892</v>
      </c>
      <c r="C27" s="47" t="s">
        <v>135</v>
      </c>
      <c r="D27" s="17" t="s">
        <v>102</v>
      </c>
      <c r="E27" s="30" t="s">
        <v>163</v>
      </c>
      <c r="F27" s="17"/>
      <c r="G27" s="15" t="s">
        <v>81</v>
      </c>
      <c r="H27" s="15" t="s">
        <v>81</v>
      </c>
      <c r="I27" s="15" t="s">
        <v>81</v>
      </c>
      <c r="J27" s="15" t="s">
        <v>81</v>
      </c>
      <c r="K27" s="18"/>
    </row>
    <row r="28" spans="1:11" ht="130.5" x14ac:dyDescent="0.35">
      <c r="A28" s="24" t="s">
        <v>16749</v>
      </c>
      <c r="B28" s="47" t="s">
        <v>16892</v>
      </c>
      <c r="C28" s="47" t="s">
        <v>135</v>
      </c>
      <c r="D28" s="26" t="s">
        <v>164</v>
      </c>
      <c r="E28" s="47" t="s">
        <v>165</v>
      </c>
      <c r="F28" s="26" t="s">
        <v>197</v>
      </c>
      <c r="G28" s="24" t="s">
        <v>81</v>
      </c>
      <c r="H28" s="24" t="s">
        <v>81</v>
      </c>
      <c r="I28" s="24" t="s">
        <v>81</v>
      </c>
      <c r="J28" s="24" t="s">
        <v>81</v>
      </c>
      <c r="K28" s="45"/>
    </row>
    <row r="29" spans="1:11" ht="29" x14ac:dyDescent="0.35">
      <c r="A29" s="24" t="s">
        <v>16897</v>
      </c>
      <c r="B29" s="25" t="s">
        <v>16895</v>
      </c>
      <c r="C29" s="26" t="s">
        <v>16889</v>
      </c>
      <c r="D29" s="26" t="s">
        <v>16896</v>
      </c>
      <c r="E29" s="59" t="s">
        <v>16891</v>
      </c>
      <c r="F29" s="26"/>
      <c r="G29" s="24"/>
      <c r="H29" s="24"/>
      <c r="I29" s="24"/>
      <c r="J29" s="24"/>
      <c r="K29" s="45"/>
    </row>
    <row r="30" spans="1:11" ht="87" x14ac:dyDescent="0.35">
      <c r="A30" s="24" t="s">
        <v>16705</v>
      </c>
      <c r="B30" s="26" t="s">
        <v>198</v>
      </c>
      <c r="C30" s="26" t="s">
        <v>135</v>
      </c>
      <c r="D30" s="26" t="s">
        <v>16691</v>
      </c>
      <c r="E30" s="26" t="s">
        <v>16938</v>
      </c>
      <c r="F30" s="26"/>
      <c r="G30" s="24" t="s">
        <v>81</v>
      </c>
      <c r="H30" s="24" t="s">
        <v>95</v>
      </c>
      <c r="I30" s="24" t="s">
        <v>95</v>
      </c>
      <c r="J30" s="24" t="s">
        <v>95</v>
      </c>
      <c r="K30" s="45"/>
    </row>
    <row r="31" spans="1:11" ht="72.5" x14ac:dyDescent="0.35">
      <c r="A31" s="15" t="s">
        <v>15</v>
      </c>
      <c r="B31" s="26" t="s">
        <v>198</v>
      </c>
      <c r="C31" s="26" t="s">
        <v>135</v>
      </c>
      <c r="D31" s="17" t="s">
        <v>16898</v>
      </c>
      <c r="E31" s="17" t="s">
        <v>199</v>
      </c>
      <c r="F31" s="17" t="s">
        <v>16635</v>
      </c>
      <c r="G31" s="15" t="s">
        <v>81</v>
      </c>
      <c r="H31" s="15" t="s">
        <v>81</v>
      </c>
      <c r="I31" s="15" t="s">
        <v>81</v>
      </c>
      <c r="J31" s="15" t="s">
        <v>81</v>
      </c>
      <c r="K31" s="18"/>
    </row>
    <row r="32" spans="1:11" ht="116" x14ac:dyDescent="0.35">
      <c r="A32" s="15" t="s">
        <v>16706</v>
      </c>
      <c r="B32" s="26" t="s">
        <v>198</v>
      </c>
      <c r="C32" s="26" t="s">
        <v>135</v>
      </c>
      <c r="D32" s="26" t="s">
        <v>204</v>
      </c>
      <c r="E32" s="29" t="s">
        <v>16939</v>
      </c>
      <c r="F32" s="29" t="s">
        <v>16940</v>
      </c>
      <c r="G32" s="15" t="s">
        <v>81</v>
      </c>
      <c r="H32" s="15" t="s">
        <v>81</v>
      </c>
      <c r="I32" s="15" t="s">
        <v>95</v>
      </c>
      <c r="J32" s="15" t="s">
        <v>81</v>
      </c>
      <c r="K32" s="18" t="s">
        <v>16692</v>
      </c>
    </row>
    <row r="33" spans="1:11" ht="72.5" x14ac:dyDescent="0.35">
      <c r="A33" s="15" t="s">
        <v>16</v>
      </c>
      <c r="B33" s="26" t="s">
        <v>198</v>
      </c>
      <c r="C33" s="17" t="s">
        <v>201</v>
      </c>
      <c r="D33" s="17" t="s">
        <v>103</v>
      </c>
      <c r="E33" s="30" t="s">
        <v>16636</v>
      </c>
      <c r="F33" s="17"/>
      <c r="G33" s="15" t="s">
        <v>81</v>
      </c>
      <c r="H33" s="15" t="s">
        <v>81</v>
      </c>
      <c r="I33" s="15" t="s">
        <v>81</v>
      </c>
      <c r="J33" s="15" t="s">
        <v>81</v>
      </c>
      <c r="K33" s="18"/>
    </row>
    <row r="34" spans="1:11" ht="58" x14ac:dyDescent="0.35">
      <c r="A34" s="15" t="s">
        <v>17</v>
      </c>
      <c r="B34" s="26" t="s">
        <v>198</v>
      </c>
      <c r="C34" s="17" t="s">
        <v>201</v>
      </c>
      <c r="D34" s="17" t="s">
        <v>104</v>
      </c>
      <c r="E34" s="30" t="s">
        <v>16870</v>
      </c>
      <c r="F34" s="17"/>
      <c r="G34" s="15" t="s">
        <v>81</v>
      </c>
      <c r="H34" s="15" t="s">
        <v>81</v>
      </c>
      <c r="I34" s="15" t="s">
        <v>81</v>
      </c>
      <c r="J34" s="15" t="s">
        <v>81</v>
      </c>
      <c r="K34" s="18"/>
    </row>
    <row r="35" spans="1:11" ht="145" x14ac:dyDescent="0.35">
      <c r="A35" s="15" t="s">
        <v>18</v>
      </c>
      <c r="B35" s="26" t="s">
        <v>198</v>
      </c>
      <c r="C35" s="17" t="s">
        <v>201</v>
      </c>
      <c r="D35" s="17" t="s">
        <v>166</v>
      </c>
      <c r="E35" s="17" t="s">
        <v>16871</v>
      </c>
      <c r="F35" s="17" t="s">
        <v>16941</v>
      </c>
      <c r="G35" s="15" t="s">
        <v>81</v>
      </c>
      <c r="H35" s="15" t="s">
        <v>81</v>
      </c>
      <c r="I35" s="15" t="s">
        <v>81</v>
      </c>
      <c r="J35" s="15" t="s">
        <v>81</v>
      </c>
      <c r="K35" s="18"/>
    </row>
    <row r="36" spans="1:11" ht="43.5" x14ac:dyDescent="0.35">
      <c r="A36" s="15" t="s">
        <v>19</v>
      </c>
      <c r="B36" s="26" t="s">
        <v>198</v>
      </c>
      <c r="C36" s="17" t="s">
        <v>201</v>
      </c>
      <c r="D36" s="17" t="s">
        <v>105</v>
      </c>
      <c r="E36" s="30" t="s">
        <v>200</v>
      </c>
      <c r="F36" s="17"/>
      <c r="G36" s="15" t="s">
        <v>81</v>
      </c>
      <c r="H36" s="15" t="s">
        <v>81</v>
      </c>
      <c r="I36" s="15" t="s">
        <v>81</v>
      </c>
      <c r="J36" s="15" t="s">
        <v>81</v>
      </c>
      <c r="K36" s="18"/>
    </row>
    <row r="37" spans="1:11" ht="43.5" x14ac:dyDescent="0.35">
      <c r="A37" s="15" t="s">
        <v>20</v>
      </c>
      <c r="B37" s="26" t="s">
        <v>198</v>
      </c>
      <c r="C37" s="17" t="s">
        <v>201</v>
      </c>
      <c r="D37" s="17" t="s">
        <v>54</v>
      </c>
      <c r="E37" s="30" t="s">
        <v>168</v>
      </c>
      <c r="F37" s="17" t="s">
        <v>167</v>
      </c>
      <c r="G37" s="15" t="s">
        <v>81</v>
      </c>
      <c r="H37" s="15" t="s">
        <v>81</v>
      </c>
      <c r="I37" s="15" t="s">
        <v>81</v>
      </c>
      <c r="J37" s="15" t="s">
        <v>81</v>
      </c>
      <c r="K37" s="18"/>
    </row>
    <row r="38" spans="1:11" ht="58" x14ac:dyDescent="0.35">
      <c r="A38" s="15" t="s">
        <v>21</v>
      </c>
      <c r="B38" s="26" t="s">
        <v>198</v>
      </c>
      <c r="C38" s="17" t="s">
        <v>22</v>
      </c>
      <c r="D38" s="17" t="s">
        <v>106</v>
      </c>
      <c r="E38" s="17" t="s">
        <v>16676</v>
      </c>
      <c r="F38" s="17" t="s">
        <v>16942</v>
      </c>
      <c r="G38" s="15" t="s">
        <v>81</v>
      </c>
      <c r="H38" s="15" t="s">
        <v>81</v>
      </c>
      <c r="I38" s="15" t="s">
        <v>81</v>
      </c>
      <c r="J38" s="15" t="s">
        <v>81</v>
      </c>
      <c r="K38" s="18"/>
    </row>
    <row r="39" spans="1:11" ht="43.5" x14ac:dyDescent="0.35">
      <c r="A39" s="15" t="s">
        <v>125</v>
      </c>
      <c r="B39" s="26" t="s">
        <v>198</v>
      </c>
      <c r="C39" s="17" t="s">
        <v>22</v>
      </c>
      <c r="D39" s="17" t="s">
        <v>202</v>
      </c>
      <c r="E39" s="30" t="s">
        <v>203</v>
      </c>
      <c r="F39" s="17"/>
      <c r="G39" s="15" t="s">
        <v>81</v>
      </c>
      <c r="H39" s="15" t="s">
        <v>81</v>
      </c>
      <c r="I39" s="15" t="s">
        <v>81</v>
      </c>
      <c r="J39" s="15" t="s">
        <v>81</v>
      </c>
      <c r="K39" s="18"/>
    </row>
    <row r="40" spans="1:11" ht="101.5" x14ac:dyDescent="0.35">
      <c r="A40" s="15" t="s">
        <v>16720</v>
      </c>
      <c r="B40" s="26" t="s">
        <v>198</v>
      </c>
      <c r="C40" s="17" t="s">
        <v>22</v>
      </c>
      <c r="D40" s="17" t="s">
        <v>16899</v>
      </c>
      <c r="E40" s="55" t="s">
        <v>16693</v>
      </c>
      <c r="F40" s="17" t="s">
        <v>16943</v>
      </c>
      <c r="G40" s="15" t="s">
        <v>81</v>
      </c>
      <c r="H40" s="15" t="s">
        <v>81</v>
      </c>
      <c r="I40" s="15" t="s">
        <v>81</v>
      </c>
      <c r="J40" s="15" t="s">
        <v>81</v>
      </c>
      <c r="K40" s="18" t="s">
        <v>16694</v>
      </c>
    </row>
    <row r="41" spans="1:11" ht="130.5" x14ac:dyDescent="0.35">
      <c r="A41" s="15" t="s">
        <v>23</v>
      </c>
      <c r="B41" s="26" t="s">
        <v>198</v>
      </c>
      <c r="C41" s="17" t="s">
        <v>55</v>
      </c>
      <c r="D41" s="17" t="s">
        <v>107</v>
      </c>
      <c r="E41" s="17" t="s">
        <v>16944</v>
      </c>
      <c r="F41" s="17" t="s">
        <v>16945</v>
      </c>
      <c r="G41" s="15" t="s">
        <v>81</v>
      </c>
      <c r="H41" s="15" t="s">
        <v>81</v>
      </c>
      <c r="I41" s="15" t="s">
        <v>81</v>
      </c>
      <c r="J41" s="15" t="s">
        <v>81</v>
      </c>
      <c r="K41" s="18"/>
    </row>
    <row r="42" spans="1:11" ht="29" x14ac:dyDescent="0.35">
      <c r="A42" s="15" t="s">
        <v>16900</v>
      </c>
      <c r="B42" s="25" t="s">
        <v>24</v>
      </c>
      <c r="C42" s="17" t="s">
        <v>16889</v>
      </c>
      <c r="D42" s="17" t="s">
        <v>16901</v>
      </c>
      <c r="E42" s="29" t="s">
        <v>16891</v>
      </c>
      <c r="F42" s="17"/>
      <c r="G42" s="15"/>
      <c r="H42" s="15"/>
      <c r="I42" s="15"/>
      <c r="J42" s="15"/>
      <c r="K42" s="18"/>
    </row>
    <row r="43" spans="1:11" ht="101.5" x14ac:dyDescent="0.35">
      <c r="A43" s="15" t="s">
        <v>16707</v>
      </c>
      <c r="B43" s="25" t="s">
        <v>24</v>
      </c>
      <c r="C43" s="17" t="s">
        <v>135</v>
      </c>
      <c r="D43" s="17" t="s">
        <v>99</v>
      </c>
      <c r="E43" s="17" t="s">
        <v>16637</v>
      </c>
      <c r="F43" s="17" t="s">
        <v>16946</v>
      </c>
      <c r="G43" s="15" t="s">
        <v>81</v>
      </c>
      <c r="H43" s="15" t="s">
        <v>95</v>
      </c>
      <c r="I43" s="15" t="s">
        <v>95</v>
      </c>
      <c r="J43" s="15" t="s">
        <v>95</v>
      </c>
      <c r="K43" s="18" t="s">
        <v>16695</v>
      </c>
    </row>
    <row r="44" spans="1:11" ht="29" x14ac:dyDescent="0.35">
      <c r="A44" s="15" t="s">
        <v>26</v>
      </c>
      <c r="B44" s="25" t="s">
        <v>24</v>
      </c>
      <c r="C44" s="17" t="s">
        <v>135</v>
      </c>
      <c r="D44" s="17" t="s">
        <v>100</v>
      </c>
      <c r="E44" s="18" t="s">
        <v>116</v>
      </c>
      <c r="F44" s="17"/>
      <c r="G44" s="15" t="s">
        <v>81</v>
      </c>
      <c r="H44" s="15" t="s">
        <v>95</v>
      </c>
      <c r="I44" s="15" t="s">
        <v>95</v>
      </c>
      <c r="J44" s="15" t="s">
        <v>95</v>
      </c>
      <c r="K44" s="18"/>
    </row>
    <row r="45" spans="1:11" ht="29" x14ac:dyDescent="0.35">
      <c r="A45" s="15" t="s">
        <v>16902</v>
      </c>
      <c r="B45" s="25" t="s">
        <v>24</v>
      </c>
      <c r="C45" s="17" t="s">
        <v>42</v>
      </c>
      <c r="D45" s="17" t="s">
        <v>16903</v>
      </c>
      <c r="E45" s="29" t="s">
        <v>16891</v>
      </c>
      <c r="F45" s="17"/>
      <c r="G45" s="15"/>
      <c r="H45" s="15"/>
      <c r="I45" s="15"/>
      <c r="J45" s="15"/>
      <c r="K45" s="18"/>
    </row>
    <row r="46" spans="1:11" ht="72.5" x14ac:dyDescent="0.35">
      <c r="A46" s="15" t="s">
        <v>43</v>
      </c>
      <c r="B46" s="25" t="s">
        <v>24</v>
      </c>
      <c r="C46" s="17" t="s">
        <v>42</v>
      </c>
      <c r="D46" s="17" t="s">
        <v>16968</v>
      </c>
      <c r="E46" s="18" t="s">
        <v>16872</v>
      </c>
      <c r="F46" s="17" t="s">
        <v>16638</v>
      </c>
      <c r="G46" s="15" t="s">
        <v>81</v>
      </c>
      <c r="H46" s="15" t="s">
        <v>81</v>
      </c>
      <c r="I46" s="15" t="s">
        <v>81</v>
      </c>
      <c r="J46" s="15" t="s">
        <v>81</v>
      </c>
      <c r="K46" s="18"/>
    </row>
    <row r="47" spans="1:11" ht="123.75" customHeight="1" x14ac:dyDescent="0.35">
      <c r="A47" s="15" t="s">
        <v>45</v>
      </c>
      <c r="B47" s="25" t="s">
        <v>24</v>
      </c>
      <c r="C47" s="17" t="s">
        <v>42</v>
      </c>
      <c r="D47" s="17" t="s">
        <v>67</v>
      </c>
      <c r="E47" s="18" t="s">
        <v>16873</v>
      </c>
      <c r="F47" s="17"/>
      <c r="G47" s="15" t="s">
        <v>81</v>
      </c>
      <c r="H47" s="15" t="s">
        <v>95</v>
      </c>
      <c r="I47" s="15" t="s">
        <v>95</v>
      </c>
      <c r="J47" s="15" t="s">
        <v>95</v>
      </c>
      <c r="K47" s="18"/>
    </row>
    <row r="48" spans="1:11" ht="87" x14ac:dyDescent="0.35">
      <c r="A48" s="15" t="s">
        <v>128</v>
      </c>
      <c r="B48" s="25" t="s">
        <v>24</v>
      </c>
      <c r="C48" s="17" t="s">
        <v>42</v>
      </c>
      <c r="D48" s="17" t="s">
        <v>16979</v>
      </c>
      <c r="E48" s="17" t="s">
        <v>16980</v>
      </c>
      <c r="F48" s="17" t="s">
        <v>16981</v>
      </c>
      <c r="G48" s="15" t="s">
        <v>81</v>
      </c>
      <c r="H48" s="15" t="s">
        <v>95</v>
      </c>
      <c r="I48" s="15" t="s">
        <v>95</v>
      </c>
      <c r="J48" s="15" t="s">
        <v>95</v>
      </c>
      <c r="K48" s="18"/>
    </row>
    <row r="49" spans="1:11" ht="72.5" x14ac:dyDescent="0.35">
      <c r="A49" s="15" t="s">
        <v>129</v>
      </c>
      <c r="B49" s="25" t="s">
        <v>24</v>
      </c>
      <c r="C49" s="17" t="s">
        <v>42</v>
      </c>
      <c r="D49" s="17" t="s">
        <v>68</v>
      </c>
      <c r="E49" s="17" t="s">
        <v>171</v>
      </c>
      <c r="F49" s="17"/>
      <c r="G49" s="15" t="s">
        <v>81</v>
      </c>
      <c r="H49" s="15" t="s">
        <v>95</v>
      </c>
      <c r="I49" s="15" t="s">
        <v>95</v>
      </c>
      <c r="J49" s="15" t="s">
        <v>95</v>
      </c>
      <c r="K49" s="18"/>
    </row>
    <row r="50" spans="1:11" ht="116" x14ac:dyDescent="0.35">
      <c r="A50" s="15" t="s">
        <v>130</v>
      </c>
      <c r="B50" s="25" t="s">
        <v>24</v>
      </c>
      <c r="C50" s="17" t="s">
        <v>42</v>
      </c>
      <c r="D50" s="17" t="s">
        <v>110</v>
      </c>
      <c r="E50" s="17" t="s">
        <v>229</v>
      </c>
      <c r="F50" s="17" t="s">
        <v>16947</v>
      </c>
      <c r="G50" s="15" t="s">
        <v>81</v>
      </c>
      <c r="H50" s="15" t="s">
        <v>81</v>
      </c>
      <c r="I50" s="15" t="s">
        <v>81</v>
      </c>
      <c r="J50" s="15" t="s">
        <v>81</v>
      </c>
      <c r="K50" s="18"/>
    </row>
    <row r="51" spans="1:11" ht="58" x14ac:dyDescent="0.35">
      <c r="A51" s="15" t="s">
        <v>131</v>
      </c>
      <c r="B51" s="25" t="s">
        <v>24</v>
      </c>
      <c r="C51" s="17" t="s">
        <v>42</v>
      </c>
      <c r="D51" s="17" t="s">
        <v>16969</v>
      </c>
      <c r="E51" s="17" t="s">
        <v>16970</v>
      </c>
      <c r="F51" s="17"/>
      <c r="G51" s="15" t="s">
        <v>81</v>
      </c>
      <c r="H51" s="15" t="s">
        <v>81</v>
      </c>
      <c r="I51" s="15" t="s">
        <v>81</v>
      </c>
      <c r="J51" s="15" t="s">
        <v>81</v>
      </c>
      <c r="K51" s="18"/>
    </row>
    <row r="52" spans="1:11" ht="58" x14ac:dyDescent="0.35">
      <c r="A52" s="15" t="s">
        <v>16971</v>
      </c>
      <c r="B52" s="25" t="s">
        <v>24</v>
      </c>
      <c r="C52" s="17" t="s">
        <v>42</v>
      </c>
      <c r="D52" s="17" t="s">
        <v>16972</v>
      </c>
      <c r="E52" s="17" t="s">
        <v>16973</v>
      </c>
      <c r="F52" s="17"/>
      <c r="G52" s="15" t="s">
        <v>81</v>
      </c>
      <c r="H52" s="15" t="s">
        <v>81</v>
      </c>
      <c r="I52" s="15" t="s">
        <v>81</v>
      </c>
      <c r="J52" s="15" t="s">
        <v>81</v>
      </c>
      <c r="K52" s="18"/>
    </row>
    <row r="53" spans="1:11" ht="58" x14ac:dyDescent="0.35">
      <c r="A53" s="15" t="s">
        <v>16974</v>
      </c>
      <c r="B53" s="25" t="s">
        <v>24</v>
      </c>
      <c r="C53" s="17" t="s">
        <v>42</v>
      </c>
      <c r="D53" s="17" t="s">
        <v>16975</v>
      </c>
      <c r="E53" s="17" t="s">
        <v>16976</v>
      </c>
      <c r="F53" s="17"/>
      <c r="G53" s="15" t="s">
        <v>81</v>
      </c>
      <c r="H53" s="15" t="s">
        <v>81</v>
      </c>
      <c r="I53" s="15" t="s">
        <v>81</v>
      </c>
      <c r="J53" s="15" t="s">
        <v>81</v>
      </c>
      <c r="K53" s="18"/>
    </row>
    <row r="54" spans="1:11" ht="72.5" x14ac:dyDescent="0.35">
      <c r="A54" s="15" t="s">
        <v>46</v>
      </c>
      <c r="B54" s="25" t="s">
        <v>24</v>
      </c>
      <c r="C54" s="17" t="s">
        <v>44</v>
      </c>
      <c r="D54" s="17" t="s">
        <v>69</v>
      </c>
      <c r="E54" s="45" t="s">
        <v>230</v>
      </c>
      <c r="F54" s="17"/>
      <c r="G54" s="15" t="s">
        <v>81</v>
      </c>
      <c r="H54" s="24" t="s">
        <v>95</v>
      </c>
      <c r="I54" s="24" t="s">
        <v>95</v>
      </c>
      <c r="J54" s="24" t="s">
        <v>95</v>
      </c>
      <c r="K54" s="18"/>
    </row>
    <row r="55" spans="1:11" ht="87" x14ac:dyDescent="0.35">
      <c r="A55" s="68" t="s">
        <v>47</v>
      </c>
      <c r="B55" s="66" t="s">
        <v>24</v>
      </c>
      <c r="C55" s="69" t="s">
        <v>44</v>
      </c>
      <c r="D55" s="69" t="s">
        <v>111</v>
      </c>
      <c r="E55" s="38" t="s">
        <v>231</v>
      </c>
      <c r="F55" s="17"/>
      <c r="G55" s="15" t="s">
        <v>81</v>
      </c>
      <c r="H55" s="15" t="s">
        <v>81</v>
      </c>
      <c r="I55" s="15" t="s">
        <v>81</v>
      </c>
      <c r="J55" s="15" t="s">
        <v>81</v>
      </c>
      <c r="K55" s="18"/>
    </row>
    <row r="56" spans="1:11" ht="29" x14ac:dyDescent="0.35">
      <c r="A56" s="68" t="s">
        <v>16904</v>
      </c>
      <c r="B56" s="66" t="s">
        <v>24</v>
      </c>
      <c r="C56" s="69" t="s">
        <v>70</v>
      </c>
      <c r="D56" s="69" t="s">
        <v>16905</v>
      </c>
      <c r="E56" s="99" t="s">
        <v>16891</v>
      </c>
      <c r="F56" s="17"/>
      <c r="G56" s="15"/>
      <c r="H56" s="15"/>
      <c r="I56" s="15"/>
      <c r="J56" s="15"/>
      <c r="K56" s="18"/>
    </row>
    <row r="57" spans="1:11" ht="43.5" x14ac:dyDescent="0.35">
      <c r="A57" s="68" t="s">
        <v>132</v>
      </c>
      <c r="B57" s="66" t="s">
        <v>24</v>
      </c>
      <c r="C57" s="69" t="s">
        <v>70</v>
      </c>
      <c r="D57" s="69" t="s">
        <v>232</v>
      </c>
      <c r="E57" s="30" t="s">
        <v>121</v>
      </c>
      <c r="F57" s="18"/>
      <c r="G57" s="15" t="s">
        <v>81</v>
      </c>
      <c r="H57" s="15" t="s">
        <v>95</v>
      </c>
      <c r="I57" s="15" t="s">
        <v>95</v>
      </c>
      <c r="J57" s="15" t="s">
        <v>95</v>
      </c>
      <c r="K57" s="18"/>
    </row>
    <row r="58" spans="1:11" ht="43.5" x14ac:dyDescent="0.35">
      <c r="A58" s="68" t="s">
        <v>133</v>
      </c>
      <c r="B58" s="25" t="s">
        <v>24</v>
      </c>
      <c r="C58" s="17" t="s">
        <v>70</v>
      </c>
      <c r="D58" s="17" t="s">
        <v>16906</v>
      </c>
      <c r="E58" s="30" t="s">
        <v>16948</v>
      </c>
      <c r="F58" s="18"/>
      <c r="G58" s="15" t="s">
        <v>81</v>
      </c>
      <c r="H58" s="15" t="s">
        <v>81</v>
      </c>
      <c r="I58" s="15" t="s">
        <v>81</v>
      </c>
      <c r="J58" s="15" t="s">
        <v>81</v>
      </c>
      <c r="K58" s="18"/>
    </row>
    <row r="59" spans="1:11" ht="87" x14ac:dyDescent="0.35">
      <c r="A59" s="68" t="s">
        <v>16708</v>
      </c>
      <c r="B59" s="25" t="s">
        <v>24</v>
      </c>
      <c r="C59" s="17" t="s">
        <v>70</v>
      </c>
      <c r="D59" s="17" t="s">
        <v>16874</v>
      </c>
      <c r="E59" s="30" t="s">
        <v>16696</v>
      </c>
      <c r="F59" s="18" t="s">
        <v>233</v>
      </c>
      <c r="G59" s="15" t="s">
        <v>81</v>
      </c>
      <c r="H59" s="15" t="s">
        <v>81</v>
      </c>
      <c r="I59" s="15" t="s">
        <v>81</v>
      </c>
      <c r="J59" s="15" t="s">
        <v>81</v>
      </c>
      <c r="K59" s="18"/>
    </row>
    <row r="60" spans="1:11" ht="58" x14ac:dyDescent="0.35">
      <c r="A60" s="68" t="s">
        <v>16709</v>
      </c>
      <c r="B60" s="25" t="s">
        <v>24</v>
      </c>
      <c r="C60" s="17" t="s">
        <v>70</v>
      </c>
      <c r="D60" s="17" t="s">
        <v>122</v>
      </c>
      <c r="E60" s="30" t="s">
        <v>16697</v>
      </c>
      <c r="F60" s="18" t="s">
        <v>233</v>
      </c>
      <c r="G60" s="15" t="s">
        <v>81</v>
      </c>
      <c r="H60" s="15" t="s">
        <v>81</v>
      </c>
      <c r="I60" s="15" t="s">
        <v>81</v>
      </c>
      <c r="J60" s="15" t="s">
        <v>81</v>
      </c>
      <c r="K60" s="18"/>
    </row>
    <row r="61" spans="1:11" ht="43.5" x14ac:dyDescent="0.35">
      <c r="A61" s="68" t="s">
        <v>16677</v>
      </c>
      <c r="B61" s="25" t="s">
        <v>24</v>
      </c>
      <c r="C61" s="17" t="s">
        <v>70</v>
      </c>
      <c r="D61" s="17" t="s">
        <v>234</v>
      </c>
      <c r="E61" s="17" t="s">
        <v>16639</v>
      </c>
      <c r="F61" s="18"/>
      <c r="G61" s="15" t="s">
        <v>81</v>
      </c>
      <c r="H61" s="15" t="s">
        <v>81</v>
      </c>
      <c r="I61" s="15" t="s">
        <v>81</v>
      </c>
      <c r="J61" s="15" t="s">
        <v>81</v>
      </c>
      <c r="K61" s="18"/>
    </row>
    <row r="62" spans="1:11" ht="43.5" x14ac:dyDescent="0.35">
      <c r="A62" s="15" t="s">
        <v>134</v>
      </c>
      <c r="B62" s="25" t="s">
        <v>24</v>
      </c>
      <c r="C62" s="17" t="s">
        <v>1</v>
      </c>
      <c r="D62" s="17" t="s">
        <v>235</v>
      </c>
      <c r="E62" s="29"/>
      <c r="F62" s="59" t="s">
        <v>236</v>
      </c>
      <c r="G62" s="15" t="s">
        <v>81</v>
      </c>
      <c r="H62" s="15" t="s">
        <v>81</v>
      </c>
      <c r="I62" s="15" t="s">
        <v>81</v>
      </c>
      <c r="J62" s="15" t="s">
        <v>81</v>
      </c>
      <c r="K62" s="18"/>
    </row>
    <row r="63" spans="1:11" ht="43.5" x14ac:dyDescent="0.35">
      <c r="A63" s="15" t="s">
        <v>179</v>
      </c>
      <c r="B63" s="25" t="s">
        <v>24</v>
      </c>
      <c r="C63" s="17" t="s">
        <v>180</v>
      </c>
      <c r="D63" s="17" t="s">
        <v>237</v>
      </c>
      <c r="E63" s="55" t="s">
        <v>16640</v>
      </c>
      <c r="F63" s="17"/>
      <c r="G63" s="15" t="s">
        <v>81</v>
      </c>
      <c r="H63" s="15" t="s">
        <v>81</v>
      </c>
      <c r="I63" s="15" t="s">
        <v>81</v>
      </c>
      <c r="J63" s="15" t="s">
        <v>81</v>
      </c>
      <c r="K63" s="18"/>
    </row>
    <row r="64" spans="1:11" ht="72.5" x14ac:dyDescent="0.35">
      <c r="A64" s="15" t="s">
        <v>16710</v>
      </c>
      <c r="B64" s="25" t="s">
        <v>24</v>
      </c>
      <c r="C64" s="17" t="s">
        <v>180</v>
      </c>
      <c r="D64" s="17" t="s">
        <v>16698</v>
      </c>
      <c r="E64" s="55" t="s">
        <v>16699</v>
      </c>
      <c r="F64" s="17" t="s">
        <v>16700</v>
      </c>
      <c r="G64" s="15" t="s">
        <v>81</v>
      </c>
      <c r="H64" s="15" t="s">
        <v>95</v>
      </c>
      <c r="I64" s="15" t="s">
        <v>95</v>
      </c>
      <c r="J64" s="15" t="s">
        <v>95</v>
      </c>
      <c r="K64" s="18"/>
    </row>
    <row r="65" spans="1:11" ht="58" x14ac:dyDescent="0.35">
      <c r="A65" s="15" t="s">
        <v>27</v>
      </c>
      <c r="B65" s="25" t="s">
        <v>24</v>
      </c>
      <c r="C65" s="17" t="s">
        <v>25</v>
      </c>
      <c r="D65" s="17" t="s">
        <v>205</v>
      </c>
      <c r="E65" s="18" t="s">
        <v>16949</v>
      </c>
      <c r="F65" s="17" t="s">
        <v>16950</v>
      </c>
      <c r="G65" s="15" t="s">
        <v>81</v>
      </c>
      <c r="H65" s="15" t="s">
        <v>81</v>
      </c>
      <c r="I65" s="15" t="s">
        <v>81</v>
      </c>
      <c r="J65" s="15" t="s">
        <v>81</v>
      </c>
      <c r="K65" s="18"/>
    </row>
    <row r="66" spans="1:11" ht="174" x14ac:dyDescent="0.35">
      <c r="A66" s="15" t="s">
        <v>28</v>
      </c>
      <c r="B66" s="25" t="s">
        <v>24</v>
      </c>
      <c r="C66" s="17" t="s">
        <v>25</v>
      </c>
      <c r="D66" s="17" t="s">
        <v>108</v>
      </c>
      <c r="E66" s="17" t="s">
        <v>206</v>
      </c>
      <c r="F66" s="18" t="s">
        <v>16641</v>
      </c>
      <c r="G66" s="15" t="s">
        <v>81</v>
      </c>
      <c r="H66" s="15" t="s">
        <v>81</v>
      </c>
      <c r="I66" s="15" t="s">
        <v>81</v>
      </c>
      <c r="J66" s="15" t="s">
        <v>81</v>
      </c>
      <c r="K66" s="18"/>
    </row>
    <row r="67" spans="1:11" ht="43.5" x14ac:dyDescent="0.35">
      <c r="A67" s="15" t="s">
        <v>126</v>
      </c>
      <c r="B67" s="25" t="s">
        <v>24</v>
      </c>
      <c r="C67" s="17" t="s">
        <v>25</v>
      </c>
      <c r="D67" s="17" t="s">
        <v>56</v>
      </c>
      <c r="E67" s="18" t="s">
        <v>16642</v>
      </c>
      <c r="F67" s="17"/>
      <c r="G67" s="15" t="s">
        <v>81</v>
      </c>
      <c r="H67" s="15" t="s">
        <v>81</v>
      </c>
      <c r="I67" s="15" t="s">
        <v>81</v>
      </c>
      <c r="J67" s="15" t="s">
        <v>81</v>
      </c>
      <c r="K67" s="18"/>
    </row>
    <row r="68" spans="1:11" ht="43.5" x14ac:dyDescent="0.35">
      <c r="A68" s="15" t="s">
        <v>29</v>
      </c>
      <c r="B68" s="25" t="s">
        <v>24</v>
      </c>
      <c r="C68" s="17" t="s">
        <v>109</v>
      </c>
      <c r="D68" s="17" t="s">
        <v>118</v>
      </c>
      <c r="E68" s="30" t="s">
        <v>119</v>
      </c>
      <c r="F68" s="18" t="s">
        <v>120</v>
      </c>
      <c r="G68" s="15" t="s">
        <v>81</v>
      </c>
      <c r="H68" s="15" t="s">
        <v>95</v>
      </c>
      <c r="I68" s="15" t="s">
        <v>95</v>
      </c>
      <c r="J68" s="15" t="s">
        <v>95</v>
      </c>
      <c r="K68" s="18"/>
    </row>
    <row r="69" spans="1:11" ht="159.5" x14ac:dyDescent="0.35">
      <c r="A69" s="24" t="s">
        <v>31</v>
      </c>
      <c r="B69" s="25" t="s">
        <v>24</v>
      </c>
      <c r="C69" s="26" t="s">
        <v>30</v>
      </c>
      <c r="D69" s="26" t="s">
        <v>57</v>
      </c>
      <c r="E69" s="45" t="s">
        <v>16643</v>
      </c>
      <c r="F69" s="26" t="s">
        <v>16951</v>
      </c>
      <c r="G69" s="24" t="s">
        <v>81</v>
      </c>
      <c r="H69" s="24" t="s">
        <v>81</v>
      </c>
      <c r="I69" s="24" t="s">
        <v>81</v>
      </c>
      <c r="J69" s="24" t="s">
        <v>81</v>
      </c>
      <c r="K69" s="45"/>
    </row>
    <row r="70" spans="1:11" ht="72.5" x14ac:dyDescent="0.35">
      <c r="A70" s="15" t="s">
        <v>32</v>
      </c>
      <c r="B70" s="25" t="s">
        <v>24</v>
      </c>
      <c r="C70" s="17" t="s">
        <v>60</v>
      </c>
      <c r="D70" s="17" t="s">
        <v>58</v>
      </c>
      <c r="E70" s="18" t="s">
        <v>207</v>
      </c>
      <c r="F70" s="17" t="s">
        <v>16952</v>
      </c>
      <c r="G70" s="15" t="s">
        <v>81</v>
      </c>
      <c r="H70" s="15" t="s">
        <v>81</v>
      </c>
      <c r="I70" s="15" t="s">
        <v>81</v>
      </c>
      <c r="J70" s="24" t="s">
        <v>81</v>
      </c>
      <c r="K70" s="18"/>
    </row>
    <row r="71" spans="1:11" ht="43.5" x14ac:dyDescent="0.35">
      <c r="A71" s="15" t="s">
        <v>61</v>
      </c>
      <c r="B71" s="25" t="s">
        <v>24</v>
      </c>
      <c r="C71" s="17" t="s">
        <v>60</v>
      </c>
      <c r="D71" s="17" t="s">
        <v>59</v>
      </c>
      <c r="E71" s="18" t="s">
        <v>16953</v>
      </c>
      <c r="F71" s="17"/>
      <c r="G71" s="15" t="s">
        <v>81</v>
      </c>
      <c r="H71" s="15" t="s">
        <v>81</v>
      </c>
      <c r="I71" s="15" t="s">
        <v>81</v>
      </c>
      <c r="J71" s="24" t="s">
        <v>81</v>
      </c>
      <c r="K71" s="18"/>
    </row>
    <row r="72" spans="1:11" ht="87" x14ac:dyDescent="0.35">
      <c r="A72" s="15" t="s">
        <v>127</v>
      </c>
      <c r="B72" s="25" t="s">
        <v>24</v>
      </c>
      <c r="C72" s="17" t="s">
        <v>208</v>
      </c>
      <c r="D72" s="17" t="s">
        <v>169</v>
      </c>
      <c r="E72" s="18" t="s">
        <v>16954</v>
      </c>
      <c r="F72" s="17"/>
      <c r="G72" s="15" t="s">
        <v>81</v>
      </c>
      <c r="H72" s="15" t="s">
        <v>81</v>
      </c>
      <c r="I72" s="15" t="s">
        <v>81</v>
      </c>
      <c r="J72" s="24" t="s">
        <v>81</v>
      </c>
      <c r="K72" s="18"/>
    </row>
    <row r="73" spans="1:11" ht="87" x14ac:dyDescent="0.35">
      <c r="A73" s="15" t="s">
        <v>33</v>
      </c>
      <c r="B73" s="25" t="s">
        <v>24</v>
      </c>
      <c r="C73" s="17" t="s">
        <v>208</v>
      </c>
      <c r="D73" s="17" t="s">
        <v>62</v>
      </c>
      <c r="E73" s="18" t="s">
        <v>16955</v>
      </c>
      <c r="F73" s="17"/>
      <c r="G73" s="15" t="s">
        <v>81</v>
      </c>
      <c r="H73" s="15" t="s">
        <v>81</v>
      </c>
      <c r="I73" s="15" t="s">
        <v>81</v>
      </c>
      <c r="J73" s="24" t="s">
        <v>81</v>
      </c>
      <c r="K73" s="18"/>
    </row>
    <row r="74" spans="1:11" ht="130.5" x14ac:dyDescent="0.35">
      <c r="A74" s="15" t="s">
        <v>34</v>
      </c>
      <c r="B74" s="25" t="s">
        <v>24</v>
      </c>
      <c r="C74" s="17" t="s">
        <v>209</v>
      </c>
      <c r="D74" s="17" t="s">
        <v>63</v>
      </c>
      <c r="E74" s="18" t="s">
        <v>16644</v>
      </c>
      <c r="F74" s="17"/>
      <c r="G74" s="15" t="s">
        <v>81</v>
      </c>
      <c r="H74" s="15" t="s">
        <v>81</v>
      </c>
      <c r="I74" s="15" t="s">
        <v>81</v>
      </c>
      <c r="J74" s="24" t="s">
        <v>81</v>
      </c>
      <c r="K74" s="18"/>
    </row>
    <row r="75" spans="1:11" ht="29" x14ac:dyDescent="0.35">
      <c r="A75" s="15" t="s">
        <v>36</v>
      </c>
      <c r="B75" s="25" t="s">
        <v>24</v>
      </c>
      <c r="C75" s="17" t="s">
        <v>209</v>
      </c>
      <c r="D75" s="17" t="s">
        <v>64</v>
      </c>
      <c r="E75" s="28"/>
      <c r="F75" s="18"/>
      <c r="G75" s="15" t="s">
        <v>81</v>
      </c>
      <c r="H75" s="15" t="s">
        <v>81</v>
      </c>
      <c r="I75" s="15" t="s">
        <v>81</v>
      </c>
      <c r="J75" s="24" t="s">
        <v>81</v>
      </c>
      <c r="K75" s="18"/>
    </row>
    <row r="76" spans="1:11" ht="43.5" x14ac:dyDescent="0.35">
      <c r="A76" s="15" t="s">
        <v>37</v>
      </c>
      <c r="B76" s="25" t="s">
        <v>24</v>
      </c>
      <c r="C76" s="17" t="s">
        <v>35</v>
      </c>
      <c r="D76" s="17" t="s">
        <v>212</v>
      </c>
      <c r="E76" s="30" t="s">
        <v>213</v>
      </c>
      <c r="F76" s="18" t="s">
        <v>158</v>
      </c>
      <c r="G76" s="15" t="s">
        <v>81</v>
      </c>
      <c r="H76" s="15" t="s">
        <v>81</v>
      </c>
      <c r="I76" s="15" t="s">
        <v>81</v>
      </c>
      <c r="J76" s="24" t="s">
        <v>81</v>
      </c>
      <c r="K76" s="18"/>
    </row>
    <row r="77" spans="1:11" ht="43.5" x14ac:dyDescent="0.35">
      <c r="A77" s="15" t="s">
        <v>38</v>
      </c>
      <c r="B77" s="25" t="s">
        <v>24</v>
      </c>
      <c r="C77" s="17" t="s">
        <v>35</v>
      </c>
      <c r="D77" s="17" t="s">
        <v>159</v>
      </c>
      <c r="E77" s="30" t="s">
        <v>213</v>
      </c>
      <c r="F77" s="18" t="s">
        <v>210</v>
      </c>
      <c r="G77" s="15" t="s">
        <v>81</v>
      </c>
      <c r="H77" s="15" t="s">
        <v>81</v>
      </c>
      <c r="I77" s="15" t="s">
        <v>81</v>
      </c>
      <c r="J77" s="24" t="s">
        <v>81</v>
      </c>
      <c r="K77" s="18"/>
    </row>
    <row r="78" spans="1:11" ht="43.5" x14ac:dyDescent="0.35">
      <c r="A78" s="15" t="s">
        <v>39</v>
      </c>
      <c r="B78" s="25" t="s">
        <v>24</v>
      </c>
      <c r="C78" s="17" t="s">
        <v>35</v>
      </c>
      <c r="D78" s="17" t="s">
        <v>211</v>
      </c>
      <c r="E78" s="18" t="s">
        <v>88</v>
      </c>
      <c r="F78" s="17"/>
      <c r="G78" s="15" t="s">
        <v>81</v>
      </c>
      <c r="H78" s="15" t="s">
        <v>81</v>
      </c>
      <c r="I78" s="15" t="s">
        <v>81</v>
      </c>
      <c r="J78" s="24" t="s">
        <v>81</v>
      </c>
      <c r="K78" s="18"/>
    </row>
    <row r="79" spans="1:11" ht="43.5" x14ac:dyDescent="0.35">
      <c r="A79" s="15" t="s">
        <v>40</v>
      </c>
      <c r="B79" s="25" t="s">
        <v>24</v>
      </c>
      <c r="C79" s="17" t="s">
        <v>35</v>
      </c>
      <c r="D79" s="17" t="s">
        <v>214</v>
      </c>
      <c r="E79" s="18" t="s">
        <v>215</v>
      </c>
      <c r="F79" s="17"/>
      <c r="G79" s="15" t="s">
        <v>81</v>
      </c>
      <c r="H79" s="15" t="s">
        <v>81</v>
      </c>
      <c r="I79" s="15" t="s">
        <v>81</v>
      </c>
      <c r="J79" s="15" t="s">
        <v>81</v>
      </c>
      <c r="K79" s="18"/>
    </row>
    <row r="80" spans="1:11" ht="101.5" x14ac:dyDescent="0.35">
      <c r="A80" s="24" t="s">
        <v>41</v>
      </c>
      <c r="B80" s="25" t="s">
        <v>24</v>
      </c>
      <c r="C80" s="26" t="s">
        <v>35</v>
      </c>
      <c r="D80" s="46" t="s">
        <v>220</v>
      </c>
      <c r="E80" s="46" t="s">
        <v>218</v>
      </c>
      <c r="F80" s="26" t="s">
        <v>219</v>
      </c>
      <c r="G80" s="24" t="s">
        <v>81</v>
      </c>
      <c r="H80" s="24" t="s">
        <v>81</v>
      </c>
      <c r="I80" s="24" t="s">
        <v>81</v>
      </c>
      <c r="J80" s="24" t="s">
        <v>81</v>
      </c>
      <c r="K80" s="45"/>
    </row>
    <row r="81" spans="1:11" ht="72.5" x14ac:dyDescent="0.35">
      <c r="A81" s="24" t="s">
        <v>156</v>
      </c>
      <c r="B81" s="25" t="s">
        <v>24</v>
      </c>
      <c r="C81" s="26" t="s">
        <v>35</v>
      </c>
      <c r="D81" s="26" t="s">
        <v>216</v>
      </c>
      <c r="E81" s="45" t="s">
        <v>217</v>
      </c>
      <c r="F81" s="26"/>
      <c r="G81" s="24" t="s">
        <v>95</v>
      </c>
      <c r="H81" s="24" t="s">
        <v>81</v>
      </c>
      <c r="I81" s="24" t="s">
        <v>81</v>
      </c>
      <c r="J81" s="24" t="s">
        <v>81</v>
      </c>
      <c r="K81" s="45"/>
    </row>
    <row r="82" spans="1:11" ht="43.5" x14ac:dyDescent="0.35">
      <c r="A82" s="24" t="s">
        <v>157</v>
      </c>
      <c r="B82" s="25" t="s">
        <v>24</v>
      </c>
      <c r="C82" s="26" t="s">
        <v>35</v>
      </c>
      <c r="D82" s="46" t="s">
        <v>170</v>
      </c>
      <c r="E82" s="46" t="s">
        <v>160</v>
      </c>
      <c r="F82" s="26"/>
      <c r="G82" s="24" t="s">
        <v>81</v>
      </c>
      <c r="H82" s="24" t="s">
        <v>81</v>
      </c>
      <c r="I82" s="24" t="s">
        <v>81</v>
      </c>
      <c r="J82" s="24" t="s">
        <v>81</v>
      </c>
      <c r="K82" s="45"/>
    </row>
    <row r="83" spans="1:11" ht="43.5" x14ac:dyDescent="0.35">
      <c r="A83" s="24" t="s">
        <v>16924</v>
      </c>
      <c r="B83" s="25" t="s">
        <v>24</v>
      </c>
      <c r="C83" s="26" t="s">
        <v>16925</v>
      </c>
      <c r="D83" s="100" t="s">
        <v>16926</v>
      </c>
      <c r="E83" s="46" t="s">
        <v>16891</v>
      </c>
      <c r="F83" s="26"/>
      <c r="G83" s="24"/>
      <c r="H83" s="24"/>
      <c r="I83" s="24"/>
      <c r="J83" s="24"/>
      <c r="K83" s="45"/>
    </row>
    <row r="84" spans="1:11" ht="29" x14ac:dyDescent="0.35">
      <c r="A84" s="24" t="s">
        <v>16914</v>
      </c>
      <c r="B84" s="17" t="s">
        <v>221</v>
      </c>
      <c r="C84" s="17" t="s">
        <v>16889</v>
      </c>
      <c r="D84" s="100" t="s">
        <v>16915</v>
      </c>
      <c r="E84" s="46" t="s">
        <v>16891</v>
      </c>
      <c r="F84" s="26"/>
      <c r="G84" s="24"/>
      <c r="H84" s="24"/>
      <c r="I84" s="24"/>
      <c r="J84" s="24"/>
      <c r="K84" s="45"/>
    </row>
    <row r="85" spans="1:11" ht="72.5" x14ac:dyDescent="0.35">
      <c r="A85" s="15" t="s">
        <v>16916</v>
      </c>
      <c r="B85" s="17" t="s">
        <v>221</v>
      </c>
      <c r="C85" s="17" t="s">
        <v>135</v>
      </c>
      <c r="D85" s="17" t="s">
        <v>222</v>
      </c>
      <c r="E85" s="18" t="s">
        <v>16875</v>
      </c>
      <c r="F85" s="17"/>
      <c r="G85" s="15" t="s">
        <v>81</v>
      </c>
      <c r="H85" s="15" t="s">
        <v>81</v>
      </c>
      <c r="I85" s="15" t="s">
        <v>81</v>
      </c>
      <c r="J85" s="24" t="s">
        <v>81</v>
      </c>
      <c r="K85" s="18"/>
    </row>
    <row r="86" spans="1:11" ht="58" x14ac:dyDescent="0.35">
      <c r="A86" s="15" t="s">
        <v>16917</v>
      </c>
      <c r="B86" s="17" t="s">
        <v>221</v>
      </c>
      <c r="C86" s="17" t="s">
        <v>135</v>
      </c>
      <c r="D86" s="17" t="s">
        <v>16736</v>
      </c>
      <c r="E86" s="45" t="s">
        <v>223</v>
      </c>
      <c r="F86" s="17"/>
      <c r="G86" s="15" t="s">
        <v>81</v>
      </c>
      <c r="H86" s="15" t="s">
        <v>81</v>
      </c>
      <c r="I86" s="15" t="s">
        <v>81</v>
      </c>
      <c r="J86" s="24" t="s">
        <v>81</v>
      </c>
      <c r="K86" s="18"/>
    </row>
    <row r="87" spans="1:11" ht="58" x14ac:dyDescent="0.35">
      <c r="A87" s="15" t="s">
        <v>16918</v>
      </c>
      <c r="B87" s="17" t="s">
        <v>221</v>
      </c>
      <c r="C87" s="17" t="s">
        <v>135</v>
      </c>
      <c r="D87" s="17" t="s">
        <v>65</v>
      </c>
      <c r="E87" s="18" t="s">
        <v>16645</v>
      </c>
      <c r="F87" s="17"/>
      <c r="G87" s="15" t="s">
        <v>81</v>
      </c>
      <c r="H87" s="15" t="s">
        <v>81</v>
      </c>
      <c r="I87" s="15" t="s">
        <v>81</v>
      </c>
      <c r="J87" s="24" t="s">
        <v>81</v>
      </c>
      <c r="K87" s="18"/>
    </row>
    <row r="88" spans="1:11" ht="58" x14ac:dyDescent="0.35">
      <c r="A88" s="15" t="s">
        <v>16919</v>
      </c>
      <c r="B88" s="17" t="s">
        <v>221</v>
      </c>
      <c r="C88" s="17" t="s">
        <v>135</v>
      </c>
      <c r="D88" s="17" t="s">
        <v>66</v>
      </c>
      <c r="E88" s="18" t="s">
        <v>16876</v>
      </c>
      <c r="F88" s="17"/>
      <c r="G88" s="15" t="s">
        <v>81</v>
      </c>
      <c r="H88" s="15" t="s">
        <v>95</v>
      </c>
      <c r="I88" s="15" t="s">
        <v>95</v>
      </c>
      <c r="J88" s="15" t="s">
        <v>95</v>
      </c>
      <c r="K88" s="18"/>
    </row>
    <row r="89" spans="1:11" ht="58" x14ac:dyDescent="0.35">
      <c r="A89" s="15" t="s">
        <v>16920</v>
      </c>
      <c r="B89" s="17" t="s">
        <v>221</v>
      </c>
      <c r="C89" s="17" t="s">
        <v>135</v>
      </c>
      <c r="D89" s="17" t="s">
        <v>226</v>
      </c>
      <c r="E89" s="18" t="s">
        <v>16877</v>
      </c>
      <c r="F89" s="17"/>
      <c r="G89" s="15" t="s">
        <v>81</v>
      </c>
      <c r="H89" s="15" t="s">
        <v>81</v>
      </c>
      <c r="I89" s="15" t="s">
        <v>81</v>
      </c>
      <c r="J89" s="15" t="s">
        <v>81</v>
      </c>
      <c r="K89" s="18"/>
    </row>
    <row r="90" spans="1:11" ht="29" x14ac:dyDescent="0.35">
      <c r="A90" s="15" t="s">
        <v>16921</v>
      </c>
      <c r="B90" s="17" t="s">
        <v>221</v>
      </c>
      <c r="C90" s="17" t="s">
        <v>135</v>
      </c>
      <c r="D90" s="17" t="s">
        <v>227</v>
      </c>
      <c r="E90" s="18" t="s">
        <v>228</v>
      </c>
      <c r="F90" s="17"/>
      <c r="G90" s="15" t="s">
        <v>81</v>
      </c>
      <c r="H90" s="15" t="s">
        <v>81</v>
      </c>
      <c r="I90" s="15" t="s">
        <v>81</v>
      </c>
      <c r="J90" s="15" t="s">
        <v>81</v>
      </c>
      <c r="K90" s="18"/>
    </row>
    <row r="91" spans="1:11" ht="29" x14ac:dyDescent="0.35">
      <c r="A91" s="15" t="s">
        <v>16910</v>
      </c>
      <c r="B91" s="92" t="s">
        <v>49</v>
      </c>
      <c r="C91" s="17" t="s">
        <v>16889</v>
      </c>
      <c r="D91" s="17" t="s">
        <v>16911</v>
      </c>
      <c r="E91" s="29" t="s">
        <v>16891</v>
      </c>
      <c r="F91" s="17"/>
      <c r="G91" s="15"/>
      <c r="H91" s="15"/>
      <c r="I91" s="15"/>
      <c r="J91" s="15"/>
      <c r="K91" s="18"/>
    </row>
    <row r="92" spans="1:11" ht="29" x14ac:dyDescent="0.35">
      <c r="A92" s="15" t="s">
        <v>16711</v>
      </c>
      <c r="B92" s="92" t="s">
        <v>49</v>
      </c>
      <c r="C92" s="18" t="s">
        <v>50</v>
      </c>
      <c r="D92" s="18" t="s">
        <v>238</v>
      </c>
      <c r="E92" s="95"/>
      <c r="F92" s="23"/>
      <c r="G92" s="15" t="s">
        <v>81</v>
      </c>
      <c r="H92" s="15" t="s">
        <v>81</v>
      </c>
      <c r="I92" s="15" t="s">
        <v>81</v>
      </c>
      <c r="J92" s="15" t="s">
        <v>81</v>
      </c>
      <c r="K92" s="23"/>
    </row>
    <row r="93" spans="1:11" ht="29" x14ac:dyDescent="0.35">
      <c r="A93" s="15" t="s">
        <v>16712</v>
      </c>
      <c r="B93" s="25" t="s">
        <v>49</v>
      </c>
      <c r="C93" s="26" t="s">
        <v>50</v>
      </c>
      <c r="D93" s="26" t="s">
        <v>16956</v>
      </c>
      <c r="E93" s="46" t="s">
        <v>16683</v>
      </c>
      <c r="F93" s="17"/>
      <c r="G93" s="15" t="s">
        <v>81</v>
      </c>
      <c r="H93" s="15" t="s">
        <v>95</v>
      </c>
      <c r="I93" s="15" t="s">
        <v>95</v>
      </c>
      <c r="J93" s="15" t="s">
        <v>95</v>
      </c>
      <c r="K93" s="18"/>
    </row>
    <row r="94" spans="1:11" ht="145" x14ac:dyDescent="0.35">
      <c r="A94" s="15" t="s">
        <v>16713</v>
      </c>
      <c r="B94" s="25" t="s">
        <v>49</v>
      </c>
      <c r="C94" s="17" t="s">
        <v>51</v>
      </c>
      <c r="D94" s="17" t="s">
        <v>239</v>
      </c>
      <c r="E94" s="29" t="s">
        <v>16878</v>
      </c>
      <c r="F94" s="18" t="s">
        <v>16646</v>
      </c>
      <c r="G94" s="15" t="s">
        <v>81</v>
      </c>
      <c r="H94" s="15" t="s">
        <v>81</v>
      </c>
      <c r="I94" s="15" t="s">
        <v>95</v>
      </c>
      <c r="J94" s="15" t="s">
        <v>95</v>
      </c>
      <c r="K94" s="18"/>
    </row>
    <row r="95" spans="1:11" ht="29" x14ac:dyDescent="0.35">
      <c r="A95" s="15" t="s">
        <v>16714</v>
      </c>
      <c r="B95" s="25" t="s">
        <v>49</v>
      </c>
      <c r="C95" s="17" t="s">
        <v>51</v>
      </c>
      <c r="D95" s="17" t="s">
        <v>16647</v>
      </c>
      <c r="E95" s="29"/>
      <c r="F95" s="17"/>
      <c r="G95" s="15" t="s">
        <v>81</v>
      </c>
      <c r="H95" s="15" t="s">
        <v>81</v>
      </c>
      <c r="I95" s="15" t="s">
        <v>95</v>
      </c>
      <c r="J95" s="15" t="s">
        <v>95</v>
      </c>
      <c r="K95" s="18"/>
    </row>
    <row r="96" spans="1:11" ht="43.5" x14ac:dyDescent="0.35">
      <c r="A96" s="15" t="s">
        <v>16750</v>
      </c>
      <c r="B96" s="25" t="s">
        <v>49</v>
      </c>
      <c r="C96" s="17" t="s">
        <v>51</v>
      </c>
      <c r="D96" s="17" t="s">
        <v>16733</v>
      </c>
      <c r="E96" s="29" t="s">
        <v>16957</v>
      </c>
      <c r="F96" s="17" t="s">
        <v>240</v>
      </c>
      <c r="G96" s="15" t="s">
        <v>81</v>
      </c>
      <c r="H96" s="15" t="s">
        <v>81</v>
      </c>
      <c r="I96" s="15" t="s">
        <v>95</v>
      </c>
      <c r="J96" s="15" t="s">
        <v>95</v>
      </c>
      <c r="K96" s="18"/>
    </row>
    <row r="97" spans="1:11" ht="43.5" x14ac:dyDescent="0.35">
      <c r="A97" s="15" t="s">
        <v>16751</v>
      </c>
      <c r="B97" s="25" t="s">
        <v>49</v>
      </c>
      <c r="C97" s="17" t="s">
        <v>51</v>
      </c>
      <c r="D97" s="17" t="s">
        <v>16734</v>
      </c>
      <c r="E97" s="29" t="s">
        <v>16735</v>
      </c>
      <c r="F97" s="17"/>
      <c r="G97" s="15" t="s">
        <v>81</v>
      </c>
      <c r="H97" s="15" t="s">
        <v>81</v>
      </c>
      <c r="I97" s="15" t="s">
        <v>95</v>
      </c>
      <c r="J97" s="15" t="s">
        <v>95</v>
      </c>
      <c r="K97" s="18"/>
    </row>
    <row r="98" spans="1:11" ht="58" x14ac:dyDescent="0.35">
      <c r="A98" s="15" t="s">
        <v>16715</v>
      </c>
      <c r="B98" s="25" t="s">
        <v>49</v>
      </c>
      <c r="C98" s="26" t="s">
        <v>51</v>
      </c>
      <c r="D98" s="44" t="s">
        <v>16958</v>
      </c>
      <c r="E98" s="29" t="s">
        <v>16959</v>
      </c>
      <c r="F98" s="17"/>
      <c r="G98" s="15" t="s">
        <v>81</v>
      </c>
      <c r="H98" s="15" t="s">
        <v>81</v>
      </c>
      <c r="I98" s="15" t="s">
        <v>95</v>
      </c>
      <c r="J98" s="15" t="s">
        <v>95</v>
      </c>
      <c r="K98" s="18"/>
    </row>
    <row r="99" spans="1:11" ht="58" x14ac:dyDescent="0.35">
      <c r="A99" s="15" t="s">
        <v>16716</v>
      </c>
      <c r="B99" s="25" t="s">
        <v>49</v>
      </c>
      <c r="C99" s="26" t="s">
        <v>51</v>
      </c>
      <c r="D99" s="26" t="s">
        <v>16701</v>
      </c>
      <c r="E99" s="43" t="s">
        <v>16702</v>
      </c>
      <c r="F99" s="17"/>
      <c r="G99" s="15" t="s">
        <v>81</v>
      </c>
      <c r="H99" s="15" t="s">
        <v>81</v>
      </c>
      <c r="I99" s="15" t="s">
        <v>95</v>
      </c>
      <c r="J99" s="15" t="s">
        <v>95</v>
      </c>
      <c r="K99" s="18"/>
    </row>
    <row r="100" spans="1:11" ht="43.5" x14ac:dyDescent="0.35">
      <c r="A100" s="15" t="s">
        <v>16717</v>
      </c>
      <c r="B100" s="25" t="s">
        <v>49</v>
      </c>
      <c r="C100" s="17" t="s">
        <v>241</v>
      </c>
      <c r="D100" s="17" t="s">
        <v>16962</v>
      </c>
      <c r="E100" s="29" t="s">
        <v>16965</v>
      </c>
      <c r="F100" s="17"/>
      <c r="G100" s="15" t="s">
        <v>81</v>
      </c>
      <c r="H100" s="15" t="s">
        <v>81</v>
      </c>
      <c r="I100" s="15" t="s">
        <v>95</v>
      </c>
      <c r="J100" s="15" t="s">
        <v>95</v>
      </c>
      <c r="K100" s="18"/>
    </row>
    <row r="101" spans="1:11" ht="87" x14ac:dyDescent="0.35">
      <c r="A101" s="15" t="s">
        <v>16718</v>
      </c>
      <c r="B101" s="25" t="s">
        <v>49</v>
      </c>
      <c r="C101" s="26" t="s">
        <v>241</v>
      </c>
      <c r="D101" s="44" t="s">
        <v>16960</v>
      </c>
      <c r="E101" s="29" t="s">
        <v>16963</v>
      </c>
      <c r="F101" s="17"/>
      <c r="G101" s="15" t="s">
        <v>81</v>
      </c>
      <c r="H101" s="15" t="s">
        <v>81</v>
      </c>
      <c r="I101" s="15" t="s">
        <v>95</v>
      </c>
      <c r="J101" s="15" t="s">
        <v>95</v>
      </c>
      <c r="K101" s="18"/>
    </row>
    <row r="102" spans="1:11" ht="130.5" x14ac:dyDescent="0.35">
      <c r="A102" s="15" t="s">
        <v>16719</v>
      </c>
      <c r="B102" s="25" t="s">
        <v>49</v>
      </c>
      <c r="C102" s="26" t="s">
        <v>241</v>
      </c>
      <c r="D102" s="44" t="s">
        <v>16879</v>
      </c>
      <c r="E102" s="29" t="s">
        <v>16964</v>
      </c>
      <c r="F102" s="17"/>
      <c r="G102" s="15" t="s">
        <v>81</v>
      </c>
      <c r="H102" s="15" t="s">
        <v>81</v>
      </c>
      <c r="I102" s="15" t="s">
        <v>95</v>
      </c>
      <c r="J102" s="15" t="s">
        <v>95</v>
      </c>
      <c r="K102" s="18"/>
    </row>
    <row r="103" spans="1:11" ht="72.5" x14ac:dyDescent="0.35">
      <c r="A103" s="15" t="s">
        <v>93</v>
      </c>
      <c r="B103" s="26" t="s">
        <v>94</v>
      </c>
      <c r="C103" s="17" t="s">
        <v>135</v>
      </c>
      <c r="D103" s="17" t="s">
        <v>112</v>
      </c>
      <c r="E103" s="18" t="s">
        <v>16648</v>
      </c>
      <c r="F103" s="18" t="s">
        <v>242</v>
      </c>
      <c r="G103" s="15" t="s">
        <v>81</v>
      </c>
      <c r="H103" s="15" t="s">
        <v>81</v>
      </c>
      <c r="I103" s="15" t="s">
        <v>81</v>
      </c>
      <c r="J103" s="15" t="s">
        <v>81</v>
      </c>
      <c r="K103" s="18"/>
    </row>
    <row r="104" spans="1:11" ht="87" x14ac:dyDescent="0.35">
      <c r="A104" s="15" t="s">
        <v>16752</v>
      </c>
      <c r="B104" s="26" t="s">
        <v>94</v>
      </c>
      <c r="C104" s="17" t="s">
        <v>135</v>
      </c>
      <c r="D104" s="18" t="s">
        <v>16731</v>
      </c>
      <c r="E104" s="17" t="s">
        <v>16730</v>
      </c>
      <c r="F104" s="17"/>
      <c r="G104" s="15" t="s">
        <v>81</v>
      </c>
      <c r="H104" s="15" t="s">
        <v>81</v>
      </c>
      <c r="I104" s="15" t="s">
        <v>81</v>
      </c>
      <c r="J104" s="15" t="s">
        <v>81</v>
      </c>
      <c r="K104" s="18"/>
    </row>
    <row r="105" spans="1:11" ht="87" x14ac:dyDescent="0.35">
      <c r="A105" s="15" t="s">
        <v>16753</v>
      </c>
      <c r="B105" s="26" t="s">
        <v>94</v>
      </c>
      <c r="C105" s="17" t="s">
        <v>135</v>
      </c>
      <c r="D105" s="18" t="s">
        <v>16732</v>
      </c>
      <c r="E105" s="17" t="s">
        <v>16730</v>
      </c>
      <c r="F105" s="17"/>
      <c r="G105" s="15" t="s">
        <v>81</v>
      </c>
      <c r="H105" s="15" t="s">
        <v>81</v>
      </c>
      <c r="I105" s="15" t="s">
        <v>81</v>
      </c>
      <c r="J105" s="15" t="s">
        <v>81</v>
      </c>
      <c r="K105" s="18"/>
    </row>
    <row r="106" spans="1:11" ht="29" x14ac:dyDescent="0.35">
      <c r="A106" s="15" t="s">
        <v>16912</v>
      </c>
      <c r="B106" s="25" t="s">
        <v>16726</v>
      </c>
      <c r="C106" s="17" t="s">
        <v>16889</v>
      </c>
      <c r="D106" s="17" t="s">
        <v>16913</v>
      </c>
      <c r="E106" s="29" t="s">
        <v>16891</v>
      </c>
      <c r="F106" s="17"/>
      <c r="G106" s="15"/>
      <c r="H106" s="15"/>
      <c r="I106" s="15"/>
      <c r="J106" s="15"/>
      <c r="K106" s="18"/>
    </row>
    <row r="107" spans="1:11" ht="72.5" x14ac:dyDescent="0.35">
      <c r="A107" s="15" t="s">
        <v>16754</v>
      </c>
      <c r="B107" s="25" t="s">
        <v>16726</v>
      </c>
      <c r="C107" s="17" t="s">
        <v>135</v>
      </c>
      <c r="D107" s="17" t="s">
        <v>16727</v>
      </c>
      <c r="E107" s="29" t="s">
        <v>16880</v>
      </c>
      <c r="F107" s="17" t="s">
        <v>16729</v>
      </c>
      <c r="G107" s="15" t="s">
        <v>81</v>
      </c>
      <c r="H107" s="15" t="s">
        <v>81</v>
      </c>
      <c r="I107" s="15" t="s">
        <v>81</v>
      </c>
      <c r="J107" s="15" t="s">
        <v>81</v>
      </c>
      <c r="K107" s="18"/>
    </row>
    <row r="108" spans="1:11" ht="43.5" x14ac:dyDescent="0.35">
      <c r="A108" s="15" t="s">
        <v>16755</v>
      </c>
      <c r="B108" s="25" t="s">
        <v>16726</v>
      </c>
      <c r="C108" s="17" t="s">
        <v>135</v>
      </c>
      <c r="D108" s="17" t="s">
        <v>16741</v>
      </c>
      <c r="E108" s="29" t="s">
        <v>16728</v>
      </c>
      <c r="F108" s="17"/>
      <c r="G108" s="15" t="s">
        <v>81</v>
      </c>
      <c r="H108" s="15" t="s">
        <v>81</v>
      </c>
      <c r="I108" s="15" t="s">
        <v>81</v>
      </c>
      <c r="J108" s="15" t="s">
        <v>81</v>
      </c>
      <c r="K108" s="18"/>
    </row>
    <row r="109" spans="1:11" ht="319" x14ac:dyDescent="0.35">
      <c r="A109" s="15" t="s">
        <v>16756</v>
      </c>
      <c r="B109" s="25" t="s">
        <v>16907</v>
      </c>
      <c r="C109" s="17" t="s">
        <v>135</v>
      </c>
      <c r="D109" s="17" t="s">
        <v>16881</v>
      </c>
      <c r="E109" s="29" t="s">
        <v>16722</v>
      </c>
      <c r="F109" s="17" t="s">
        <v>16725</v>
      </c>
      <c r="G109" s="15" t="s">
        <v>81</v>
      </c>
      <c r="H109" s="15" t="s">
        <v>81</v>
      </c>
      <c r="I109" s="15" t="s">
        <v>81</v>
      </c>
      <c r="J109" s="15"/>
      <c r="K109" s="18"/>
    </row>
  </sheetData>
  <conditionalFormatting sqref="E12 E7:E8 E51 E54">
    <cfRule type="expression" dxfId="23" priority="23">
      <formula>#REF!="no"</formula>
    </cfRule>
  </conditionalFormatting>
  <conditionalFormatting sqref="F93 F50 F11 E95:F96 F85:F89 E98:F98 F97 E103:F103 F6">
    <cfRule type="expression" dxfId="22" priority="24">
      <formula>$E6="no"</formula>
    </cfRule>
  </conditionalFormatting>
  <conditionalFormatting sqref="F94 C99:D101">
    <cfRule type="expression" dxfId="21" priority="25">
      <formula>$F94="no"</formula>
    </cfRule>
  </conditionalFormatting>
  <conditionalFormatting sqref="E52">
    <cfRule type="expression" dxfId="20" priority="2">
      <formula>#REF!="no"</formula>
    </cfRule>
  </conditionalFormatting>
  <conditionalFormatting sqref="E53">
    <cfRule type="expression" dxfId="19" priority="1">
      <formula>#REF!="no"</formula>
    </cfRule>
  </conditionalFormatting>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8" tint="0.79998168889431442"/>
  </sheetPr>
  <dimension ref="A1:D13"/>
  <sheetViews>
    <sheetView workbookViewId="0">
      <selection activeCell="B2" sqref="B2"/>
    </sheetView>
  </sheetViews>
  <sheetFormatPr defaultRowHeight="14.5" x14ac:dyDescent="0.35"/>
  <cols>
    <col min="1" max="1" width="10" customWidth="1"/>
    <col min="2" max="2" width="64" customWidth="1"/>
    <col min="3" max="3" width="14.54296875" customWidth="1"/>
    <col min="4" max="4" width="17.453125" customWidth="1"/>
  </cols>
  <sheetData>
    <row r="1" spans="1:4" x14ac:dyDescent="0.35">
      <c r="A1" s="35" t="s">
        <v>90</v>
      </c>
      <c r="B1" s="35" t="s">
        <v>82</v>
      </c>
      <c r="C1" s="35" t="s">
        <v>144</v>
      </c>
      <c r="D1" s="35" t="s">
        <v>145</v>
      </c>
    </row>
    <row r="2" spans="1:4" ht="29" x14ac:dyDescent="0.35">
      <c r="A2" s="96" t="s">
        <v>16977</v>
      </c>
      <c r="B2" s="97" t="s">
        <v>16978</v>
      </c>
      <c r="C2" s="96"/>
      <c r="D2" s="96"/>
    </row>
    <row r="3" spans="1:4" ht="43.5" x14ac:dyDescent="0.35">
      <c r="A3" s="96" t="s">
        <v>16966</v>
      </c>
      <c r="B3" s="97" t="s">
        <v>16967</v>
      </c>
      <c r="C3" s="96"/>
      <c r="D3" s="96"/>
    </row>
    <row r="4" spans="1:4" ht="29" x14ac:dyDescent="0.35">
      <c r="A4" s="96" t="s">
        <v>2</v>
      </c>
      <c r="B4" s="97" t="s">
        <v>16927</v>
      </c>
      <c r="C4" s="98">
        <v>42893</v>
      </c>
      <c r="D4" s="96" t="s">
        <v>16759</v>
      </c>
    </row>
    <row r="5" spans="1:4" ht="29" x14ac:dyDescent="0.35">
      <c r="A5" s="96" t="s">
        <v>16758</v>
      </c>
      <c r="B5" s="97" t="s">
        <v>16922</v>
      </c>
      <c r="C5" s="98">
        <v>42891</v>
      </c>
      <c r="D5" s="96" t="s">
        <v>16759</v>
      </c>
    </row>
    <row r="6" spans="1:4" ht="145" x14ac:dyDescent="0.35">
      <c r="A6" s="37" t="s">
        <v>16684</v>
      </c>
      <c r="B6" s="38" t="s">
        <v>16757</v>
      </c>
      <c r="C6" s="39">
        <v>42824</v>
      </c>
      <c r="D6" s="37" t="s">
        <v>16685</v>
      </c>
    </row>
    <row r="7" spans="1:4" ht="29" x14ac:dyDescent="0.35">
      <c r="A7" s="37" t="s">
        <v>16680</v>
      </c>
      <c r="B7" s="38" t="s">
        <v>16681</v>
      </c>
      <c r="C7" s="39">
        <v>42782</v>
      </c>
      <c r="D7" s="37" t="s">
        <v>146</v>
      </c>
    </row>
    <row r="8" spans="1:4" x14ac:dyDescent="0.35">
      <c r="A8" s="37" t="s">
        <v>16662</v>
      </c>
      <c r="B8" s="38" t="s">
        <v>16678</v>
      </c>
      <c r="C8" s="39">
        <v>42723</v>
      </c>
      <c r="D8" s="37" t="s">
        <v>146</v>
      </c>
    </row>
    <row r="9" spans="1:4" x14ac:dyDescent="0.35">
      <c r="A9" s="37" t="s">
        <v>16662</v>
      </c>
      <c r="B9" s="38" t="s">
        <v>16663</v>
      </c>
      <c r="C9" s="39">
        <v>42711</v>
      </c>
      <c r="D9" s="37"/>
    </row>
    <row r="10" spans="1:4" x14ac:dyDescent="0.35">
      <c r="A10" s="37" t="s">
        <v>153</v>
      </c>
      <c r="B10" s="38" t="s">
        <v>16679</v>
      </c>
      <c r="C10" s="39">
        <v>42488</v>
      </c>
      <c r="D10" s="37"/>
    </row>
    <row r="11" spans="1:4" ht="72.5" x14ac:dyDescent="0.35">
      <c r="A11" s="37" t="s">
        <v>150</v>
      </c>
      <c r="B11" s="38" t="s">
        <v>152</v>
      </c>
      <c r="C11" s="39">
        <v>42443</v>
      </c>
      <c r="D11" s="38" t="s">
        <v>151</v>
      </c>
    </row>
    <row r="12" spans="1:4" ht="29" x14ac:dyDescent="0.35">
      <c r="A12" s="40" t="s">
        <v>142</v>
      </c>
      <c r="B12" s="18" t="s">
        <v>143</v>
      </c>
      <c r="C12" s="41">
        <v>42012</v>
      </c>
      <c r="D12" s="40" t="s">
        <v>146</v>
      </c>
    </row>
    <row r="13" spans="1:4" x14ac:dyDescent="0.35">
      <c r="A13" s="40" t="s">
        <v>137</v>
      </c>
      <c r="B13" s="18" t="s">
        <v>140</v>
      </c>
      <c r="C13" s="41">
        <v>42705</v>
      </c>
      <c r="D13" s="40" t="s">
        <v>146</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8C50896287D2B4DBFF9C38007BF8C39" ma:contentTypeVersion="4" ma:contentTypeDescription="Create a new document." ma:contentTypeScope="" ma:versionID="941a67f442fc38f1b8c6317967551f47">
  <xsd:schema xmlns:xsd="http://www.w3.org/2001/XMLSchema" xmlns:xs="http://www.w3.org/2001/XMLSchema" xmlns:p="http://schemas.microsoft.com/office/2006/metadata/properties" xmlns:ns2="b6c9cd30-7b23-4755-93cc-3084a01be74b" targetNamespace="http://schemas.microsoft.com/office/2006/metadata/properties" ma:root="true" ma:fieldsID="7412f4db9c8975e29f62b4b50d6b7669" ns2:_="">
    <xsd:import namespace="b6c9cd30-7b23-4755-93cc-3084a01be74b"/>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c9cd30-7b23-4755-93cc-3084a01be74b"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description="" ma:internalName="MediaServiceAutoTags" ma:readOnly="true">
      <xsd:simpleType>
        <xsd:restriction base="dms:Text"/>
      </xsd:simpleType>
    </xsd:element>
    <xsd:element name="MediaServiceDateTaken" ma:index="11" nillable="true" ma:displayName="MediaServiceDateTaken" ma:descriptio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C4AD232-1779-4340-84CD-AC1F0A3C725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c9cd30-7b23-4755-93cc-3084a01be7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5B8AF20-AA34-4CC1-B928-98A300530FA6}">
  <ds:schemaRefs>
    <ds:schemaRef ds:uri="http://schemas.microsoft.com/sharepoint/v3/contenttype/forms"/>
  </ds:schemaRefs>
</ds:datastoreItem>
</file>

<file path=customXml/itemProps3.xml><?xml version="1.0" encoding="utf-8"?>
<ds:datastoreItem xmlns:ds="http://schemas.openxmlformats.org/officeDocument/2006/customXml" ds:itemID="{FD51CCEB-583C-4EE2-9CEB-439AD8F91FDA}">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b6c9cd30-7b23-4755-93cc-3084a01be74b"/>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Cover Page</vt:lpstr>
      <vt:lpstr>Project Features</vt:lpstr>
      <vt:lpstr>ModalTaxonomy</vt:lpstr>
      <vt:lpstr>Guide - Desktop</vt:lpstr>
      <vt:lpstr>Guide - Mobile (M.dot)</vt:lpstr>
      <vt:lpstr>Guide - Native App</vt:lpstr>
      <vt:lpstr>Known JAWS Issues</vt:lpstr>
      <vt:lpstr>Guide - Base Content</vt:lpstr>
      <vt:lpstr>VersionInfo</vt:lpstr>
      <vt:lpstr>'Guide - Base Content'!_Toc424652846</vt:lpstr>
      <vt:lpstr>'Cover Page'!Print_Titles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Glenn Bradford</dc:creator>
  <cp:lastModifiedBy>Johnson, Ryan</cp:lastModifiedBy>
  <cp:lastPrinted>2017-06-19T13:46:57Z</cp:lastPrinted>
  <dcterms:created xsi:type="dcterms:W3CDTF">2015-06-23T18:34:01Z</dcterms:created>
  <dcterms:modified xsi:type="dcterms:W3CDTF">2018-04-03T23:14:13Z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0x010100D8C50896287D2B4DBFF9C38007BF8C39</vt:lpwstr>
  </property>
</Properties>
</file>