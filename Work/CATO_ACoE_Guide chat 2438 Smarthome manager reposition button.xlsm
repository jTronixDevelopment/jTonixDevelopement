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codeName="ThisWorkbook"/>
  <mc:AlternateContent xmlns:mc="http://schemas.openxmlformats.org/markup-compatibility/2006">
    <mc:Choice Requires="x15">
      <x15ac:absPath xmlns:x15ac="http://schemas.microsoft.com/office/spreadsheetml/2010/11/ac" url="C:\Users\ryan.johnson\Desktop\"/>
    </mc:Choice>
  </mc:AlternateContent>
  <xr:revisionPtr revIDLastSave="0" documentId="13_ncr:1_{AB4067C1-D536-4351-A92A-1A9A340174FC}" xr6:coauthVersionLast="28" xr6:coauthVersionMax="28" xr10:uidLastSave="{00000000-0000-0000-0000-000000000000}"/>
  <bookViews>
    <workbookView xWindow="0" yWindow="0" windowWidth="19200" windowHeight="7080" tabRatio="711" activeTab="2" xr2:uid="{00000000-000D-0000-FFFF-FFFF00000000}"/>
  </bookViews>
  <sheets>
    <sheet name="Cover Page" sheetId="9" r:id="rId1"/>
    <sheet name="Project Scope" sheetId="3" r:id="rId2"/>
    <sheet name="Requirements &amp; Testing" sheetId="4" r:id="rId3"/>
    <sheet name="Standards_Reference" sheetId="5" state="hidden" r:id="rId4"/>
    <sheet name="Solutions_Reference" sheetId="6" state="hidden" r:id="rId5"/>
    <sheet name="Data" sheetId="7" state="hidden" r:id="rId6"/>
    <sheet name="Definitions" sheetId="11" r:id="rId7"/>
    <sheet name="Version" sheetId="10" state="hidden" r:id="rId8"/>
    <sheet name="Solution Generic Name" sheetId="8" state="hidden" r:id="rId9"/>
  </sheets>
  <externalReferences>
    <externalReference r:id="rId10"/>
  </externalReferences>
  <definedNames>
    <definedName name="arcTarget" localSheetId="6">[1]Data!$B$2</definedName>
    <definedName name="arcTarget" localSheetId="7">Data!$B$2</definedName>
    <definedName name="arcTarget">Data!$B$3</definedName>
    <definedName name="Compliance" localSheetId="6">#REF!</definedName>
    <definedName name="Compliance" localSheetId="7">#REF!</definedName>
    <definedName name="Internal">Data!$B$2</definedName>
    <definedName name="_xlnm.Print_Titles" localSheetId="0">'Cover Page'!$3:$3</definedName>
    <definedName name="_xlnm.Print_Titles" localSheetId="2">'Requirements &amp; Testing'!$A:$A,'Requirements &amp; Testing'!$19:$19</definedName>
    <definedName name="solutions" localSheetId="4">Solutions_Reference!$A$1:$H$59</definedName>
    <definedName name="solutions_1" localSheetId="4">Solutions_Reference!$A$1:$H$59</definedName>
    <definedName name="solutions_2" localSheetId="4">Solutions_Reference!$A$1:$H$58</definedName>
    <definedName name="solutions_3" localSheetId="4">Solutions_Reference!$A$1:$H$59</definedName>
    <definedName name="solutions_4" localSheetId="4">Solutions_Reference!$A$1:$H$58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0" i="3" l="1"/>
  <c r="L222" i="4" l="1"/>
  <c r="I222" i="4"/>
  <c r="E222" i="4"/>
  <c r="B222" i="4"/>
  <c r="A38" i="3" l="1"/>
  <c r="L21" i="4" l="1"/>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3" i="4"/>
  <c r="L224" i="4"/>
  <c r="L20" i="4"/>
  <c r="E16" i="4" l="1"/>
  <c r="B3" i="3"/>
  <c r="C10" i="9"/>
  <c r="M6" i="4"/>
  <c r="A15" i="4" l="1"/>
  <c r="B13" i="4"/>
  <c r="A48" i="3" l="1"/>
  <c r="A21" i="3"/>
  <c r="A37" i="3"/>
  <c r="A8" i="3" l="1"/>
  <c r="A20" i="9" l="1"/>
  <c r="A69" i="3"/>
  <c r="B63" i="4" l="1"/>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3" i="4"/>
  <c r="B224"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62" i="4"/>
  <c r="B61" i="4"/>
  <c r="B57" i="4"/>
  <c r="B58" i="4"/>
  <c r="B59" i="4"/>
  <c r="B60" i="4"/>
  <c r="E60" i="4" l="1"/>
  <c r="E58" i="4"/>
  <c r="E59" i="4" l="1"/>
  <c r="I59" i="4"/>
  <c r="I58" i="4"/>
  <c r="I60" i="4"/>
  <c r="I224" i="4"/>
  <c r="E224" i="4"/>
  <c r="I223" i="4"/>
  <c r="E223" i="4"/>
  <c r="I221" i="4"/>
  <c r="E221" i="4"/>
  <c r="I220" i="4"/>
  <c r="E220" i="4"/>
  <c r="I219" i="4"/>
  <c r="E219" i="4"/>
  <c r="I218" i="4"/>
  <c r="E218" i="4"/>
  <c r="I217" i="4"/>
  <c r="E217" i="4"/>
  <c r="I216" i="4"/>
  <c r="E216" i="4"/>
  <c r="I215" i="4"/>
  <c r="E215" i="4"/>
  <c r="I214" i="4"/>
  <c r="E214" i="4"/>
  <c r="I213" i="4"/>
  <c r="E213" i="4"/>
  <c r="I212" i="4"/>
  <c r="E212" i="4"/>
  <c r="I211" i="4"/>
  <c r="E211" i="4"/>
  <c r="I210" i="4"/>
  <c r="E210" i="4"/>
  <c r="I209" i="4"/>
  <c r="E209" i="4"/>
  <c r="I208" i="4"/>
  <c r="E208" i="4"/>
  <c r="I207" i="4"/>
  <c r="E207" i="4"/>
  <c r="I206" i="4"/>
  <c r="E206" i="4"/>
  <c r="I205" i="4"/>
  <c r="E205" i="4"/>
  <c r="I204" i="4"/>
  <c r="E204" i="4"/>
  <c r="I203" i="4"/>
  <c r="E203" i="4"/>
  <c r="I202" i="4"/>
  <c r="E202" i="4"/>
  <c r="I201" i="4"/>
  <c r="E201" i="4"/>
  <c r="I200" i="4"/>
  <c r="E200" i="4"/>
  <c r="I199" i="4"/>
  <c r="E199" i="4"/>
  <c r="I198" i="4"/>
  <c r="E198" i="4"/>
  <c r="I197" i="4"/>
  <c r="E197" i="4"/>
  <c r="I196" i="4"/>
  <c r="E196" i="4"/>
  <c r="I195" i="4"/>
  <c r="E195" i="4"/>
  <c r="I194" i="4"/>
  <c r="E194" i="4"/>
  <c r="I193" i="4"/>
  <c r="E193" i="4"/>
  <c r="I192" i="4"/>
  <c r="E192" i="4"/>
  <c r="I191" i="4"/>
  <c r="E191" i="4"/>
  <c r="I190" i="4"/>
  <c r="E190" i="4"/>
  <c r="I189" i="4"/>
  <c r="E189" i="4"/>
  <c r="I188" i="4"/>
  <c r="E188" i="4"/>
  <c r="I187" i="4"/>
  <c r="E187" i="4"/>
  <c r="I186" i="4"/>
  <c r="E186" i="4"/>
  <c r="I185" i="4"/>
  <c r="E185" i="4"/>
  <c r="I184" i="4"/>
  <c r="E184" i="4"/>
  <c r="I183" i="4"/>
  <c r="E183" i="4"/>
  <c r="I182" i="4"/>
  <c r="E182" i="4"/>
  <c r="I181" i="4"/>
  <c r="E181" i="4"/>
  <c r="I180" i="4"/>
  <c r="E180" i="4"/>
  <c r="I179" i="4"/>
  <c r="E179" i="4"/>
  <c r="I178" i="4"/>
  <c r="E178" i="4"/>
  <c r="I177" i="4"/>
  <c r="E177" i="4"/>
  <c r="I176" i="4"/>
  <c r="E176" i="4"/>
  <c r="I175" i="4"/>
  <c r="E175" i="4"/>
  <c r="I174" i="4"/>
  <c r="E174" i="4"/>
  <c r="I173" i="4"/>
  <c r="E173" i="4"/>
  <c r="I172" i="4"/>
  <c r="E172" i="4"/>
  <c r="I171" i="4"/>
  <c r="E171" i="4"/>
  <c r="I170" i="4"/>
  <c r="E170" i="4"/>
  <c r="I169" i="4"/>
  <c r="E169" i="4"/>
  <c r="I168" i="4"/>
  <c r="E168" i="4"/>
  <c r="I167" i="4"/>
  <c r="E167" i="4"/>
  <c r="I166" i="4"/>
  <c r="E166" i="4"/>
  <c r="I165" i="4"/>
  <c r="E165" i="4"/>
  <c r="I164" i="4"/>
  <c r="E164" i="4"/>
  <c r="I163" i="4"/>
  <c r="E163" i="4"/>
  <c r="I162" i="4"/>
  <c r="E162" i="4"/>
  <c r="I161" i="4"/>
  <c r="E161" i="4"/>
  <c r="I160" i="4"/>
  <c r="E160" i="4"/>
  <c r="I159" i="4"/>
  <c r="E159" i="4"/>
  <c r="I158" i="4"/>
  <c r="E158" i="4"/>
  <c r="I157" i="4"/>
  <c r="E157" i="4"/>
  <c r="I156" i="4"/>
  <c r="E156" i="4"/>
  <c r="I155" i="4"/>
  <c r="E155" i="4"/>
  <c r="I154" i="4"/>
  <c r="E154" i="4"/>
  <c r="I153" i="4"/>
  <c r="E153" i="4"/>
  <c r="I152" i="4"/>
  <c r="E152" i="4"/>
  <c r="I151" i="4"/>
  <c r="E151" i="4"/>
  <c r="I150" i="4"/>
  <c r="E150" i="4"/>
  <c r="I149" i="4"/>
  <c r="E149" i="4"/>
  <c r="I148" i="4"/>
  <c r="E148" i="4"/>
  <c r="I147" i="4"/>
  <c r="E147" i="4"/>
  <c r="I146" i="4"/>
  <c r="E146" i="4"/>
  <c r="I145" i="4"/>
  <c r="E145" i="4"/>
  <c r="I144" i="4"/>
  <c r="E144" i="4"/>
  <c r="I143" i="4"/>
  <c r="E143" i="4"/>
  <c r="I142" i="4"/>
  <c r="E142" i="4"/>
  <c r="I141" i="4"/>
  <c r="E141" i="4"/>
  <c r="I140" i="4"/>
  <c r="E140" i="4"/>
  <c r="I139" i="4"/>
  <c r="E139" i="4"/>
  <c r="I138" i="4"/>
  <c r="E138" i="4"/>
  <c r="I137" i="4"/>
  <c r="E137" i="4"/>
  <c r="I136" i="4"/>
  <c r="E136" i="4"/>
  <c r="I135" i="4"/>
  <c r="E135" i="4"/>
  <c r="I134" i="4"/>
  <c r="E134" i="4"/>
  <c r="I133" i="4"/>
  <c r="E133" i="4"/>
  <c r="I132" i="4"/>
  <c r="E132" i="4"/>
  <c r="I131" i="4"/>
  <c r="E131" i="4"/>
  <c r="I130" i="4"/>
  <c r="E130" i="4"/>
  <c r="I129" i="4"/>
  <c r="E129" i="4"/>
  <c r="I128" i="4"/>
  <c r="E128" i="4"/>
  <c r="I127" i="4"/>
  <c r="E127" i="4"/>
  <c r="I126" i="4"/>
  <c r="E126" i="4"/>
  <c r="I125" i="4"/>
  <c r="E125" i="4"/>
  <c r="I124" i="4"/>
  <c r="E124" i="4"/>
  <c r="I123" i="4"/>
  <c r="E123" i="4"/>
  <c r="I122" i="4"/>
  <c r="E122" i="4"/>
  <c r="I121" i="4"/>
  <c r="E121" i="4"/>
  <c r="I120" i="4"/>
  <c r="E120" i="4"/>
  <c r="I119" i="4"/>
  <c r="E119" i="4"/>
  <c r="I118" i="4"/>
  <c r="E118" i="4"/>
  <c r="I117" i="4"/>
  <c r="E117" i="4"/>
  <c r="I116" i="4"/>
  <c r="E116" i="4"/>
  <c r="I115" i="4"/>
  <c r="E115" i="4"/>
  <c r="I114" i="4"/>
  <c r="E114" i="4"/>
  <c r="I113" i="4"/>
  <c r="E113" i="4"/>
  <c r="I112" i="4"/>
  <c r="E112" i="4"/>
  <c r="I111" i="4"/>
  <c r="E111" i="4"/>
  <c r="I110" i="4"/>
  <c r="E110" i="4"/>
  <c r="I109" i="4"/>
  <c r="E109" i="4"/>
  <c r="I108" i="4"/>
  <c r="E108" i="4"/>
  <c r="I107" i="4"/>
  <c r="E107" i="4"/>
  <c r="I106" i="4"/>
  <c r="E106" i="4"/>
  <c r="I105" i="4"/>
  <c r="E105" i="4"/>
  <c r="I104" i="4"/>
  <c r="E104" i="4"/>
  <c r="I103" i="4"/>
  <c r="E103" i="4"/>
  <c r="I102" i="4"/>
  <c r="E102" i="4"/>
  <c r="I101" i="4"/>
  <c r="E101" i="4"/>
  <c r="I100" i="4"/>
  <c r="E100" i="4"/>
  <c r="I99" i="4"/>
  <c r="E99" i="4"/>
  <c r="I98" i="4"/>
  <c r="E98" i="4"/>
  <c r="I97" i="4"/>
  <c r="E97" i="4"/>
  <c r="I96" i="4"/>
  <c r="E96" i="4"/>
  <c r="I95" i="4"/>
  <c r="E95" i="4"/>
  <c r="I94" i="4"/>
  <c r="E94" i="4"/>
  <c r="I93" i="4"/>
  <c r="E93" i="4"/>
  <c r="I92" i="4"/>
  <c r="E92" i="4"/>
  <c r="I91" i="4"/>
  <c r="E91" i="4"/>
  <c r="I90" i="4"/>
  <c r="E90" i="4"/>
  <c r="I89" i="4"/>
  <c r="E89" i="4"/>
  <c r="I88" i="4"/>
  <c r="E88" i="4"/>
  <c r="I87" i="4"/>
  <c r="E87" i="4"/>
  <c r="I86" i="4"/>
  <c r="E86" i="4"/>
  <c r="I85" i="4"/>
  <c r="E85" i="4"/>
  <c r="I84" i="4"/>
  <c r="E84" i="4"/>
  <c r="I83" i="4"/>
  <c r="E83" i="4"/>
  <c r="I82" i="4"/>
  <c r="E82" i="4"/>
  <c r="I81" i="4"/>
  <c r="E81" i="4"/>
  <c r="I80" i="4"/>
  <c r="E80" i="4"/>
  <c r="I79" i="4"/>
  <c r="E79" i="4"/>
  <c r="I78" i="4"/>
  <c r="E78" i="4"/>
  <c r="I77" i="4"/>
  <c r="E77" i="4"/>
  <c r="I76" i="4"/>
  <c r="E76" i="4"/>
  <c r="I75" i="4"/>
  <c r="E75" i="4"/>
  <c r="I74" i="4"/>
  <c r="E74" i="4"/>
  <c r="I73" i="4"/>
  <c r="E73" i="4"/>
  <c r="I72" i="4"/>
  <c r="E72" i="4"/>
  <c r="I71" i="4"/>
  <c r="E71" i="4"/>
  <c r="I70" i="4"/>
  <c r="E70" i="4"/>
  <c r="I69" i="4"/>
  <c r="E69" i="4"/>
  <c r="I68" i="4"/>
  <c r="E68" i="4"/>
  <c r="I67" i="4"/>
  <c r="E67" i="4"/>
  <c r="I66" i="4"/>
  <c r="E66" i="4"/>
  <c r="I65" i="4"/>
  <c r="E65" i="4"/>
  <c r="I64" i="4"/>
  <c r="E64" i="4"/>
  <c r="I63" i="4"/>
  <c r="E63" i="4"/>
  <c r="I62" i="4"/>
  <c r="E62" i="4"/>
  <c r="I61" i="4"/>
  <c r="E61" i="4"/>
  <c r="I57" i="4"/>
  <c r="E57" i="4"/>
  <c r="I56" i="4"/>
  <c r="E56" i="4"/>
  <c r="I55" i="4"/>
  <c r="E55" i="4"/>
  <c r="I54" i="4"/>
  <c r="E54" i="4"/>
  <c r="I53" i="4"/>
  <c r="E53" i="4"/>
  <c r="I52" i="4"/>
  <c r="E52" i="4"/>
  <c r="I51" i="4"/>
  <c r="E51" i="4"/>
  <c r="I50" i="4"/>
  <c r="E50" i="4"/>
  <c r="I49" i="4"/>
  <c r="E49" i="4"/>
  <c r="I48" i="4"/>
  <c r="E48" i="4"/>
  <c r="I47" i="4"/>
  <c r="E47" i="4"/>
  <c r="I46" i="4"/>
  <c r="E46" i="4"/>
  <c r="I45" i="4"/>
  <c r="E45" i="4"/>
  <c r="I44" i="4"/>
  <c r="E44" i="4"/>
  <c r="I43" i="4"/>
  <c r="E43" i="4"/>
  <c r="I42" i="4"/>
  <c r="E42" i="4"/>
  <c r="I41" i="4"/>
  <c r="E41" i="4"/>
  <c r="I40" i="4"/>
  <c r="E40" i="4"/>
  <c r="I39" i="4"/>
  <c r="E39" i="4"/>
  <c r="I38" i="4"/>
  <c r="E38" i="4"/>
  <c r="I37" i="4"/>
  <c r="E37" i="4"/>
  <c r="I36" i="4"/>
  <c r="E36" i="4"/>
  <c r="I35" i="4"/>
  <c r="E35" i="4"/>
  <c r="I34" i="4"/>
  <c r="E34" i="4"/>
  <c r="I33" i="4"/>
  <c r="E33" i="4"/>
  <c r="I32" i="4"/>
  <c r="E32" i="4"/>
  <c r="I31" i="4"/>
  <c r="E31" i="4"/>
  <c r="I30" i="4"/>
  <c r="E30" i="4"/>
  <c r="I29" i="4"/>
  <c r="E29" i="4"/>
  <c r="I28" i="4"/>
  <c r="E28" i="4"/>
  <c r="I27" i="4"/>
  <c r="E27" i="4"/>
  <c r="I26" i="4"/>
  <c r="E26" i="4"/>
  <c r="I25" i="4"/>
  <c r="E25" i="4"/>
  <c r="I24" i="4"/>
  <c r="E24" i="4"/>
  <c r="I23" i="4"/>
  <c r="E23" i="4"/>
  <c r="I22" i="4"/>
  <c r="E22" i="4"/>
  <c r="I21" i="4"/>
  <c r="E21" i="4"/>
  <c r="I20" i="4"/>
  <c r="E20" i="4"/>
  <c r="A36" i="3" l="1"/>
  <c r="A35" i="3"/>
  <c r="A34" i="3"/>
  <c r="A26" i="3"/>
  <c r="A19" i="3"/>
  <c r="A6" i="3"/>
  <c r="A5"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olutions" type="6" refreshedVersion="4" deleted="1" background="1" saveData="1">
    <textPr sourceFile="C:\Users\gb1175\Documents\Accessibility\Projects\Meta-planning\Checklist-Guide Unification\Working\Data_Docs\solutions.txt">
      <textFields count="6">
        <textField/>
        <textField/>
        <textField/>
        <textField/>
        <textField/>
        <textField/>
      </textFields>
    </textPr>
  </connection>
  <connection id="2" xr16:uid="{00000000-0015-0000-FFFF-FFFF01000000}" name="solutions1" type="6" refreshedVersion="4" deleted="1" background="1" saveData="1">
    <textPr sourceFile="C:\Users\gb1175\Documents\Accessibility\Projects\Meta-planning\Checklist-Guide Unification\Working\Data_Docs\solutions.txt">
      <textFields count="6">
        <textField/>
        <textField/>
        <textField/>
        <textField/>
        <textField/>
        <textField/>
      </textFields>
    </textPr>
  </connection>
  <connection id="3" xr16:uid="{00000000-0015-0000-FFFF-FFFF02000000}" name="solutions2" type="6" refreshedVersion="4" deleted="1" background="1" saveData="1">
    <textPr sourceFile="C:\Users\gb1175\Documents\Accessibility\Projects\Meta-planning\Checklist-Guide Unification\Working\Data_Docs\solutions.txt">
      <textFields count="6">
        <textField/>
        <textField/>
        <textField/>
        <textField/>
        <textField/>
        <textField/>
      </textFields>
    </textPr>
  </connection>
  <connection id="4" xr16:uid="{00000000-0015-0000-FFFF-FFFF03000000}" name="solutions3" type="6" refreshedVersion="4" deleted="1" background="1" saveData="1">
    <textPr codePage="437" sourceFile="C:\Users\gb1175\Documents\Accessibility\Projects_Internal\Meta-planning\Checklist-Guide Unification\Working\Data_Docs\solutions.txt">
      <textFields count="6">
        <textField/>
        <textField/>
        <textField/>
        <textField/>
        <textField/>
        <textField/>
      </textFields>
    </textPr>
  </connection>
</connections>
</file>

<file path=xl/sharedStrings.xml><?xml version="1.0" encoding="utf-8"?>
<sst xmlns="http://schemas.openxmlformats.org/spreadsheetml/2006/main" count="1967" uniqueCount="1037">
  <si>
    <t>Yes or No</t>
  </si>
  <si>
    <t>No</t>
  </si>
  <si>
    <t>Advertising &amp; User Research</t>
  </si>
  <si>
    <t>Chat</t>
  </si>
  <si>
    <t>Hardware</t>
  </si>
  <si>
    <t>Network</t>
  </si>
  <si>
    <t>Packaging</t>
  </si>
  <si>
    <t>Sunset</t>
  </si>
  <si>
    <t>Vendor</t>
  </si>
  <si>
    <t>Scope of your Project</t>
  </si>
  <si>
    <t>Project Name:</t>
  </si>
  <si>
    <t>Scope Type</t>
  </si>
  <si>
    <t>Answer the following based on the scope of your project.</t>
  </si>
  <si>
    <t>Action if Yes</t>
  </si>
  <si>
    <r>
      <t xml:space="preserve">Is the scope of your project creating or modifying </t>
    </r>
    <r>
      <rPr>
        <b/>
        <sz val="12"/>
        <color theme="1"/>
        <rFont val="Calibri"/>
        <family val="2"/>
        <scheme val="minor"/>
      </rPr>
      <t>advertising or external customer research?</t>
    </r>
  </si>
  <si>
    <r>
      <t xml:space="preserve">Is the scope of your project creating a </t>
    </r>
    <r>
      <rPr>
        <b/>
        <sz val="12"/>
        <color theme="1"/>
        <rFont val="Calibri"/>
        <family val="2"/>
        <scheme val="minor"/>
      </rPr>
      <t>chat fast pass</t>
    </r>
    <r>
      <rPr>
        <sz val="12"/>
        <color theme="1"/>
        <rFont val="Calibri"/>
        <family val="2"/>
        <scheme val="minor"/>
      </rPr>
      <t>?</t>
    </r>
  </si>
  <si>
    <t>Complete rows marked as "Applicable" for Chat Fast Pass on the Requirements &amp; Testing tab.</t>
  </si>
  <si>
    <r>
      <t>Is the scope of your project creating or modifying a</t>
    </r>
    <r>
      <rPr>
        <b/>
        <sz val="12"/>
        <color theme="1"/>
        <rFont val="Calibri"/>
        <family val="2"/>
        <scheme val="minor"/>
      </rPr>
      <t xml:space="preserve"> customer collateral, customer documentation or customer communication</t>
    </r>
    <r>
      <rPr>
        <sz val="12"/>
        <color theme="1"/>
        <rFont val="Calibri"/>
        <family val="2"/>
        <scheme val="minor"/>
      </rPr>
      <t>?</t>
    </r>
  </si>
  <si>
    <r>
      <t xml:space="preserve">Is the scope of your project creating or modifying a </t>
    </r>
    <r>
      <rPr>
        <b/>
        <sz val="12"/>
        <color theme="1"/>
        <rFont val="Calibri"/>
        <family val="2"/>
        <scheme val="minor"/>
      </rPr>
      <t>desktop</t>
    </r>
    <r>
      <rPr>
        <sz val="12"/>
        <color theme="1"/>
        <rFont val="Calibri"/>
        <family val="2"/>
        <scheme val="minor"/>
      </rPr>
      <t xml:space="preserve"> application on </t>
    </r>
    <r>
      <rPr>
        <b/>
        <sz val="12"/>
        <color theme="1"/>
        <rFont val="Calibri"/>
        <family val="2"/>
        <scheme val="minor"/>
      </rPr>
      <t>Windows</t>
    </r>
    <r>
      <rPr>
        <sz val="12"/>
        <color theme="1"/>
        <rFont val="Calibri"/>
        <family val="2"/>
        <scheme val="minor"/>
      </rPr>
      <t xml:space="preserve"> or </t>
    </r>
    <r>
      <rPr>
        <b/>
        <sz val="12"/>
        <color theme="1"/>
        <rFont val="Calibri"/>
        <family val="2"/>
        <scheme val="minor"/>
      </rPr>
      <t>macOS</t>
    </r>
    <r>
      <rPr>
        <sz val="12"/>
        <color theme="1"/>
        <rFont val="Calibri"/>
        <family val="2"/>
        <scheme val="minor"/>
      </rPr>
      <t>?</t>
    </r>
  </si>
  <si>
    <r>
      <t xml:space="preserve">Is the scope of your project creating or modifying an </t>
    </r>
    <r>
      <rPr>
        <b/>
        <sz val="12"/>
        <color theme="1"/>
        <rFont val="Calibri"/>
        <family val="2"/>
        <scheme val="minor"/>
      </rPr>
      <t>Interactive Voice Response (IVR) system</t>
    </r>
    <r>
      <rPr>
        <sz val="12"/>
        <color theme="1"/>
        <rFont val="Calibri"/>
        <family val="2"/>
        <scheme val="minor"/>
      </rPr>
      <t>?</t>
    </r>
  </si>
  <si>
    <r>
      <t xml:space="preserve">Is the scope of your project creating or modifying a </t>
    </r>
    <r>
      <rPr>
        <b/>
        <sz val="12"/>
        <color theme="1"/>
        <rFont val="Calibri"/>
        <family val="2"/>
        <scheme val="minor"/>
      </rPr>
      <t>mobile app</t>
    </r>
    <r>
      <rPr>
        <sz val="12"/>
        <color theme="1"/>
        <rFont val="Calibri"/>
        <family val="2"/>
        <scheme val="minor"/>
      </rPr>
      <t>?</t>
    </r>
  </si>
  <si>
    <r>
      <t xml:space="preserve">Is the scope of your project creating, modifying, or removing </t>
    </r>
    <r>
      <rPr>
        <b/>
        <sz val="12"/>
        <color theme="1"/>
        <rFont val="Calibri"/>
        <family val="2"/>
        <scheme val="minor"/>
      </rPr>
      <t>network elements, features, functions, or capabilities or does it make use of network resources</t>
    </r>
    <r>
      <rPr>
        <sz val="12"/>
        <color theme="1"/>
        <rFont val="Calibri"/>
        <family val="2"/>
        <scheme val="minor"/>
      </rPr>
      <t>?</t>
    </r>
  </si>
  <si>
    <r>
      <t xml:space="preserve">IS the scope of your project creating or modifying </t>
    </r>
    <r>
      <rPr>
        <b/>
        <sz val="12"/>
        <color theme="1"/>
        <rFont val="Calibri"/>
        <family val="2"/>
        <scheme val="minor"/>
      </rPr>
      <t>AT&amp;T-branded packaging</t>
    </r>
    <r>
      <rPr>
        <sz val="12"/>
        <color theme="1"/>
        <rFont val="Calibri"/>
        <family val="2"/>
        <scheme val="minor"/>
      </rPr>
      <t xml:space="preserve"> or some other form of AT&amp;T out of box experience?</t>
    </r>
  </si>
  <si>
    <r>
      <t xml:space="preserve">Is your project </t>
    </r>
    <r>
      <rPr>
        <b/>
        <sz val="12"/>
        <color theme="1"/>
        <rFont val="Calibri"/>
        <family val="2"/>
        <scheme val="minor"/>
      </rPr>
      <t>sunsetting (i.e., discontinuing) a product or service</t>
    </r>
    <r>
      <rPr>
        <sz val="12"/>
        <color theme="1"/>
        <rFont val="Calibri"/>
        <family val="2"/>
        <scheme val="minor"/>
      </rPr>
      <t xml:space="preserve"> (including any service feature)?</t>
    </r>
  </si>
  <si>
    <r>
      <t xml:space="preserve">Will a </t>
    </r>
    <r>
      <rPr>
        <b/>
        <sz val="12"/>
        <color theme="1"/>
        <rFont val="Calibri"/>
        <family val="2"/>
        <scheme val="minor"/>
      </rPr>
      <t>third-party organization (vendor)</t>
    </r>
    <r>
      <rPr>
        <sz val="12"/>
        <color theme="1"/>
        <rFont val="Calibri"/>
        <family val="2"/>
        <scheme val="minor"/>
      </rPr>
      <t xml:space="preserve"> play a substantive role in the design, development, or deployment of the project?</t>
    </r>
  </si>
  <si>
    <r>
      <t xml:space="preserve">Is the scope of your project creating or modifying </t>
    </r>
    <r>
      <rPr>
        <b/>
        <sz val="12"/>
        <color theme="1"/>
        <rFont val="Calibri"/>
        <family val="2"/>
        <scheme val="minor"/>
      </rPr>
      <t>videos</t>
    </r>
    <r>
      <rPr>
        <sz val="12"/>
        <color theme="1"/>
        <rFont val="Calibri"/>
        <family val="2"/>
        <scheme val="minor"/>
      </rPr>
      <t xml:space="preserve"> or </t>
    </r>
    <r>
      <rPr>
        <b/>
        <sz val="12"/>
        <color theme="1"/>
        <rFont val="Calibri"/>
        <family val="2"/>
        <scheme val="minor"/>
      </rPr>
      <t>TV</t>
    </r>
    <r>
      <rPr>
        <sz val="12"/>
        <color theme="1"/>
        <rFont val="Calibri"/>
        <family val="2"/>
        <scheme val="minor"/>
      </rPr>
      <t xml:space="preserve"> we are providing to a customer?</t>
    </r>
  </si>
  <si>
    <r>
      <t xml:space="preserve">Does the scope of your project create or modify a </t>
    </r>
    <r>
      <rPr>
        <b/>
        <sz val="12"/>
        <color theme="1"/>
        <rFont val="Calibri"/>
        <family val="2"/>
        <scheme val="minor"/>
      </rPr>
      <t>web page</t>
    </r>
    <r>
      <rPr>
        <sz val="12"/>
        <color theme="1"/>
        <rFont val="Calibri"/>
        <family val="2"/>
        <scheme val="minor"/>
      </rPr>
      <t>?</t>
    </r>
  </si>
  <si>
    <t xml:space="preserve">AT&amp;T Proprietary (Internal Use Only) </t>
  </si>
  <si>
    <t xml:space="preserve">Not for use or disclosure outside the AT&amp;T companies except under written agreement. </t>
  </si>
  <si>
    <t>Animation (Web)</t>
  </si>
  <si>
    <t>Is the scope of your project creating or modifying animation used on a web page?</t>
  </si>
  <si>
    <t>CAPTCHA</t>
  </si>
  <si>
    <t>Is the scope of your project creating or modifying a CAPTCHA?</t>
  </si>
  <si>
    <t>Carousels</t>
  </si>
  <si>
    <t>Is the scope of your project creating or modifying carousels?</t>
  </si>
  <si>
    <t>Color (Web)</t>
  </si>
  <si>
    <t>Is the scope of your project creating or modifying the colors used on a web page?</t>
  </si>
  <si>
    <t>CMS Templates/Components</t>
  </si>
  <si>
    <t>Is the scope of your project creating or modifying Content Management System (CMS) templates or components?</t>
  </si>
  <si>
    <t>CSS</t>
  </si>
  <si>
    <t>Does the scope of your project involve cascading style sheets (CSS)?</t>
  </si>
  <si>
    <t>Custom Web Components</t>
  </si>
  <si>
    <t>Does the scope of your project involve custom web components?</t>
  </si>
  <si>
    <t>DS2 Components and Digital Design Hub</t>
  </si>
  <si>
    <t>Is the scope of your project using patterns from the Digital Experience Digital Design Hub’s DS2 Pattern Library?</t>
  </si>
  <si>
    <t>Forms (Web)</t>
  </si>
  <si>
    <t>Does the scope of your project involve HTML-based forms?</t>
  </si>
  <si>
    <t>Images (Web)</t>
  </si>
  <si>
    <t>Is the scope of your project creating or modifying an image used on a web page?</t>
  </si>
  <si>
    <t>JavaScript Frameworks</t>
  </si>
  <si>
    <t>Is the scope of your project modifying any JavaScript frameworks?</t>
  </si>
  <si>
    <t>Links</t>
  </si>
  <si>
    <t>Is the scope of your project creating or modifying a link used on a web page?</t>
  </si>
  <si>
    <t>Modal Windows</t>
  </si>
  <si>
    <t>Is the scope of your project creating or modifying a modal window?</t>
  </si>
  <si>
    <t>Navigation (Web)</t>
  </si>
  <si>
    <t>Is the scope of your project creating or modifying navigation menus used on a web page?</t>
  </si>
  <si>
    <t>Tables</t>
  </si>
  <si>
    <t>Is the scope of your project creating or modifying tables used on a web page or email?</t>
  </si>
  <si>
    <t>Verbiage</t>
  </si>
  <si>
    <t>Is the scope of your project creating or modifying the verbiage (text content) used on a web page?</t>
  </si>
  <si>
    <t>Web Page Structure</t>
  </si>
  <si>
    <t xml:space="preserve">Is the scope of your project creating or modifying the structure of a web page, such as headings and labels? </t>
  </si>
  <si>
    <t>Removing Content (Web Page)</t>
  </si>
  <si>
    <t>Is the scope of your project removing content from a web page?</t>
  </si>
  <si>
    <t>Automated Outbound (AO)</t>
  </si>
  <si>
    <t>Is the scope of your project creating or modifying an Automated Outbound (AO) message we are providing to a customer?</t>
  </si>
  <si>
    <t>Customer Collateral (Adobe InDesign)</t>
  </si>
  <si>
    <t>Is the scope of your project creating or modifying an Adobe InDesign document we are providing to a customer?</t>
  </si>
  <si>
    <t>Customer Collateral (MS Office)</t>
  </si>
  <si>
    <t>Is the scope of your project creating or modifying a Microsoft Office document we are providing to a customer?</t>
  </si>
  <si>
    <t>Customer Collateral (PDF)</t>
  </si>
  <si>
    <t>Is the scope of your project creating or modifying a PDF document we are providing to a customer?</t>
  </si>
  <si>
    <t>Customer Collateral (Printed)</t>
  </si>
  <si>
    <t>Is the scope of your project creating or modifying printed (hard copy) materials we are providing to a customer?</t>
  </si>
  <si>
    <t>Email</t>
  </si>
  <si>
    <t>Is the scope of your project creating or modifying an email?</t>
  </si>
  <si>
    <t>SMS Text Messaging</t>
  </si>
  <si>
    <t>Is the scope of your project creating or modifying an SMS (text message) we are sending to a customer?</t>
  </si>
  <si>
    <t>Removing Content (Bill)</t>
  </si>
  <si>
    <t>Is the scope of your project removing content from a customer bill?</t>
  </si>
  <si>
    <t>Removing Content (Letter)</t>
  </si>
  <si>
    <t>Is the scope of your project removing content from a customer letter?</t>
  </si>
  <si>
    <t>Removing Content (Email)</t>
  </si>
  <si>
    <t>Is the scope of your project removing content from an email?</t>
  </si>
  <si>
    <t>IVR Application</t>
  </si>
  <si>
    <t>Does the scope of your project involve creating a new IVR?</t>
  </si>
  <si>
    <t>IVR Prompts</t>
  </si>
  <si>
    <t>Is the scope of your project creating or modifying an IVR prompt?</t>
  </si>
  <si>
    <t>IVR Timeouts</t>
  </si>
  <si>
    <t>Is the scope of your project creating or modifying an IVR timeout?</t>
  </si>
  <si>
    <t>Removing Content (IVR)</t>
  </si>
  <si>
    <t>Is the scope of your project removing content from an IVR?</t>
  </si>
  <si>
    <t>Mobile App Animation</t>
  </si>
  <si>
    <t>Is the scope of your project creating or modifying animation in a mobile app?</t>
  </si>
  <si>
    <t>Mobile App Dynamic Content</t>
  </si>
  <si>
    <t>Is the scope of your project creating or modifying dynamic content in a mobile app?</t>
  </si>
  <si>
    <t>Mobile App Document Structure</t>
  </si>
  <si>
    <t>Is the scope of your project creating or modifying document structure in a mobile app?</t>
  </si>
  <si>
    <t>Mobile App Forms</t>
  </si>
  <si>
    <t>Is the scope of your project creating or modifying forms in a mobile app?</t>
  </si>
  <si>
    <t>Mobile App Images</t>
  </si>
  <si>
    <t>Is the scope of your project creating or modifying images in a mobile app?</t>
  </si>
  <si>
    <t>Mobile App Multimedia</t>
  </si>
  <si>
    <t>Is the scope of your project creating or modifying multimedia in a mobile app?</t>
  </si>
  <si>
    <t>Mobile App Navigation</t>
  </si>
  <si>
    <t>Is the scope of your project creating or modifying navigational structure in a mobile app?</t>
  </si>
  <si>
    <t>Live Video</t>
  </si>
  <si>
    <t>Is the scope of your project creating or modifying live video, such online videos or other live multimedia?</t>
  </si>
  <si>
    <t>TV</t>
  </si>
  <si>
    <t xml:space="preserve">Does the scope of your project involve preloading applications for DirecTV satellite service, U-verse, or other traditional TV provider (MVPD), on mobile devices? </t>
  </si>
  <si>
    <t>Videos</t>
  </si>
  <si>
    <t>Is the scope of your project creating or modifying a Video we are providing to a customer?</t>
  </si>
  <si>
    <t>Accessibility Requirements and Testing</t>
  </si>
  <si>
    <t>Instructions:</t>
  </si>
  <si>
    <t>a. "Met" - The accessibility requirement has been tested and passes.</t>
  </si>
  <si>
    <t xml:space="preserve">1) renders the service unusable for some or all users or </t>
  </si>
  <si>
    <t>2) limits some or all users from fully accessing content or functionality.</t>
  </si>
  <si>
    <t xml:space="preserve">c. "Best Practices Impact Defect" - Any defect that that might be a minor inconvenience, or degrade the usability of the product or service for some or all users. </t>
  </si>
  <si>
    <t xml:space="preserve">The defect diminishes the usability of the product or service but still allows users to access the full content or functionality. </t>
  </si>
  <si>
    <t>AMP project setup is requested using the Contact Us form on the ACR website. Project teams should ensure that an AMP Project and Report are available prior to web and PDF accessibility testing.</t>
  </si>
  <si>
    <t>*UID - Unique Identifier</t>
  </si>
  <si>
    <t>*UID</t>
  </si>
  <si>
    <t>Project Scope</t>
  </si>
  <si>
    <t>Accessibility Requirements</t>
  </si>
  <si>
    <t>Req URL's</t>
  </si>
  <si>
    <t>Req Text</t>
  </si>
  <si>
    <t>Confirm Requirement is Included in Project Documentation</t>
  </si>
  <si>
    <t>Testing Tools
and Guidance</t>
  </si>
  <si>
    <t>Test URL's</t>
  </si>
  <si>
    <t>Test Text</t>
  </si>
  <si>
    <t>Testing Team: 
Confirm Requirement 
is Met</t>
  </si>
  <si>
    <t>Supporting Explanation
(Required)</t>
  </si>
  <si>
    <t xml:space="preserve">CATO Assessor Feedback
(Internal CATO Use for post-launch accessibility assessment)
</t>
  </si>
  <si>
    <t>Images</t>
  </si>
  <si>
    <t>guide-adding-or-changing-website-images.html</t>
  </si>
  <si>
    <t>Images that convey important information must have meaningful alternative texts.</t>
  </si>
  <si>
    <t>Provide textual alternatives for all images.</t>
  </si>
  <si>
    <t>Use live text instead of images where possible.</t>
  </si>
  <si>
    <t xml:space="preserve">Ensure that text, instead of images of text, is used wherever possible. </t>
  </si>
  <si>
    <t>Color</t>
  </si>
  <si>
    <t>guide-color-changes.html</t>
  </si>
  <si>
    <t>Foreground text and background color contrast ratio should be 4.5:1 or greater</t>
  </si>
  <si>
    <t>Test using the Colour Contrast Analyser or the WAT (Web Accessibility Toolbar)</t>
  </si>
  <si>
    <t>Use additional elements besides color to convey relevant information.</t>
  </si>
  <si>
    <t>Do not use color alone to convey information.</t>
  </si>
  <si>
    <t>tools/flesch-kincaid.html</t>
  </si>
  <si>
    <t>Make content easily readable and understandable</t>
  </si>
  <si>
    <t>Use Flesch-Kincaid to measure readability grade level of 9.9 or below.</t>
  </si>
  <si>
    <t>guide-link-changes.html</t>
  </si>
  <si>
    <t>Link text must clearly identify destination or action</t>
  </si>
  <si>
    <t>Ensure link text clearly identifies destination or action.</t>
  </si>
  <si>
    <t>N/A</t>
  </si>
  <si>
    <t>guide-tables-main.html</t>
  </si>
  <si>
    <t>Web page and email tables must follow the guidance on Accessible Tables.</t>
  </si>
  <si>
    <t>See test cases in the Guide to Accessible Tables.</t>
  </si>
  <si>
    <t>standards/att_standard.html?uid=52</t>
  </si>
  <si>
    <t>Ensure that data tables are built to be accessible</t>
  </si>
  <si>
    <t>standards/att_standard.html?uid=56</t>
  </si>
  <si>
    <t>Avoid using tables for layout</t>
  </si>
  <si>
    <t>Web Pages</t>
  </si>
  <si>
    <t>guides/web/guide-web-pages.html</t>
  </si>
  <si>
    <t>New and modified web pages must follow all relevant guidance on Creating Accessible Web Pages</t>
  </si>
  <si>
    <t>See test cases in Creating Accessible Web Pages</t>
  </si>
  <si>
    <t>Structure</t>
  </si>
  <si>
    <t>standards/att_standard.html?uid=17</t>
  </si>
  <si>
    <t xml:space="preserve">Properly code headings and important information </t>
  </si>
  <si>
    <t>guides/web/guide-page-structure.html</t>
  </si>
  <si>
    <t>Inspect the HTML source code for the appropriate semantic markup. Verify form elements are visually labelled and announced properly by a screen reader.</t>
  </si>
  <si>
    <t>standards/att_standard.html?uid=18</t>
  </si>
  <si>
    <t xml:space="preserve">Add correct markup for a page or app’s language </t>
  </si>
  <si>
    <t>View the DOM of the page and verify HTML elements contain a valid lang attribute.</t>
  </si>
  <si>
    <t>standards/att_standard.html?uid=28</t>
  </si>
  <si>
    <t>Identify user interface elements with the same functionality</t>
  </si>
  <si>
    <t>Inspect the HTML source code and verify each component is associated with text that identifies it and that this text is identical for each user interface component with the same function.</t>
  </si>
  <si>
    <t>standards/att_standard.html?uid=30</t>
  </si>
  <si>
    <t xml:space="preserve">Ensure names, roles, states, properties, and values of user interface components are programmatically set and determined </t>
  </si>
  <si>
    <t>Inspect the HTML source code and verify the name, value and state are specified and correct.</t>
  </si>
  <si>
    <t>standards/att_standard.html?uid=31</t>
  </si>
  <si>
    <t xml:space="preserve">Follow coding format specifications </t>
  </si>
  <si>
    <t>Use the WAT tool for validation or the W3C validation site.</t>
  </si>
  <si>
    <t>standards/att_standard.html?uid=32</t>
  </si>
  <si>
    <t xml:space="preserve">Ensure that page or screen titles clearly present the topic or purpose of the content </t>
  </si>
  <si>
    <t>Inspect the HTML source code and verify that the web page has a title relevant to the content.</t>
  </si>
  <si>
    <t>standards/att_standard.html?uid=33</t>
  </si>
  <si>
    <t xml:space="preserve">Allow user to skip past repetitive blocks of content </t>
  </si>
  <si>
    <t>Verify that when selected, the skip navigation link moves keyboard focus to an element at or near the beginning of the main content of the page.</t>
  </si>
  <si>
    <t>standards/att_standard.html?uid=34</t>
  </si>
  <si>
    <t xml:space="preserve">Headings and labels should describe associated content </t>
  </si>
  <si>
    <t>Inspect the HTML source code and check that headings exist for each section and are in sequential order.</t>
  </si>
  <si>
    <t>standards/att_standard.html?uid=63</t>
  </si>
  <si>
    <t xml:space="preserve">Use appropriate structural mark up for the content of the element </t>
  </si>
  <si>
    <t>Inspect the HTML source code. If content has a semantic function, verify the correct markup is in place.</t>
  </si>
  <si>
    <t>SUP-1.1</t>
  </si>
  <si>
    <t>guide-adobe-indesign.html</t>
  </si>
  <si>
    <t>Follow Adobe InDesign Documents Accessible Design Guidelines</t>
  </si>
  <si>
    <t>standards/att_standard.html?uid=20</t>
  </si>
  <si>
    <t>Make content easily readable and understandable.</t>
  </si>
  <si>
    <t>Always follow AT&amp;T Brand Standards or the Cricket Brand Center in regards to color palette, fonts, imagery, and iconography.</t>
  </si>
  <si>
    <t>solutions-tech/att_solution.html?sol=3&amp;ref=SUP-1.1</t>
  </si>
  <si>
    <t>Ensure you follow appropriate Brand Standards.</t>
  </si>
  <si>
    <t>guide-electronic-customer-collateral.html</t>
  </si>
  <si>
    <t>Follow the requirements outlined in the latest version of PDF Accessibility Testing Methodology.</t>
  </si>
  <si>
    <t>Follow the CATO PDF Accessibility Testing Methodology.</t>
  </si>
  <si>
    <t xml:space="preserve"> Customer Collateral (MS Office)</t>
  </si>
  <si>
    <t>All Microsoft Office documents must be provided in an accessible format.</t>
  </si>
  <si>
    <t>https://www.microsoft.com/enable/products/office2013/default.aspx</t>
  </si>
  <si>
    <t xml:space="preserve">Follow the Microsoft’s Accessibility Guide for Office 2013 and the Accessibility Checker tool. </t>
  </si>
  <si>
    <t>Printed Customer Collateral</t>
  </si>
  <si>
    <t>guide-printed-customer-collateral.html</t>
  </si>
  <si>
    <t>Ensure customers can request an alternative version (Braille or Large Print) of any printed document.</t>
  </si>
  <si>
    <t>solutions-tech/att_solution.html?sol=10&amp;ref=sup-1.2</t>
  </si>
  <si>
    <t>Verify M&amp;P is in place to provide alternative formats upon request.</t>
  </si>
  <si>
    <t>guides/web/guide-multimedia-videos.html</t>
  </si>
  <si>
    <t>Visual content illustrating how to operate a product or feature must be explained verbally. Visual elements that do not provide new information need not be described.</t>
  </si>
  <si>
    <t>guide-video.html</t>
  </si>
  <si>
    <t xml:space="preserve">Review transcript to ensure that the wording and instructions will be understandable by a person with no vision.   </t>
  </si>
  <si>
    <t>11, 12, 
GUI 1.3</t>
  </si>
  <si>
    <t>The video must be created using appropriate color contrast, and should not rely on colors alone to show or explain information.</t>
  </si>
  <si>
    <t>3, 
GUI 1.11</t>
  </si>
  <si>
    <t xml:space="preserve">When produced, the video must not contain excessive text movement, pixel contrast changes, flashes, or flickering. </t>
  </si>
  <si>
    <t>Test each version of the video proof with a photosensitivity analyzer.</t>
  </si>
  <si>
    <t>GUI 1.4, GUI 1.5</t>
  </si>
  <si>
    <t>Once uploaded, the video shall contain closed captions.</t>
  </si>
  <si>
    <t xml:space="preserve">Closed captions must be present and match the transcript </t>
  </si>
  <si>
    <t>Once finalized, the video shall contain a transcript of dialog for customers with cognitive disabilities.</t>
  </si>
  <si>
    <t>Final transcript must be present and match the video narrative.</t>
  </si>
  <si>
    <t>Ensure auto-playing audio can be paused or stops within three seconds</t>
  </si>
  <si>
    <t>standards/att_standard.html?uid=9</t>
  </si>
  <si>
    <t>Provide audio controls for any auto playing content that plays for more than 3 seconds.</t>
  </si>
  <si>
    <t>AUR-1.1</t>
  </si>
  <si>
    <t>guide-advertising-user-research.html</t>
  </si>
  <si>
    <t>guide-js-libraries-and-frameworks.html</t>
  </si>
  <si>
    <t xml:space="preserve">JavaScript Frameworks must follow the guidance on JavaScript Library and Framework Accessibility </t>
  </si>
  <si>
    <t>See test cases in the Guide to JavaScript Library and Framework Accessibility</t>
  </si>
  <si>
    <t>Ensure names, roles, states, properties, and values of user interface components are programmatically set and determined</t>
  </si>
  <si>
    <t>See iOS and Android test cases in UID 30 solutions.</t>
  </si>
  <si>
    <t>guide-chat-fast-passes.html</t>
  </si>
  <si>
    <t>Chat Fast Passes must follow the guidance on Chat Fast Pass Accessibility</t>
  </si>
  <si>
    <t>See test cases in the Guide to Chat Fast Pass Accessibility</t>
  </si>
  <si>
    <t>SUP-1.2</t>
  </si>
  <si>
    <t>SMS Text Message</t>
  </si>
  <si>
    <t>Use Flesch-Kincaid to measure and ensure readability grade level of 9.9 or below.</t>
  </si>
  <si>
    <t>IVR-1.6</t>
  </si>
  <si>
    <t xml:space="preserve">The IVR is functional in a way that minimizes the cognitive skills required of the user. _x000D_
</t>
  </si>
  <si>
    <t>Use Flesch-Kincaid to measure readability grade level of 6.9 or below.</t>
  </si>
  <si>
    <t>IVR-1.2</t>
  </si>
  <si>
    <t>guide-ivr-prompts.html</t>
  </si>
  <si>
    <t xml:space="preserve">The IVR is functional for users with hearing, but who are hard of hearing._x000D_
</t>
  </si>
  <si>
    <t>Messages should be clear, intelligible, and professionally recorded at a recording studio</t>
  </si>
  <si>
    <t>IVR-1.4</t>
  </si>
  <si>
    <t>guide-ivr-timeout.html</t>
  </si>
  <si>
    <t xml:space="preserve">The IVR does not require a response time or allows response time to be by-passed or adjusted by the user. </t>
  </si>
  <si>
    <t xml:space="preserve">Verify that the IVR has extended time out(s), user profile control(s), or bypass functionality. </t>
  </si>
  <si>
    <t>IVR-1.1</t>
  </si>
  <si>
    <t>guide-ao.html</t>
  </si>
  <si>
    <t xml:space="preserve">The automated outbound phone message will also play a message in TTY-compatible Baudot tones </t>
  </si>
  <si>
    <t>Verify the displayed message on the TTY is identical to the spoken message.</t>
  </si>
  <si>
    <t>Make content easily understandable.</t>
  </si>
  <si>
    <t>Forms</t>
  </si>
  <si>
    <t>guides/mobile/guide-mobile-apps-forms.html</t>
  </si>
  <si>
    <t>Forms must follow the guidance on the Guide to Web Form Accessibility.</t>
  </si>
  <si>
    <t>guides/web/guide-forms.html</t>
  </si>
  <si>
    <t>See the Guide to Web Form Accessibility, Step by Step testing section.</t>
  </si>
  <si>
    <t>standards/att_standard.html?uid=35</t>
  </si>
  <si>
    <t>Whenever possible, validate information entered by our customer. When an error is found, show the customer where it happened and describe the error in text.</t>
  </si>
  <si>
    <t>standards/att_standard.html?uid=36</t>
  </si>
  <si>
    <t>Help customers avoid errors whenever they enter information</t>
  </si>
  <si>
    <t>standards/att_standard.html?uid=37</t>
  </si>
  <si>
    <t>When content sets a time limit for action, give our customer a way to control that time limit, unless security prevents the possibility of such control</t>
  </si>
  <si>
    <t>standards/att_standard.html?uid=39</t>
  </si>
  <si>
    <t>Suggest corrections for form input errors whenever possible</t>
  </si>
  <si>
    <t>standards/att_standard.html?uid=40</t>
  </si>
  <si>
    <t>Use labels and instructions to give our customers clear direction for filling out forms</t>
  </si>
  <si>
    <t>guides/web/css/guide-css-main.html</t>
  </si>
  <si>
    <t>Cascading style sheets (CSS) work must follow the guidance on the CSS Accessibility Guide.</t>
  </si>
  <si>
    <t>See the CSS Accessibility Guide Step by Step testing section.</t>
  </si>
  <si>
    <t>standards/att_standard.html?uid=1</t>
  </si>
  <si>
    <t>When the content of the page automatically moves, blinks or scrolls for more than 5 seconds, or if information automatically updates, give the customer a way to control that action.</t>
  </si>
  <si>
    <t>guides/mobile/guide-mobile-apps-animation.html</t>
  </si>
  <si>
    <t xml:space="preserve">iOS: the iOS media playback view is used and provides controls._x000D_
Android: Developer provides control elements to pause and start media or animation._x000D_
</t>
  </si>
  <si>
    <t>standards/att_standard.html?uid=3</t>
  </si>
  <si>
    <t>Ensure that flashing content meets WCAG flash and threshold requirements.</t>
  </si>
  <si>
    <t>Elements blink or flash within a safe threshold</t>
  </si>
  <si>
    <t>standards/att_standard.html?uid=15</t>
  </si>
  <si>
    <t>Avoid changes of context without user awareness</t>
  </si>
  <si>
    <t>guides/mobile/guide-mobile-apps-dynamic-content.html</t>
  </si>
  <si>
    <t xml:space="preserve">iOS: use traits to indicate state._x000D_
Android: use ContentDescription to indicate state._x000D_
</t>
  </si>
  <si>
    <t>standards/att_standard.html?uid=41</t>
  </si>
  <si>
    <t>Provide textual alternative for all images</t>
  </si>
  <si>
    <t>guides/mobile/guide-mobile-apps-images.html</t>
  </si>
  <si>
    <t xml:space="preserve">iOS: add concise alternatives via the accessibilityLabel attribute._x000D_
Android: add concise alternatives via the contentDescription attribute_x000D_
</t>
  </si>
  <si>
    <t>standards/att_standard.html?uid=43</t>
  </si>
  <si>
    <t>iOS &amp; Android: use text label elements rather than images of text.</t>
  </si>
  <si>
    <t>Navigation</t>
  </si>
  <si>
    <t>standards/att_standard.html?uid=50</t>
  </si>
  <si>
    <t>Ensure navigation is logical and easy-to-use</t>
  </si>
  <si>
    <t>guides/web/guide-navigation.html</t>
  </si>
  <si>
    <t xml:space="preserve">For each component, check that it appears in the same relative order with regard to other repeated components on each Web page where it appears. For each navigational component, verify links or programmatic references are in the same relative order. </t>
  </si>
  <si>
    <t>standards/att_standard.html?uid=29</t>
  </si>
  <si>
    <t>Identify inline changes in natural language</t>
  </si>
  <si>
    <t>guide-email-templates.html</t>
  </si>
  <si>
    <t>Review the source code and verify the human language of the content of the element is the same as the inherited language for the element.</t>
  </si>
  <si>
    <t xml:space="preserve"> Ensure that text, instead of images of text, is used wherever possible. </t>
  </si>
  <si>
    <t>standards/att_standard.html?uid=44</t>
  </si>
  <si>
    <t>Ensure that actionable elements are keyboard accessible.</t>
  </si>
  <si>
    <t>Identify all functionality on the content. Check that all functionality can be accessed using only the keyboard.</t>
  </si>
  <si>
    <t>standards/att_standard.html?uid=45</t>
  </si>
  <si>
    <t>Ensure that keyboard focus is indicated visually</t>
  </si>
  <si>
    <t>Using a mouse, hover over the element verifying the background or border changes color. Using a keyboard, tab to the element verifying the background or borer changes color.</t>
  </si>
  <si>
    <t>standards/att_standard.html?uid=48</t>
  </si>
  <si>
    <t>Ensure content does not rely on sensory characteristics</t>
  </si>
  <si>
    <t>Check if tabindex is used. If tabindex is used, check that the tab order specified by the tabindex attributes follows relationship in the content.</t>
  </si>
  <si>
    <t>standards/att_standard.html?uid=58</t>
  </si>
  <si>
    <t>Ensure that text is scalable, and remains useable when scaled up to 200%</t>
  </si>
  <si>
    <t>View the page in a browser. Use the browser’s zoom tool to scale the page to 200% and verify the content is still useable.</t>
  </si>
  <si>
    <t>Modal Window</t>
  </si>
  <si>
    <t>standards/att_standard.html?uid=19</t>
  </si>
  <si>
    <t>Provide proper sequencing of meaningful content</t>
  </si>
  <si>
    <t>guides/web/guide-modal-windows.html</t>
  </si>
  <si>
    <t>Order content in a meaningful sequence and ensure access to all items via keyboard.</t>
  </si>
  <si>
    <t>standards/att_standard.html?uid=46</t>
  </si>
  <si>
    <t>Ensure that keyboard focus can be moved away from keyboard-accessible components</t>
  </si>
  <si>
    <t xml:space="preserve">Tab through content from start to finish. Check to see that keyboard focus is no trapped in any of the content. </t>
  </si>
  <si>
    <t>Ensure logical focus order</t>
  </si>
  <si>
    <t>Mobile Apps</t>
  </si>
  <si>
    <t>standards/att_standard.html?uid=61</t>
  </si>
  <si>
    <t xml:space="preserve">Touch Targets/Actionable Items must be large enough (minimum recommended range of 7-10mm), and spaced far enough apart (minimum recommended spacing of 1 pixel), to enable better accessibility. </t>
  </si>
  <si>
    <t>guides/mobile/guide-mobile-apps-touch-experience.html</t>
  </si>
  <si>
    <t xml:space="preserve">Touch Targets/Actionable Items must be a minimum 7-10mm and spaced a 1 pixel apart. </t>
  </si>
  <si>
    <t>standards/att_standard.html?uid=62</t>
  </si>
  <si>
    <t xml:space="preserve">Simple touch events must only be triggered when touch is removed from a control and not when first touched. </t>
  </si>
  <si>
    <t>Ensure that simple touch events are only triggered when touch is removed from a control.</t>
  </si>
  <si>
    <t>standards/att_standard.html?uid=12</t>
  </si>
  <si>
    <t>guides/mobile/guide-mobile-apps-color.html</t>
  </si>
  <si>
    <t>standards/att_standard.html?uid=11</t>
  </si>
  <si>
    <t xml:space="preserve">Android: add contentDescription and hint attributes. _x000D_
iOS: use accessible traits to convey meaning that is also conveyed visually or use accessible labels to convey meaning that is also conveyed visually. </t>
  </si>
  <si>
    <t>guides/mobile/guide-mobile-apps-input-devices.html</t>
  </si>
  <si>
    <t xml:space="preserve">For Android, make the focusable attribute of all meaningful elements set to true._x000D_
For iOS all meaningful objects have accessibility enabled. </t>
  </si>
  <si>
    <t>Ensure that keyboard focus is indicated visually.</t>
  </si>
  <si>
    <t>For Android, custom elements have style set when state_focused="true"._x000D_
For iOS, standard controls are handling focus indication._x000D_
For iOS, the accessibilityFrame property is used to override the elements frame.</t>
  </si>
  <si>
    <t xml:space="preserve">For android, controls receive focus and allow user to move away._x000D_
For iOS, allow dismissible on-screen keyboard when controls receives focus. </t>
  </si>
  <si>
    <t>Ensure input devices are compatible with switch control.</t>
  </si>
  <si>
    <t>For Android and iOS, please refer to the Guide on Mobile App Input Devices for Switch Control testing</t>
  </si>
  <si>
    <t>guides/mobile/guide-mobile-apps-static-content.html</t>
  </si>
  <si>
    <t xml:space="preserve">Provide proper sequencing of meaningful content. </t>
  </si>
  <si>
    <t>For Android, ensure content order is logical _x000D_
For iOS, ensure content order is logical.</t>
  </si>
  <si>
    <t xml:space="preserve">Link text must clearly identify destination or action </t>
  </si>
  <si>
    <t xml:space="preserve">For iOS, use labels and hints to provide descriptive link text.  </t>
  </si>
  <si>
    <t xml:space="preserve">For Android, provide the same information through the accessible name contentDescription property._x000D_
For iOS, use accessibility traits or labels to convey the same information. </t>
  </si>
  <si>
    <t xml:space="preserve">Identify inline changes in natural language  </t>
  </si>
  <si>
    <t xml:space="preserve">For Android and iOS, identify changes in natural language. _x000D_
</t>
  </si>
  <si>
    <t xml:space="preserve">Ensure that text is scalable, and remains useable when scaled up to 200% </t>
  </si>
  <si>
    <t xml:space="preserve">For Android and iOS, allow users to enlarge text and increase system level zoom. </t>
  </si>
  <si>
    <t>guides/mobile/guide-mobile-apps-structure.html</t>
  </si>
  <si>
    <t>Properly code heading, and important information to be accessible through assistive technologies.</t>
  </si>
  <si>
    <t>For Android, In List Views, provide explicit headers using HeaderViewListAdapter._x000D_
For iOS, Assign UIAccessibilityTraitHeader to explicitly denote a section heading.</t>
  </si>
  <si>
    <t>Add correct markup for a page or app's language.</t>
  </si>
  <si>
    <t xml:space="preserve">For Android, Provide proper localization of content._x000D_
For iOS, Localize app content or set the accessibilityLanguage property. _x000D_
</t>
  </si>
  <si>
    <t>Ensure user interface elements with the same functionality are identified consistently across pages/screens.</t>
  </si>
  <si>
    <t>For Android, Use common elements consistently for content that has the same functionality in the Android app_x000D_
For iOS, Use common elements consistently for content that has the same functionality in the iOS app.</t>
  </si>
  <si>
    <t>Ensure names, roles, states, properties, and values of user interface components are programmatically set and determined.</t>
  </si>
  <si>
    <t>For Android, use standard components and extensions to convey the accessibility information through contentDescription. For iOS, use standard components when possible or ensure that appropriate traits and name are provided for custom elements.</t>
  </si>
  <si>
    <t>Ensure that page or screen titles clearly present the topic or purpose of the content.</t>
  </si>
  <si>
    <t>For Android, Provide concise and descriptive title for each screen using setTitle. _x000D_
For iOS, Provide concise and descriptive title for each screen of the app as UINavigationItem or UIAccessibilityTraitHeader.</t>
  </si>
  <si>
    <t>Headings and labels should describe associated content.</t>
  </si>
  <si>
    <t>For both Android and iOS, Provide descriptive headings and labels.</t>
  </si>
  <si>
    <t xml:space="preserve">For Android, use setError with contentDescription to display errors. For iOS, indicate an error message at form top, show fields in error, and focus the message on form submit or display an alert pop-up. </t>
  </si>
  <si>
    <t>When content sets a time limit for action, give our customer a way to control that time limit, unless security prevents the possibility of such control.</t>
  </si>
  <si>
    <t xml:space="preserve">For Android, use AlertDialog to display a message to extend time limits._x000D_
For iOS, use UIAlertController to control time limits. </t>
  </si>
  <si>
    <t xml:space="preserve">Use labels and instructions to give our customers clear direction for filling out forms. </t>
  </si>
  <si>
    <t xml:space="preserve">For Android, Provide accessible labels for fields. Use editText to provide explicit labels for fields. </t>
  </si>
  <si>
    <t>guides/mobile/guide-mobile-apps-multimedia.html</t>
  </si>
  <si>
    <t>guides/mobile/guide-mobile-apps-navigation.html</t>
  </si>
  <si>
    <t xml:space="preserve">iOS: focus order is determined by the next and previous logical first responder._x000D_
Android: ensure focus order is properly controlled._x000D_
</t>
  </si>
  <si>
    <t>Present repeated components in the same relative order each time they appear and indicate current location using an item within a navigation feature.</t>
  </si>
  <si>
    <t>NWK-1.1</t>
  </si>
  <si>
    <t>standards-tech/att_standard.html?uid=NWK-1.1</t>
  </si>
  <si>
    <t>Ensure that that any additions, removals, reconfigurations, or changes to network features, functions, or capabilities do not impede the accessibility of any service(s) on the network.</t>
  </si>
  <si>
    <t>guide-network.html</t>
  </si>
  <si>
    <t>Test network non-impedance requirements</t>
  </si>
  <si>
    <t>NWK-1.2</t>
  </si>
  <si>
    <t>standards-tech/att_standard.html?uid=NWK-1.2</t>
  </si>
  <si>
    <t>Ensure that software and network equipment passes through all cross-manufacturer, nonproprietary, industry-standard codes, translation protocols, formats, or other information necessary to provide services in an accessible format.</t>
  </si>
  <si>
    <t>Test network pass-through.</t>
  </si>
  <si>
    <t>NWK-1.3</t>
  </si>
  <si>
    <t>standards-tech/att_standard.html?uid=NWK-1.3</t>
  </si>
  <si>
    <t>Ensure that any signal compression technologies used by this project do not remove information needed to provide accessibility to the services or that the service restore it upon decompression.</t>
  </si>
  <si>
    <t>Test network compression.</t>
  </si>
  <si>
    <t>NWK-2.1</t>
  </si>
  <si>
    <t>standards-tech/att_standard.html?uid=NWK-2.1</t>
  </si>
  <si>
    <t>Ensure network-based services (e.g., APIs, software-as-a-service, etc.) that are used to provide accessibility solutions are available at all times during use of the product or service.</t>
  </si>
  <si>
    <t>Test network availability.</t>
  </si>
  <si>
    <t>guide-removing-customer-bill.html</t>
  </si>
  <si>
    <t xml:space="preserve">The project will remain accessible, following the removal of content. </t>
  </si>
  <si>
    <t>Verify that only the intended content was removed.</t>
  </si>
  <si>
    <t>guide-removing-customer-letter.html</t>
  </si>
  <si>
    <t>guide-email.html</t>
  </si>
  <si>
    <t>guide-ivr-removal.html</t>
  </si>
  <si>
    <t xml:space="preserve">Removing IVR prompts does not require accessibility testing. </t>
  </si>
  <si>
    <t xml:space="preserve">Removing IVR prompts does not require accessibility testing. _x000D_
</t>
  </si>
  <si>
    <t>guide-removing-content-web-page.html</t>
  </si>
  <si>
    <t>guides/chat/guide-chat.html</t>
  </si>
  <si>
    <t>Chat projects must follow the guidance on Chat Accessibility.</t>
  </si>
  <si>
    <t>See the step by step guide to testing on chat accessibility and use the ACAST to serve as test cases for the project.</t>
  </si>
  <si>
    <t>Foreground text and background color contrast ratio should be 4.5:1 or greater.</t>
  </si>
  <si>
    <t>Link text must clearly identify destination or action.</t>
  </si>
  <si>
    <t>standards/att_standard.html?uid=25</t>
  </si>
  <si>
    <t>It is important to convey instructions with textual descriptions to make sure users who cannot see, or cannot hear can still have access to the information.</t>
  </si>
  <si>
    <t>Ensure that page text remains useable when scaled up to 200%</t>
  </si>
  <si>
    <t>Ensure that zooming and font scaling are not blocked.</t>
  </si>
  <si>
    <t>Ensure that all active elements receive keyboard focus</t>
  </si>
  <si>
    <t>All user actionable elements must be accessible with the keyboard. When an element can be triggered via the mouse, the element must also be actionable via the keyboard.</t>
  </si>
  <si>
    <t>The focus indicator should be highlighted to provide a clear indication of where keyboard focus is positioned on the screen.</t>
  </si>
  <si>
    <t>Avoid a keyboard trap. A keyboard "trap" is a region of a Web page into which a keyboard-only user can move her focus, but she cannot move out of that part of the Web page using just a keyboard.</t>
  </si>
  <si>
    <t xml:space="preserve">The order of the elements in the DOM: the tabbing order will follow the order based on their placement in the DOM </t>
  </si>
  <si>
    <t>Desktop (Windows)</t>
  </si>
  <si>
    <t>guides/tech/guide-desktop-gui-windows.html</t>
  </si>
  <si>
    <t>If your application is running on Windows, become acquainted with the Microsoft accessibility overview and Microsoft’s Accessibility testing guidelines.</t>
  </si>
  <si>
    <t>accessibility-testing</t>
  </si>
  <si>
    <t>The testing guidelines provides detailed specifications for designing and implementing an intuitive, consistent, and aesthetically pleasing user interface.</t>
  </si>
  <si>
    <t>Desktop (macOS)</t>
  </si>
  <si>
    <t>guides/tech/guide-desktop-gui-macos.html</t>
  </si>
  <si>
    <t>If your application is running on macOS, become acquainted with the macOS Human Interface Guidelines.</t>
  </si>
  <si>
    <t>https://developer.apple.com/library/content/documentation/UserExperience/Conceptual/OSXHIGuidelines/index.html</t>
  </si>
  <si>
    <t>The macOS Human Interface Guidelines provides detailed specifications for designing and implementing an intuitive, consistent, and aesthetically pleasing user interface.</t>
  </si>
  <si>
    <t>Desktop (Windows or macOS)</t>
  </si>
  <si>
    <t>training/reference/keyboard-accessibility_quick-reference.html</t>
  </si>
  <si>
    <t>Support full keyboard navigation.</t>
  </si>
  <si>
    <t>Users should be able to perform all an app’s functions using the keyboard alone.</t>
  </si>
  <si>
    <t>Don’t override built-in keyboard shortcuts.</t>
  </si>
  <si>
    <t>As a general rule, never override reserved keyboard shortcuts. In particular, be certain to retain accessibility-related keyboard shortcuts, to ensure users who have enabled full keyboard access can work with the app as expected.</t>
  </si>
  <si>
    <t>GUI-1.6</t>
  </si>
  <si>
    <t>standards-tech/att_standard.html?uid=GUI-1.6</t>
  </si>
  <si>
    <t>Provide alternatives for drag-and-drop operations</t>
  </si>
  <si>
    <t>If the app relies on drag-and-drop operations in its workflow, provide alternative ways to accomplish the same tasks.</t>
  </si>
  <si>
    <t>GUI-1.1</t>
  </si>
  <si>
    <t>standards-tech/att_standard.html?uid=GUI-1.1</t>
  </si>
  <si>
    <t>Make sure there’s always a way out of the app’s workflow.</t>
  </si>
  <si>
    <t>Having a way out of the app’s workflow is important for all users, of course, but it’s essential for users of assistive technologies.</t>
  </si>
  <si>
    <t>GUI-1.3</t>
  </si>
  <si>
    <t>standards-tech/att_standard.html?uid=GUI-1.3</t>
  </si>
  <si>
    <t>Although color can greatly enhance a user interface, make sure it is not the only source of information.</t>
  </si>
  <si>
    <t xml:space="preserve">A color blind user may not be able to distinguish between two objects that differ only in color. </t>
  </si>
  <si>
    <t>GUI-1.4</t>
  </si>
  <si>
    <t>standards-tech/att_standard.html?uid=GUI-1.4</t>
  </si>
  <si>
    <t>Provide an audio option to all visual cues and feedback.</t>
  </si>
  <si>
    <t>The app should make it easy to replace visual communication with audio communication.</t>
  </si>
  <si>
    <t>Provide an option to present images and animated content in an alternative manner.</t>
  </si>
  <si>
    <t>If the app displays an image or animation, consider providing succinct descriptions of these elements so that blind or low-vision users can benefit from the information they convey.</t>
  </si>
  <si>
    <t>GUI-1.5</t>
  </si>
  <si>
    <t>standards-tech/att_standard.html?uid=GUI-1.5</t>
  </si>
  <si>
    <t xml:space="preserve">The app should not override the audio-output settings the user selects in System Preferences. </t>
  </si>
  <si>
    <t xml:space="preserve">Ensure the app does not override the audio-output settings the user selects in System Preferences. </t>
  </si>
  <si>
    <t>GUI-1.7</t>
  </si>
  <si>
    <t>standards-tech/att_standard.html?uid=GUI-1.7</t>
  </si>
  <si>
    <t>Provide options to adjust the length of expected response times.</t>
  </si>
  <si>
    <t>Users who have difficulty with fine motor skills benefit from having extra time to respond to app events. When a timed response is required provide at least one response method.</t>
  </si>
  <si>
    <t>GUI-1.11</t>
  </si>
  <si>
    <t>standards-tech/att_standard.html?uid=GUI-1.11</t>
  </si>
  <si>
    <t>Avoid using regularly blinking cursors or other objects onscreen.</t>
  </si>
  <si>
    <t>The frequency of a blinking object must not be in the range of 2 to 55 Hz, inclusive. Objects that blink in this frequency range can cause medical complications, such as seizures, in some people.</t>
  </si>
  <si>
    <t>guides/tech/guide-packaging.html</t>
  </si>
  <si>
    <t xml:space="preserve">The product package opening process does not prevent or hinder a person with a vision impairment, limited strength or motor disabilities from opening the package.  </t>
  </si>
  <si>
    <t>Use  AT&amp;T Brand approved colors, font sizes, contrast ratio of 7:1. Use contrast testing tool. The package can be opened and product removed with one hand using common household tools.</t>
  </si>
  <si>
    <t>solutions/att_solution.html?sol=1&amp;ref=1</t>
  </si>
  <si>
    <t>Check that there is a mechanism to reload page to turn off blinking. Check that reloaded page has no blinking. Check that the reloaded page has all the information and functionality of the original page.</t>
  </si>
  <si>
    <t>solutions/att_solution.html?sol=26&amp;ref=15</t>
  </si>
  <si>
    <t>Using a keyboard, cycle focus through all content. Check that no changes of context occur when any component receives focus.</t>
  </si>
  <si>
    <t>Animation</t>
  </si>
  <si>
    <t xml:space="preserve">For live media, provide the content in accessible formats </t>
  </si>
  <si>
    <t>standards/att_standard.html?uid=6</t>
  </si>
  <si>
    <t>Provide audio captioning for live audio or provide a link to a script describing the live or recorded media.</t>
  </si>
  <si>
    <t>guide-process/guide-sunset.html</t>
  </si>
  <si>
    <t>Projects that are sunsetting (i.e., discontinuing) a product or service must complete the CATO ACoE Sunset Evaluation Form.</t>
  </si>
  <si>
    <t>guide-process/CATO_ACoE_Sunset_Evaluation_Form.docx</t>
  </si>
  <si>
    <t>Complete the CATO ACoE Sunset Evaluation Form and implement any relevant accessibility remediation.</t>
  </si>
  <si>
    <t>HDW-1.1</t>
  </si>
  <si>
    <t>guides/tech/guide-hardware.html</t>
  </si>
  <si>
    <t xml:space="preserve">Ensure all hardware is operable and usable in a way that does not require user vision </t>
  </si>
  <si>
    <t>Tests for ensuring all hardware is operable and usable in a way that does not require user vision</t>
  </si>
  <si>
    <t>HDW-1.2</t>
  </si>
  <si>
    <t>Ensure all hardware is operable and usable for customers with low vision and limited or no hearing</t>
  </si>
  <si>
    <t>Tests for ensuring all hardware is operable and usable for customers with low vision and limited or no hearing</t>
  </si>
  <si>
    <t>HDW-1.3</t>
  </si>
  <si>
    <t>Ensure all hardware is operable and usable for customers with little or no color perception</t>
  </si>
  <si>
    <t>Tests for ensuring all hardware is operable and usable for customers with little or no color perception</t>
  </si>
  <si>
    <t>HDW-1.4</t>
  </si>
  <si>
    <t>Ensure all hardware is operable and usable without hearing</t>
  </si>
  <si>
    <t>Tests for ensuring all hardware is operable and usable without hearing</t>
  </si>
  <si>
    <t>HDW-1.5</t>
  </si>
  <si>
    <t>Ensure all hardware is operable and usable for customers who are hard-of-hearing</t>
  </si>
  <si>
    <t>Tests for ensuring all hardware is operable and usable for customers who are hard-of-hearing</t>
  </si>
  <si>
    <t>HDW-1.6</t>
  </si>
  <si>
    <t>Ensure all hardware is operable and usable in a way that does not require fine dexterity or simultaneous actions by the user</t>
  </si>
  <si>
    <t>Tests for ensuring all hardware is operable and usable in a way that does not require fine dexterity or simultaneous actions by the user</t>
  </si>
  <si>
    <t>HDW-1.7</t>
  </si>
  <si>
    <t>Ensure all hardware is operable and usable for customers with limited reach and strength</t>
  </si>
  <si>
    <t>Tests for ensuring all hardware is operable and usable for customers with limited reach and strength</t>
  </si>
  <si>
    <t>HDW-1.8</t>
  </si>
  <si>
    <t>Ensure all hardware is operable and usable for customers who use a stylus, stick, or other prosthetic device</t>
  </si>
  <si>
    <t>Tests for ensuring all hardware is operable and usable for customers who use a stylus, stick, or other prosthetic device</t>
  </si>
  <si>
    <t>HDW-1.9</t>
  </si>
  <si>
    <t>Ensure all hardware is accessible and usable in a way that minimizes the cognitive, memory, language, and learning skills required of the user</t>
  </si>
  <si>
    <t>Tests for ensuring all hardware is accessible and usable in a way that minimizes the cognitive, memory, language, and learning skills required of the user</t>
  </si>
  <si>
    <t>HDW-1.10</t>
  </si>
  <si>
    <t>Ensure all hardware that utilizes visual flashes/flickers falls within the general flash and red flash thresholds</t>
  </si>
  <si>
    <t>Tests for ensuring all hardware that utilizes visual flashes/flickers falls within the general flash and red flash thresholds</t>
  </si>
  <si>
    <t>HDW-1.11</t>
  </si>
  <si>
    <t>Ensure all hardware that delivers audio through an external speaker also utilizes an industry standard connector for headphones or personal listening devices</t>
  </si>
  <si>
    <t>Tests for ensuring all hardware that delivers audio through an external speaker also utilizes an industry standard connector for headphones or personal listening devices</t>
  </si>
  <si>
    <t>HDW-1.12</t>
  </si>
  <si>
    <t>Ensure all hardware that delivers audio through an external speaker, headset, or earpiece minimizes interference with hearing aid technologies</t>
  </si>
  <si>
    <t>Tests for ensuring all hardware that delivers audio through an external speaker, headset, or earpiece minimizes interference with hearing aid technologies</t>
  </si>
  <si>
    <t>HDW-1.13</t>
  </si>
  <si>
    <t>Ensure all hardware that delivers audio output through a transducer which is normally held up to the ear has an effective means for tele coil coupling</t>
  </si>
  <si>
    <t>Tests for ensuring all hardware that delivers audio output through a transducer which is normally held up to the ear has an effective means for tele coil coupling</t>
  </si>
  <si>
    <t>CMS Templates/ Components</t>
  </si>
  <si>
    <t>guides/web/guide-cms.html</t>
  </si>
  <si>
    <t>CMS templates and components must follow the guidance provided on the CMS page of the ACR website</t>
  </si>
  <si>
    <t>Follow testing guidance provided for relevant standards.</t>
  </si>
  <si>
    <t>guides/web/guide-captcha.html</t>
  </si>
  <si>
    <t>Web page CAPTCHAs must follow the CATO ACoE CAPTCHA Guide page.</t>
  </si>
  <si>
    <t>See the Guide to Web Form Accessibility, Step by Step testing section - Test: Accessible form label placement and Automated tests provided by FireEyes II.</t>
  </si>
  <si>
    <t>standards-tech/att_standard.html?uid=IVR-1.1</t>
  </si>
  <si>
    <t>Ensure IVR/Speech systems are operable and usable without hearing.</t>
  </si>
  <si>
    <t>guides/ivr/guide-ivr-application.html</t>
  </si>
  <si>
    <t>Verify that the IVR is compatible with TTY or TRS.</t>
  </si>
  <si>
    <t>standards-tech/att_standard.html?uid=IVR-1.2</t>
  </si>
  <si>
    <t>Ensure IVR/Speech systems are operable and usable for a user with hearing, but who is hard of hearing.</t>
  </si>
  <si>
    <t>IVR-1.3</t>
  </si>
  <si>
    <t>standards-tech/att_standard.html?uid=IVR-1.3</t>
  </si>
  <si>
    <t>Ensure IVR/Speech systems are operable and usable in a way that does not require fine dexterity or simultaneous actions by the user.</t>
  </si>
  <si>
    <t>Verify multi-key presses are not required to operate the IVR.</t>
  </si>
  <si>
    <t>standards-tech/att_standard.html?uid=IVR-1.4</t>
  </si>
  <si>
    <t>Ensure IVR/Speech systems are operable and usable in a way that does not require a response time or allows response time to be by-passed or adjusted by the user over a wide range.</t>
  </si>
  <si>
    <t>IVR-1.5</t>
  </si>
  <si>
    <t>standards-tech/att_standard.html?uid=IVR-1.5</t>
  </si>
  <si>
    <t>Ensure IVR/Speech systems are operable and usable in a way that does not require speech.</t>
  </si>
  <si>
    <t>Verify there is touch-tone back up for speech input.</t>
  </si>
  <si>
    <t>Ensure IVR/Speech systems are operable and usable in a way that that minimizes the cognitive, memory, language, and learning skills required of the user.</t>
  </si>
  <si>
    <t>IVR-3.1</t>
  </si>
  <si>
    <t>standards-tech/att_standard.html?uid=IVR-3.1</t>
  </si>
  <si>
    <t>Ensure 3rd party solutions for IVR/Speech systems accessibility are available at nominal cost.</t>
  </si>
  <si>
    <t>Verify that if a 3rd party solution required is at nominal cost to the user.</t>
  </si>
  <si>
    <t>IVR-3.2</t>
  </si>
  <si>
    <t>standards-tech/att_standard.html?uid=IVR-3.2</t>
  </si>
  <si>
    <t>Ensure IVR/Speech systems are compatible with commonly used CPE and assistive technology.</t>
  </si>
  <si>
    <t>Verify the IVR can be used with a TTY and TRS.</t>
  </si>
  <si>
    <t>guides/web/guide-ds2.html</t>
  </si>
  <si>
    <t>DS2 Components must follow the guidance in the Guide to the Digital Experience Digital Design Hub and DS2 Features</t>
  </si>
  <si>
    <t>Follow guidance in the Step by Step testing section of the Guide to the Digital Experience Digital Design Hub and DS2 Features</t>
  </si>
  <si>
    <t>guides/tv/guide-tv-providers.html</t>
  </si>
  <si>
    <t>guides/vendor/guide-vendor.html</t>
  </si>
  <si>
    <t xml:space="preserve">The vendor contract shall have a "compliance with laws" clause in order to meet all relevant accessibility mandates. </t>
  </si>
  <si>
    <t>If necessary, provide the Compliance with Laws clause and Accessibility Letter for Suppliers to the vendor.</t>
  </si>
  <si>
    <t>If an RFI or RFP is used, it shall include accessibility for persons with disabilities as a general requirement and attempt to identify or address specific solutions or features required for meeting relevant accessibility mandates.</t>
  </si>
  <si>
    <t>AUR-1.2</t>
  </si>
  <si>
    <t>AUR-2.1</t>
  </si>
  <si>
    <t>AUR-1.3</t>
  </si>
  <si>
    <t>When the content of the page automatically moves, blinks or scrolls for more than 5 seconds, or when information automatically updates, give the customer a way to control that action</t>
  </si>
  <si>
    <t>When information automatically updates itself, give the customer a way to control the update process</t>
  </si>
  <si>
    <t>Ensure that flashing content meets WCAG flash and threshold requirements</t>
  </si>
  <si>
    <t>Avoid allowing anything to flash more than 3 times in 1 second</t>
  </si>
  <si>
    <t>Any time sounds are used to create a sensory experience, also provide a text description of what the sound is and how it is being used</t>
  </si>
  <si>
    <t>For live multimedia, provide the content in accessible formats</t>
  </si>
  <si>
    <t>Ensure that the volume controls of audio players are accessible</t>
  </si>
  <si>
    <t>Provide a text transcript of any information presented in audio</t>
  </si>
  <si>
    <t>Ensure auto-playing audio can be paused or stopped within three seconds</t>
  </si>
  <si>
    <t>In live video, provide closed captioning of the accompanying audio</t>
  </si>
  <si>
    <t>Use additional elements besides color to convey relevant information</t>
  </si>
  <si>
    <t>Avoid automatic changes when an item is focused</t>
  </si>
  <si>
    <t>Ensure that non-emergency interruptions can be deferred</t>
  </si>
  <si>
    <t>Tell users when their actions will change page state</t>
  </si>
  <si>
    <t>Allow users to continue their authenticated sessions without loss of data</t>
  </si>
  <si>
    <t>Properly code heading, and important information to be accessible through assistive technologies</t>
  </si>
  <si>
    <t>Add correct markup for a page's language</t>
  </si>
  <si>
    <t>Provide a proper word pronunciation method when different pronunciations change the word's meaning</t>
  </si>
  <si>
    <t>Write to no higher than a 9th grade reading level</t>
  </si>
  <si>
    <t>Do not justify text</t>
  </si>
  <si>
    <t>Ensure that instructions do not rely solely on sensory characteristics</t>
  </si>
  <si>
    <t>Properly define abbreviations</t>
  </si>
  <si>
    <t>Use section headings to organize content</t>
  </si>
  <si>
    <t>Follow coding format specifications</t>
  </si>
  <si>
    <t>Ensure that page or screen titles clearly present the topic or purpose of the content</t>
  </si>
  <si>
    <t>Allow user to skip past repetitive blocks of content.</t>
  </si>
  <si>
    <t>Headings and labels should describe associated content</t>
  </si>
  <si>
    <t>Provide context-sensitive help for filling out forms</t>
  </si>
  <si>
    <t>Tag decorative images so they are ignored by assistive technology</t>
  </si>
  <si>
    <t>Use live text instead of images where possible</t>
  </si>
  <si>
    <t>Ensure that actionable elements are keyboard accessible</t>
  </si>
  <si>
    <t>Avoid non-user initiated changes</t>
  </si>
  <si>
    <t>Ensure logical tabbing order</t>
  </si>
  <si>
    <t>Indicate user location on the site</t>
  </si>
  <si>
    <t>Use a consistent navigation structure for web pages</t>
  </si>
  <si>
    <t>Ensure multiple ways to locate pages</t>
  </si>
  <si>
    <t>Ensure that data table content is formatted for accessibility</t>
  </si>
  <si>
    <t>Build data tables as simply as possible</t>
  </si>
  <si>
    <t>Provide effective titles and descriptions</t>
  </si>
  <si>
    <t>Provide alternate means of content access for pre-recorded multimedia</t>
  </si>
  <si>
    <t>Ensure alternative pages are avoided. If alternative pages are provided, provide equivalent functionality.</t>
  </si>
  <si>
    <t>Provide a link to an accessible plug-in for embedded and linked applets, plug-ins or other applications.</t>
  </si>
  <si>
    <t>Touch Target Size and Spacing</t>
  </si>
  <si>
    <t>Touch Events</t>
  </si>
  <si>
    <t>Avoid using structural markup that is not appropriate for the content of the element</t>
  </si>
  <si>
    <t>Provide a way to reload Web pages without blinking or scrolling content</t>
  </si>
  <si>
    <t>Stop an animation after a certain number of iterations and in no more than 5 seconds.</t>
  </si>
  <si>
    <t>Use a script to create a scrolling effect that our customer can stop or pause.</t>
  </si>
  <si>
    <t>Add a control on the page that allows our customer to stop the auto-updating.</t>
  </si>
  <si>
    <t>Allow our customer to pause the content and then restart it from that point.</t>
  </si>
  <si>
    <t>Provide an interface with no flashing components.</t>
  </si>
  <si>
    <t>Ensure that no component of the content flashes more than three times in any 1-second period</t>
  </si>
  <si>
    <t>Next to the link to the audio file, add a link to the description, such as a link to a transcript next to the audio-only file the transcript is for.</t>
  </si>
  <si>
    <t>Incorporate a live audio captioning service into a Web page</t>
  </si>
  <si>
    <t>Provide a link to the script of a prepared statement</t>
  </si>
  <si>
    <t>Provide text-based alternatives for live audio-only content</t>
  </si>
  <si>
    <t>Providing a control near the beginning of the Web page that turns off sounds that play automatically.</t>
  </si>
  <si>
    <t>Along with a prerecorded video of the steps to set up a device, provide a link to written instructions</t>
  </si>
  <si>
    <t>Use the script for a training video to develop a training manual.</t>
  </si>
  <si>
    <t>Do not play the audio automatically</t>
  </si>
  <si>
    <t>Playing a sound that turns off automatically within three seconds</t>
  </si>
  <si>
    <t>Provide live captions</t>
  </si>
  <si>
    <t>Ensure that information conveyed by color differences is also available in text</t>
  </si>
  <si>
    <t>In forms, add a text cue to colored labels</t>
  </si>
  <si>
    <t>In images, use pattern to convey information also communicated by color difference</t>
  </si>
  <si>
    <t>Follow current Branding specs, including requirements related to colors to be used for headings and text.</t>
  </si>
  <si>
    <t>Let customers reset foreground and background colors to meet their needs. (Operating systems and browsers let the user do this. Don't override those settings.)</t>
  </si>
  <si>
    <t>To increase contrast over a background gradient, add a higher-contrast glow behind the text.</t>
  </si>
  <si>
    <t>Use 'activate' rather than 'focus' as a trigger for changes of context.</t>
  </si>
  <si>
    <t>Provide a mechanism to postpone any updating of content.</t>
  </si>
  <si>
    <t>Provide a mechanism to request an update of the content instead of updating automatically.</t>
  </si>
  <si>
    <t>Use scripts to make nonessential alerts optional.</t>
  </si>
  <si>
    <t>Provide instructions preceding a user interface element that will cause change of context.</t>
  </si>
  <si>
    <t>Encode user data as hidden or encrypted data in a re-authorization page.</t>
  </si>
  <si>
    <t>Save data so that it can be used after a user re-authenticates.</t>
  </si>
  <si>
    <t>Use headings and other semantic elements to add structure.</t>
  </si>
  <si>
    <t>Use , &lt;strong&gt;, or other semantic markup to indicate special text or add emphasis.</t>
  </si>
  <si>
    <t>When boldface, italics, or other variations in the appearance of text indicate a state or property, add words to present the same information.</t>
  </si>
  <si>
    <t>Use the language attributes of the &lt;html&gt; element.</t>
  </si>
  <si>
    <t>Order content in a meaningful sequence.</t>
  </si>
  <si>
    <t>Position content based on structural markup.</t>
  </si>
  <si>
    <t>Make the DOM order match the visual order.</t>
  </si>
  <si>
    <t>Define terms in context.</t>
  </si>
  <si>
    <t>Either on its first occurrence or on all occurrences, link from the term to its definition.</t>
  </si>
  <si>
    <t>In the head of the document, establish a relative link to a glossary.</t>
  </si>
  <si>
    <t>Provide link text that describes the purpose of a link.</t>
  </si>
  <si>
    <t>Provide link text that describes the purpose of a link for anchor elements.</t>
  </si>
  <si>
    <t>Provide text alternatives for the area elements of image maps.</t>
  </si>
  <si>
    <t>Use a synonym that can be pronounced only one way.</t>
  </si>
  <si>
    <t>Link to an audio file of the same content.</t>
  </si>
  <si>
    <t>Provide the pronunciation immediately following the word.</t>
  </si>
  <si>
    <t>Use Microsoft Word 2010/2013 to easily determine the Flesch-Kincaid Grade Level test results.</t>
  </si>
  <si>
    <t>Using the principles found at PlainLanguage.gov, write in plain, clear language.</t>
  </si>
  <si>
    <t>Provide a spoken version of the text.</t>
  </si>
  <si>
    <t>Provide visual illustrations, pictures, and symbols to help explain ideas, events, and processes.</t>
  </si>
  <si>
    <t>In HTML and CSS, don't specify an alignment - leave it up to the browser.</t>
  </si>
  <si>
    <t>Using CSS, set the alignment to either left or right for an entire class of text.</t>
  </si>
  <si>
    <t>Provide a widget that allows the user to remove full justification.</t>
  </si>
  <si>
    <t>Add text to convey the same information.</t>
  </si>
  <si>
    <t>Provide the expansion or explanation of an abbreviation.</t>
  </si>
  <si>
    <t>Organizing a page using headings.</t>
  </si>
  <si>
    <t>Use labels, names, and text alternatives consistently for content that has the same functionality.</t>
  </si>
  <si>
    <t>Use language attributes to identify changes in the human language.</t>
  </si>
  <si>
    <t>Whenever possible, use HTML form controls and links instead of custom controls.</t>
  </si>
  <si>
    <t>If you must use custom controls, ensure that their status is available to assistive technology.</t>
  </si>
  <si>
    <t>Use a validation tool to ensure the HTML code conforms fully to specifications.</t>
  </si>
  <si>
    <t>Manually review web page source code.</t>
  </si>
  <si>
    <t>Do a full page screen reader pass and form label test.</t>
  </si>
  <si>
    <t>Identify a Web page's relationship to a larger collection of Web pages.</t>
  </si>
  <si>
    <t>Provide descriptive titles for web pages.</t>
  </si>
  <si>
    <t>Add a link at the top of each page that goes directly to the main content area.</t>
  </si>
  <si>
    <t>Add links at the top of the page to each area of the content</t>
  </si>
  <si>
    <t>Add a link at the beginning of a block of repeated content to go to the end of the block</t>
  </si>
  <si>
    <t>Provide descriptive in-page headings.</t>
  </si>
  <si>
    <t>Provide descriptive labels</t>
  </si>
  <si>
    <t>Provide a text description when the user provides information that is not in the list of allowed values</t>
  </si>
  <si>
    <t>Provide a text description when user input falls outside the required format or values.</t>
  </si>
  <si>
    <t>Provide text descriptions to identify required fields that were not completed</t>
  </si>
  <si>
    <t>For authenticated customers, use contextual information to pre-populate a data field or to provide likely options for entries.</t>
  </si>
  <si>
    <t>On Submit, first display all information that is to be submitted. Let our customer make corrections before submitting it.</t>
  </si>
  <si>
    <t>Allow our customer to have a specific period of time after the data is submitted to go back online and update it. On the Web page, tell how long that time is.</t>
  </si>
  <si>
    <t>Allow the content to be paused and restarted from where it was paused</t>
  </si>
  <si>
    <t>Provide a checkbox on the first page of a multipart form that allows users to ask for longer session time limit or no session time limit</t>
  </si>
  <si>
    <t>Provide a way for the user to turn the time limit off.</t>
  </si>
  <si>
    <t>Provide a help link on every Web page</t>
  </si>
  <si>
    <t>Provide spell checking and suggestions for text input.</t>
  </si>
  <si>
    <t>Provide a text description when the user provides information that is not in the list of allowed values.</t>
  </si>
  <si>
    <t>Provide a text description when user input falls outside the required format or values</t>
  </si>
  <si>
    <t>If any required fields were not completed, tell which ones.</t>
  </si>
  <si>
    <t>Put clearly descriptive labels on form fields.</t>
  </si>
  <si>
    <t>In the HTML code, use the &lt;label&gt; element to associate each text label with its form field.</t>
  </si>
  <si>
    <t>When using the &lt;button&gt; element, add the title attribute and enter the label in it.</t>
  </si>
  <si>
    <t>Provide short text alternative for non-text content that serves the same purpose and presents the same information as the non-text content.</t>
  </si>
  <si>
    <t>In HTML, add alt="" and no title attribute to the &lt;img&gt; tag.</t>
  </si>
  <si>
    <t>In HTML, use CSS to put a decorative image in the background.</t>
  </si>
  <si>
    <t>Use CSS to control the appearance of text.</t>
  </si>
  <si>
    <t>Use CSS to replace text with images, and give the user a way to switch.</t>
  </si>
  <si>
    <t>Ensure keyboard control for all functionality</t>
  </si>
  <si>
    <t>Provide keyboard-triggered event handlers</t>
  </si>
  <si>
    <t>Use HTML form controls and links</t>
  </si>
  <si>
    <t>Use CSS to change the appearance of a user interface component when it receives focus</t>
  </si>
  <si>
    <t>Using user interface components that are highlighted by the user agent when they receive focus</t>
  </si>
  <si>
    <t>Use the default focus indicator for the platform so that high visibility default focus indicators will carry over.</t>
  </si>
  <si>
    <t>Ensure that users are not trapped in content.</t>
  </si>
  <si>
    <t>In scripting, use an onchange event on a select element with no change of context.</t>
  </si>
  <si>
    <t>Give users advanced warning when opening a new window.</t>
  </si>
  <si>
    <t>Create a logical tab order through links, form controls, and objects.</t>
  </si>
  <si>
    <t>Place the interactive elements in an order that follows sequences and relationships within the content.</t>
  </si>
  <si>
    <t>Indicate current location within navigation bars.</t>
  </si>
  <si>
    <t>Show a breadcrumb trail on each page.</t>
  </si>
  <si>
    <t>Present repeated components in the same relative order each time they appear.</t>
  </si>
  <si>
    <t>Provide a search mechanism.</t>
  </si>
  <si>
    <t>Provide links to navigate to related Web pages.</t>
  </si>
  <si>
    <t>Do not nest data tables.</t>
  </si>
  <si>
    <t>Do not use sub-tables inside header elements.</t>
  </si>
  <si>
    <t>For the title of the table, add a properly tagged, meaningful caption.</t>
  </si>
  <si>
    <t>For tables that utilize a &lt;span&gt; tag in column headers, row headers, or both, add a summary attribute to the &lt;table&gt; tag.</t>
  </si>
  <si>
    <t xml:space="preserve">Provide a second, user-selectable, audio track that includes audio descriptions </t>
  </si>
  <si>
    <t>Provide a version of pre-recorded video with audio descriptions</t>
  </si>
  <si>
    <t>Provide closed captions</t>
  </si>
  <si>
    <t>Use liquid layout techniques to ensure no loss of functionality or content when text is scaled.</t>
  </si>
  <si>
    <t>Variable Name</t>
  </si>
  <si>
    <t>Value</t>
  </si>
  <si>
    <t>Solutions</t>
  </si>
  <si>
    <t>Pause, Stop, Hide</t>
  </si>
  <si>
    <t>Flash Threshold</t>
  </si>
  <si>
    <t>Transcripts</t>
  </si>
  <si>
    <t>Alternative to Audio and Visual Content</t>
  </si>
  <si>
    <t>Sound Control</t>
  </si>
  <si>
    <t>Controlling Auto Play</t>
  </si>
  <si>
    <t>Text Cue</t>
  </si>
  <si>
    <t>Follow Current Branding Specs</t>
  </si>
  <si>
    <t>Triggers</t>
  </si>
  <si>
    <t>Postpone Content Updates</t>
  </si>
  <si>
    <t>Changes of State</t>
  </si>
  <si>
    <t>Timeouts</t>
  </si>
  <si>
    <t>Structural Markup</t>
  </si>
  <si>
    <t>Indicating Language</t>
  </si>
  <si>
    <t>Content Order</t>
  </si>
  <si>
    <t>Define Terms</t>
  </si>
  <si>
    <t>Descriptive Links</t>
  </si>
  <si>
    <t>Text Alignment</t>
  </si>
  <si>
    <t>Visual Cues and Audio Alerts</t>
  </si>
  <si>
    <t>Headings</t>
  </si>
  <si>
    <t>Consistent Components</t>
  </si>
  <si>
    <t>Language Changes</t>
  </si>
  <si>
    <t>Controls and Links</t>
  </si>
  <si>
    <t>Review Code</t>
  </si>
  <si>
    <t>Unique Page/Screen Titles</t>
  </si>
  <si>
    <t>Skip Navigation</t>
  </si>
  <si>
    <t>Headings and Labels</t>
  </si>
  <si>
    <t>Error Messages</t>
  </si>
  <si>
    <t>Avoid Errors</t>
  </si>
  <si>
    <t>Error Correction</t>
  </si>
  <si>
    <t>Labels and Instructions</t>
  </si>
  <si>
    <t>Textual Alternative</t>
  </si>
  <si>
    <t>Images of Text</t>
  </si>
  <si>
    <t>Input Method Support</t>
  </si>
  <si>
    <t>Visible Focus</t>
  </si>
  <si>
    <t>Keyboard Traps</t>
  </si>
  <si>
    <t>Managing Focus</t>
  </si>
  <si>
    <t>User Location</t>
  </si>
  <si>
    <t>Consistent Navigation</t>
  </si>
  <si>
    <t>Provide Search</t>
  </si>
  <si>
    <t>Accessible Data Tables</t>
  </si>
  <si>
    <t>Layouts</t>
  </si>
  <si>
    <t>Pre-recorded Alternative</t>
  </si>
  <si>
    <t>Zoom</t>
  </si>
  <si>
    <t>Avoid Alternative Pages</t>
  </si>
  <si>
    <t>Plug-Ins</t>
  </si>
  <si>
    <t>Space</t>
  </si>
  <si>
    <t>Touch Targets</t>
  </si>
  <si>
    <t>Visual Presentation</t>
  </si>
  <si>
    <t>standards-tech/att_standard.html?uid=AUR-1.1</t>
  </si>
  <si>
    <t>standards-tech/att_standard.html?uid=AUR-1.2</t>
  </si>
  <si>
    <t>Ensure the marketing plan that identifies specific target populations also includes disability types</t>
  </si>
  <si>
    <t>standards-tech/att_standard.html?uid=AUR-1.3</t>
  </si>
  <si>
    <t>standards-tech/att_standard.html?uid=AUR-2.1</t>
  </si>
  <si>
    <t>Ensure advertising created for this product, that include diversity requirements also include people with disabilities</t>
  </si>
  <si>
    <t>Ensure product design research when conducted with users, also includes individuals with disabilities</t>
  </si>
  <si>
    <t>Scope URL</t>
  </si>
  <si>
    <t>Scope Text</t>
  </si>
  <si>
    <r>
      <t xml:space="preserve">Is the scope of your project creating or adding a </t>
    </r>
    <r>
      <rPr>
        <b/>
        <sz val="12"/>
        <color theme="1"/>
        <rFont val="Calibri"/>
        <family val="2"/>
        <scheme val="minor"/>
      </rPr>
      <t>chat</t>
    </r>
    <r>
      <rPr>
        <sz val="12"/>
        <color theme="1"/>
        <rFont val="Calibri"/>
        <family val="2"/>
        <scheme val="minor"/>
      </rPr>
      <t xml:space="preserve"> component or creating a </t>
    </r>
    <r>
      <rPr>
        <b/>
        <sz val="12"/>
        <color theme="1"/>
        <rFont val="Calibri"/>
        <family val="2"/>
        <scheme val="minor"/>
      </rPr>
      <t>chat fast pass</t>
    </r>
    <r>
      <rPr>
        <sz val="12"/>
        <color theme="1"/>
        <rFont val="Calibri"/>
        <family val="2"/>
        <scheme val="minor"/>
      </rPr>
      <t>?</t>
    </r>
  </si>
  <si>
    <t>CATO Accessibility Center of Excellence (ACoE) Guide</t>
  </si>
  <si>
    <t>Cover Sheet Information</t>
  </si>
  <si>
    <t>CATO #</t>
  </si>
  <si>
    <t>JIRA #</t>
  </si>
  <si>
    <t>Project Name</t>
  </si>
  <si>
    <t>PMATT Number</t>
  </si>
  <si>
    <t>PRISM Number(s)</t>
  </si>
  <si>
    <t>AMP Report Name
(Web and PDF impacted projects)</t>
  </si>
  <si>
    <t>Planned Project Launch Date</t>
  </si>
  <si>
    <t>Client Sponsor Name and ATTUID</t>
  </si>
  <si>
    <t>Lead Project Manager(s) Name and ATTUID</t>
  </si>
  <si>
    <t>Project team member responsible for completing accessibility testing Name and ATTUID</t>
  </si>
  <si>
    <t>Date This Document Filed</t>
  </si>
  <si>
    <t>SMEs / Project Team Members who Contributed to or Completed the Guide (Name and ATTUID)</t>
  </si>
  <si>
    <t>Store this CATO ACoE Guide, any accessibility documentation, and test results. 
Accessibility documentation should be assigned  RIM code MAR-460 on annual BU inventory of records  and be retained for 5 years after product or services are discontinued or longer if subject to a legal hold. 
This documentation may be requested if your project is selected for a CATO accessibility assessment.</t>
  </si>
  <si>
    <t>Interim Guide Phase 2: Added AMP Project Name on Cover Page. Added Customer Collateral (Adobe InDesign) content to Scope and Req&amp;Test tabs. Updated from "Sev 1-3" to "Regulatory Impact/Best Practices Impact" on Req&amp;Test tab drop down and instructions.  Updated UID titles for UIDs 9, 25, and 48. Added AMP Info to Req&amp;Test tab.</t>
  </si>
  <si>
    <t>Interim Guide Phase 1: updated column L in Requirements &amp; Testing for assessment usage. Corrected RIM verbiage on Cover Page.</t>
  </si>
  <si>
    <t>Added assessment content to cover page and new column to Req &amp; Testing</t>
  </si>
  <si>
    <t>Changed links to point to a forwarding page for tracking referrals.</t>
  </si>
  <si>
    <t>Retargeted all hyperlinks to the public ACR site where possible.</t>
  </si>
  <si>
    <t>Removed depcrecated standards: UID13/UID51. Combined UIDs 13 and 47 into UID15. Combined UID 51 into UID50. Updated titles for UID6/UID15/UID50.</t>
  </si>
  <si>
    <t xml:space="preserve">Removed deprecated standards: UID14/UID16/UID24/UID27/UID47/UID49 </t>
  </si>
  <si>
    <t>Corrected Vendor requirements</t>
  </si>
  <si>
    <t>Updated RIM Code to MAR-460. Changed wording of "New and modified" web pages.</t>
  </si>
  <si>
    <t>Added Definitions tab and linked all scope items in Project Scope tab.</t>
  </si>
  <si>
    <t>Added Column H (Comments) to the Requirements &amp; Testing tab</t>
  </si>
  <si>
    <t>Added new content for 3.1.7 ACoE Release</t>
  </si>
  <si>
    <t>Corrected Forms selection, updated Job Aid link, and correctly hid cells</t>
  </si>
  <si>
    <t>Updated links</t>
  </si>
  <si>
    <t>Updated to include all 3.1.6 ACoE content items</t>
  </si>
  <si>
    <t>Updated to include Ph3 Project scope items, changed "printed documents" to "printed materials."</t>
  </si>
  <si>
    <t>Updated RIM Requirements</t>
  </si>
  <si>
    <t>Updated scope to include all Phase 2 ACoE content.</t>
  </si>
  <si>
    <t>Updated ACoE guide scope for HTML emails, as well as web.  Corrected applicability formula. Hid formulas and protected worksheets.  Added storage statement to the cover page. Removed input message on project scope column C.</t>
  </si>
  <si>
    <t>* Creation of ACoE Guide</t>
  </si>
  <si>
    <t>Description</t>
  </si>
  <si>
    <t>Revision Date</t>
  </si>
  <si>
    <t>Version</t>
  </si>
  <si>
    <t>Current:</t>
  </si>
  <si>
    <t>guide-text-only-changes.html</t>
  </si>
  <si>
    <t>guide-pdf.html</t>
  </si>
  <si>
    <t>guide-ms-doc.html</t>
  </si>
  <si>
    <t>guide-sms.html</t>
  </si>
  <si>
    <t>guide-mobile-apps.html</t>
  </si>
  <si>
    <t>guides/tech/guide-desktop-gui-macOS.html</t>
  </si>
  <si>
    <t>acoe/index.html#guides-other</t>
  </si>
  <si>
    <t>guides/web/guide-carousels.html</t>
  </si>
  <si>
    <t>guide-custom-web-components.html</t>
  </si>
  <si>
    <t>standards/att_standard.html?uid=21</t>
  </si>
  <si>
    <t>Ensure Adobe InDesign Documents are accessible or made available in an accessible format.</t>
  </si>
  <si>
    <t>standards-tech/att_standard.html?uid=SUP-1.1</t>
  </si>
  <si>
    <t>standards/att_standard.html?uid=57</t>
  </si>
  <si>
    <t>standards-tech/att_standard.html?uid=SUP-1.2</t>
  </si>
  <si>
    <t>standards-tech/att_standard.html?uid=IVR-1.6</t>
  </si>
  <si>
    <t>standards-tech/att_standard.html?uid=HDW-1.1</t>
  </si>
  <si>
    <t>standards-tech/att_standard.html?uid=HDW-1.13</t>
  </si>
  <si>
    <t>standards-tech/att_standard.html?uid=HDW-1.12</t>
  </si>
  <si>
    <t>standards-tech/att_standard.html?uid=HDW-1.11</t>
  </si>
  <si>
    <t>standards-tech/att_standard.html?uid=HDW-1.10</t>
  </si>
  <si>
    <t>standards-tech/att_standard.html?uid=HDW-1.9</t>
  </si>
  <si>
    <t>standards-tech/att_standard.html?uid=HDW-1.8</t>
  </si>
  <si>
    <t>standards-tech/att_standard.html?uid=HDW-1.7</t>
  </si>
  <si>
    <t>standards-tech/att_standard.html?uid=HDW-1.6</t>
  </si>
  <si>
    <t>standards-tech/att_standard.html?uid=HDW-1.5</t>
  </si>
  <si>
    <t>standards-tech/att_standard.html?uid=HDW-1.4</t>
  </si>
  <si>
    <t>standards-tech/att_standard.html?uid=HDW-1.3</t>
  </si>
  <si>
    <t>standards-tech/att_standard.html?uid=HDW-1.2</t>
  </si>
  <si>
    <t>Complete rows for Chat on the Requirements &amp; Testing tab.</t>
  </si>
  <si>
    <t>Complete rows for Advertising &amp; User Research on the Requirements &amp; Testing tab.</t>
  </si>
  <si>
    <t>Complete rows for Desktop (Windows or macOS) on the Requirements &amp; Testing tab.</t>
  </si>
  <si>
    <t>Complete rows for Network on the Requirements &amp; Testing tab.</t>
  </si>
  <si>
    <t>Complete for Packaging on the Requirements &amp; Testing tab.</t>
  </si>
  <si>
    <t>Complete rows for Sunset on the Requirements &amp; Testing tab.</t>
  </si>
  <si>
    <t>Complete rows for Vendor on the Requirements &amp; Testing tab.</t>
  </si>
  <si>
    <t>Answer the sub-questions below to further define the scope of your Web project.</t>
  </si>
  <si>
    <t>Answer the sub-questions below to further define the scope of your Video &amp; TV project.</t>
  </si>
  <si>
    <t>Interim Guide Phase 3:</t>
  </si>
  <si>
    <t>Complete rows for Automated Outbound (AO) on the Requirements &amp; Testing tab.</t>
  </si>
  <si>
    <t>Complete rows for Customer Collateral (Adobe InDesign) on the Requirements &amp; Testing tab.</t>
  </si>
  <si>
    <t>Complete rows for Customer Collateral (MS Office) on the Requirements &amp; Testing tab.</t>
  </si>
  <si>
    <t>Complete rows for Customer Collateral (PDF) on the Requirements &amp; Testing tab.</t>
  </si>
  <si>
    <t>Complete rows for Customer Collateral (Printed) on the Requirements &amp; Testing tab.</t>
  </si>
  <si>
    <t>Complete rows for Email on the Requirements &amp; Testing tab.</t>
  </si>
  <si>
    <t>Complete rows for SMS Text Messaging on the Requirements &amp; Testing tab.</t>
  </si>
  <si>
    <t>Complete rows for Removing Content (Bill) on the Requirements &amp; Testing tab.</t>
  </si>
  <si>
    <t>Complete rows for Removing Content (Letter) on the Requirements &amp; Testing tab.</t>
  </si>
  <si>
    <t>Complete rows for Removing Content (Email) on the Requirements &amp; Testing tab.</t>
  </si>
  <si>
    <t>Answer the sub-questions below to further define the scope of your Customer Collateral project.</t>
  </si>
  <si>
    <t>Complete rows for IVR Application on the Requirements &amp; Testing tab.</t>
  </si>
  <si>
    <t>Complete rows for IVR Prompts on the Requirements &amp; Testing tab.</t>
  </si>
  <si>
    <t>Complete rows for IVR Timeouts on the Requirements &amp; Testing tab.</t>
  </si>
  <si>
    <t>Complete rows for Removing Content (IVR) on the Requirements &amp; Testing tab.</t>
  </si>
  <si>
    <t>Answer the sub-questions below to further define the scope of your Mobile Apps project.</t>
  </si>
  <si>
    <t>Answer the sub-questions below to further define the scope of your IVR project.</t>
  </si>
  <si>
    <t>Complete rows for Mobile App Animation on the Requirements &amp; Testing tab.</t>
  </si>
  <si>
    <t>Complete rows for Mobile App Dynamic Content on the Requirements &amp; Testing tab.</t>
  </si>
  <si>
    <t>Complete rows for Mobile App Document Structure on the Requirements &amp; Testing tab.</t>
  </si>
  <si>
    <t>Complete rows for Mobile App Forms on the Requirements &amp; Testing tab.</t>
  </si>
  <si>
    <t>Complete rows for Mobile App Images on the Requirements &amp; Testing tab.</t>
  </si>
  <si>
    <t>Complete rows for Mobile App Multimedia on the Requirements &amp; Testing tab.</t>
  </si>
  <si>
    <t>Complete rows for Mobile App Navigation on the Requirements &amp; Testing tab.</t>
  </si>
  <si>
    <t>Complete rows for Live Video on the Requirements &amp; Testing tab.</t>
  </si>
  <si>
    <t>Complete rows for Videos on the Requirements &amp; Testing tab.</t>
  </si>
  <si>
    <t>Complete rows for CAPTCHA on the Requirements &amp; Testing tab.</t>
  </si>
  <si>
    <t>Complete rows for Animation (Web) on the Requirements &amp; Testing tab.</t>
  </si>
  <si>
    <t>Complete rows for Carousels on the Requirements &amp; Testing tab.</t>
  </si>
  <si>
    <t>Complete rows for Color (Web) on the Requirements &amp; Testing tab.</t>
  </si>
  <si>
    <t>Complete rows for CMS Templates/Components on the Requirements &amp; Testing tab.</t>
  </si>
  <si>
    <t>Complete rows for CSS on the Requirements &amp; Testing tab.</t>
  </si>
  <si>
    <t>Complete rows for Custom Web Components on the Requirements &amp; Testing tab.</t>
  </si>
  <si>
    <t>Complete rows for DS2 Components and Digital Design Hub on the Requirements &amp; Testing tab.</t>
  </si>
  <si>
    <t>Complete rows for JavaScript Frameworks on the Requirements &amp; Testing tab.</t>
  </si>
  <si>
    <t>Complete rows for Links on the Requirements &amp; Testing tab.</t>
  </si>
  <si>
    <t>Complete rows for Forms (Web) on the Requirements &amp; Testing tab.</t>
  </si>
  <si>
    <t>Complete rows for Images (Web) on the Requirements &amp; Testing tab.</t>
  </si>
  <si>
    <t>Complete rows for Navigation (Web) on the Requirements &amp; Testing tab.</t>
  </si>
  <si>
    <t>Complete rows for Modal Windows on the Requirements &amp; Testing tab.</t>
  </si>
  <si>
    <t>Complete rows for Tables on the Requirements &amp; Testing tab.</t>
  </si>
  <si>
    <t>Complete rows for Verbiage on the Requirements &amp; Testing tab.</t>
  </si>
  <si>
    <t>Complete rows for Web Page Structure on the Requirements &amp; Testing tab.</t>
  </si>
  <si>
    <t>Complete rows for Removing Content (Web Page) on the Requirements &amp; Testing tab.</t>
  </si>
  <si>
    <t>1. Take the accessibility requirement in Column E and add it to your project documentation.</t>
  </si>
  <si>
    <t>3. In Column H, select "Included" from the drop down menu to confirm that you have included the accessibility requirement in project documentation.</t>
  </si>
  <si>
    <t>4. Use the testing tools and guidance in Column I to test the accessibility requirement and indicate testing results in Column L.</t>
  </si>
  <si>
    <t>5. Provide a brief statement explaining testing process utilized in Column M.</t>
  </si>
  <si>
    <t>Chat Fast Pass</t>
  </si>
  <si>
    <t>Consider including individuals with disabilities if product design research will be conducted with users</t>
  </si>
  <si>
    <t>Consider including disabilities types among target populations identified by marketing plans</t>
  </si>
  <si>
    <t>Consider including people with disabilities in any advertising created for this product or service</t>
  </si>
  <si>
    <t>Consider including individuals with disabilities in any market research</t>
  </si>
  <si>
    <t>Ensure market research conducted for the project, will include individuals with disabilities in that research</t>
  </si>
  <si>
    <t>Term</t>
  </si>
  <si>
    <t>Definition</t>
  </si>
  <si>
    <t>Advertising &amp; User Research includes marketing campaigns, user trials, usability studies, focus groups, and product trials.</t>
  </si>
  <si>
    <t>Content designed to move or change. Animation may include sliding, scrolling, flickering, etc. Animation also includes automatic updates of information.</t>
  </si>
  <si>
    <t>Customer communication delivered through automated voice calls.</t>
  </si>
  <si>
    <t>CAPTCHA stands for "Completely Automated Public Turing Test To Tell Computers and Humans Apart."  It is a security feature to differentiate a human from a computer. CAPTCHA typically presents users with distorted images of words, or a pattern of numbers and letters. The user must correctly enter the characters before they can continue</t>
  </si>
  <si>
    <t xml:space="preserve">Carousels are also known as slide shows or sliders. They display a series of content items one at a time. </t>
  </si>
  <si>
    <t>Interactive text chat for desktop and mobile web pages, and native apps.</t>
  </si>
  <si>
    <t xml:space="preserve">Web fast passes specifically for interactive text chat. </t>
  </si>
  <si>
    <t xml:space="preserve">Color plays an important part in communicating ideas and information. Color must be considered in combination with background/foreground contrast, and by providing additional information to convey relevant information. </t>
  </si>
  <si>
    <t>CMS stands for "Content Management System." It includes the templates and components that describe elements created for use by a content implementer.</t>
  </si>
  <si>
    <t>CSS stands for "Cascading Style Sheets." It is a language that describes the style of an HTML document. CSS describes how HTML elements should be displayed.</t>
  </si>
  <si>
    <t>Interface elements that have functionalities beyond what can be achieved with standard HTML components. It can be a component that is not part of the standard HTML controls such as a tab structure. It can also be a customized standard HTML control; for example when creating a custom checkbox with customized styles and scripts making it function like a standard checkbox.</t>
  </si>
  <si>
    <t>Customer collateral is a marketing term typically used to define customer deliverables that contain support information for a product or service. MS Office documents include items created using the Word, PowerPoint, or Excel programs.</t>
  </si>
  <si>
    <t>Customer collateral is a marketing term typically used to define customer deliverables that contain support information for a product or service. PDF stands for "Portable Document Format." It is a format developed by Adobe that allows files to be presented in a consistent manner independent of hardware and software.</t>
  </si>
  <si>
    <t>Customer collateral is a marketing term typically used to define customer deliverables that contain support information for a product or service. Printed collateral is delivered by the postal service or provided directly to the customer by a retail store.</t>
  </si>
  <si>
    <t>Desktop</t>
  </si>
  <si>
    <t xml:space="preserve">Desktop applications are traditionally run on desktop or laptop computers, using an operating system such as Windows or Mac. </t>
  </si>
  <si>
    <t xml:space="preserve">The Digital Experience team calls the Digital Design Hub "the central repository for our design standards and guidelines. The site includes content for visual designers, writers, and developers but also has important uses for anyone who needs to understand the visual and code elements that compose web content. </t>
  </si>
  <si>
    <t>A method of exchanging electronic messages between people.</t>
  </si>
  <si>
    <t>Content that requires users to complete and/or submit information. Forms and Input fields include all form fields, text boxes, captchas and buttons.</t>
  </si>
  <si>
    <t xml:space="preserve">Physical devices that the end user is expected to interact with. Hardware includes things like residential gateways, home phones, and a wide range of Customer Premise Equipment (CPE). All of this hardware is customer facing. </t>
  </si>
  <si>
    <t>Image</t>
  </si>
  <si>
    <t>Pictures, charts, icons, etc., that can play an important part in communicating ideas and information.</t>
  </si>
  <si>
    <t>IVR stands for "Interactive Response System." It is a technology that allows a computer to interact with humans through the use of voice and Dual-Tone Multi Frequency (DTMF) tones input via keypad. IVR applications include the entire system in which callers are presented with a recorded menu and respond by selecting a digit or, in some cases, speaking into the phone. The automated attendant removes the need for a live operator to handle the call.</t>
  </si>
  <si>
    <t>IVR stands for "Interactive Response System." It is a technology that allows a computer to interact with humans through the use of voice and Dual-Tone Multi Frequency (DTMF) tones input via keypad. Prompts refer to the recorded messages that are played by the interactive voice response (IVR) system. The "prompt" is a request to input data</t>
  </si>
  <si>
    <t>IVR stands for "Interactive Response System." It is a technology that allows a computer to interact with humans through the use of voice and Dual-Tone Multi Frequency (DTMF) tones input via keypad. Timeouts refer to the maximum amount of time (in seconds) that is allowed for a caller to the IVR to enter a choice after the prompt is finished playing</t>
  </si>
  <si>
    <t>An object-oriented computer programming language commonly used to create interactive effects within web browsers. A JavaScript library or framework is a library of pre-written JavaScript which allows for easier development of JavaScript-based applications.</t>
  </si>
  <si>
    <t>References to other documents and webpages.</t>
  </si>
  <si>
    <t>Live multimedia and audiovisual content are broad terms used to cover content with pictures and sound. Common examples are television and online videos.</t>
  </si>
  <si>
    <t>Modal window, lightbox, dialog, and overlay are many names used to describe a web component with the same or similar purpose. They refer to a window triggered by the user. This window appears on top of the viewed page overlaying other content and requires a response by the user before they can return to the main page area. When the window is open, the rest of the page is dimmed and the user can only interact with that window’s content.</t>
  </si>
  <si>
    <t xml:space="preserve">A software application designed to run on a mobile device. Mobile devices include smartphones and tablet computers. Currently, most mobile devices run on one of two popular platforms: iOS and Android. </t>
  </si>
  <si>
    <t>Content that is designed to move or change. Animation may include sliding, scrolling, flickering, or flashing. This project scope item refers specifically to animation that is intended to be displayed on a mobile device.</t>
  </si>
  <si>
    <t>Dynamic content actively updates the user’s app, by changing some variables in the content. This project scope item refers specifically to dynamic content that is intended to be displayed on a mobile device.</t>
  </si>
  <si>
    <t>Structural markup is used to give content structural meaning. A well-formed document structure includes valid markup. This project scope item refers specifically to the structure of a document (page, app) that is intended to be displayed on a mobile device.</t>
  </si>
  <si>
    <t>Forms and input fields include all form fields, text boxes, captchas and buttons. This project scope item refers specifically to forms that are intended to be displayed on a mobile device.</t>
  </si>
  <si>
    <t>Pictures, charts, icons, etc., that can play an important part in communicating ideas and information. This project scope item refers specifically to images that are intended to be displayed on a mobile device.</t>
  </si>
  <si>
    <t>Multimedia includes content that is provided through audio or video. This might mean something that is pre-recorded or that is presented live. This project scope item refers specifically to multimedia that is intended to be displayed on a mobile device.</t>
  </si>
  <si>
    <t>Navigation consists of structures that allow users to move within a screen and between screens. Navigation structures are typically found at the top, bottom or sides of a screen and repeat on groups of pages. This project scope item refers specifically to navigation that is intended to be displayed on a mobile device.</t>
  </si>
  <si>
    <t xml:space="preserve">Navigation consists of structures that allow users to move within a screen and between screens. Navigation structures are typically found at the top, bottom or sides of a screen and repeat on groups of pages. </t>
  </si>
  <si>
    <t>This applies to all traditional telecommunications and IP-based network design, as well as network-based services.</t>
  </si>
  <si>
    <t>HTML-based visual interfaces, primarily designed to be displayed on desktop or mobile. These hypertext documents can contain text, graphics, multimedia, etc.</t>
  </si>
  <si>
    <t>The physical material that surrounds and protects a product from damage during shipping and handling</t>
  </si>
  <si>
    <t>SMS stands for Short Message Service, and is often referred to as text messages. An SMS is a short message made up of 160 or fewer characters.</t>
  </si>
  <si>
    <t>The discontinuation of a product or service (including any service feature).</t>
  </si>
  <si>
    <t>HTML elements using the &lt;table&gt; tag. They are a powerful way to format web page content as tabular data.</t>
  </si>
  <si>
    <t>A system for transmitting visual images and sound that are reproduced on screens. TV rules may apply to TV providers, such as DirecTV and U-verse, Multichannel Video Programming Distributors (MVPD) and streaming or Over-the-Top (OTT) video distribution.</t>
  </si>
  <si>
    <t>Textual content meant to be read or spoken.</t>
  </si>
  <si>
    <t>Any 3rd party individual or company developing products and services or completing contracted work on behalf of AT&amp;T's request.</t>
  </si>
  <si>
    <t>The recording, reproducing, or broadcasting of moving visual images.</t>
  </si>
  <si>
    <t xml:space="preserve">Structural markup used to give content structural meaning. A well-formed document structure consists of providing valid markup. Following coding format specifications properly allows content to be rendered accurately through assistive technologies. </t>
  </si>
  <si>
    <t>Reminder: Before you start, please click the “Enable Content” button on the yellow bar above. 
This is required for full access to this document.</t>
  </si>
  <si>
    <t>arcTargetExt</t>
  </si>
  <si>
    <t>Internal</t>
  </si>
  <si>
    <t>http://accessibility.web.att.com/</t>
  </si>
  <si>
    <t>Internal or External Guide User
(changes URLs in this file for vendor access)</t>
  </si>
  <si>
    <t xml:space="preserve">      If a Requirement does not pertain to the scope of work being done in the project, add an explanation in Column M.</t>
  </si>
  <si>
    <t>b. "Regulatory Impact Defect" - Any defect that causes a product or service to be inaccessible based on an accessibility standard. The defect:</t>
  </si>
  <si>
    <r>
      <rPr>
        <b/>
        <sz val="12"/>
        <color theme="1"/>
        <rFont val="Calibri"/>
        <family val="2"/>
        <scheme val="minor"/>
      </rPr>
      <t xml:space="preserve">Instructions: 
</t>
    </r>
    <r>
      <rPr>
        <sz val="12"/>
        <color theme="1"/>
        <rFont val="Calibri"/>
        <family val="2"/>
        <scheme val="minor"/>
      </rPr>
      <t xml:space="preserve">1. Read the question in Column B. Refer to the "Definitions" tab for further information regarding scope types.
2. If the answer to the question is Yes, select "Yes" from the drop down list in Column C. 
    </t>
    </r>
    <r>
      <rPr>
        <i/>
        <sz val="12"/>
        <color theme="1"/>
        <rFont val="Calibri"/>
        <family val="2"/>
        <scheme val="minor"/>
      </rPr>
      <t>Note: The default answer is "No."</t>
    </r>
    <r>
      <rPr>
        <sz val="12"/>
        <color theme="1"/>
        <rFont val="Calibri"/>
        <family val="2"/>
        <scheme val="minor"/>
      </rPr>
      <t xml:space="preserve">
3. Answer all 12 questions in Column C and all questions in sub-sections that may appear.
5. Move onto the "Requirements &amp; Testing" tab.
</t>
    </r>
  </si>
  <si>
    <t>Enter the information (or attachment) necessary to access the scope of this project. This could be a URL, login, password, PDF, email, etc.</t>
  </si>
  <si>
    <t>https://www.e-access.att.com/accessibility/</t>
  </si>
  <si>
    <t xml:space="preserve">Project Name: </t>
  </si>
  <si>
    <t xml:space="preserve">Access to Product/Service: </t>
  </si>
  <si>
    <t>Talking Guide requirements for customers who are blind</t>
  </si>
  <si>
    <t>See the Step by Step Guide to Testing section of the Guide page.</t>
  </si>
  <si>
    <t>guides/tv/guide-tv-hardware-blind.html</t>
  </si>
  <si>
    <t>guides/tv/guide-tv-hardware-deaf.html</t>
  </si>
  <si>
    <t>TV Hardware</t>
  </si>
  <si>
    <t>TV Hardware (Blind)</t>
  </si>
  <si>
    <t>TV Hardware (Deaf)</t>
  </si>
  <si>
    <t>Accessibility requirements for customers with hearing impairments.</t>
  </si>
  <si>
    <t>TV Mobile Apps</t>
  </si>
  <si>
    <t>guides/tv/guide-tv-mobile-app-all.html</t>
  </si>
  <si>
    <t>Closed caption and audible emergency information pass-through rules</t>
  </si>
  <si>
    <t>Screen reader compatibility for pre-loaded TV apps</t>
  </si>
  <si>
    <t>TV Preloading Apps</t>
  </si>
  <si>
    <t>TV OTT</t>
  </si>
  <si>
    <t>Closed Captioning rules for over the top video services</t>
  </si>
  <si>
    <t>guides/tv/guide-tv-OTT-always.html</t>
  </si>
  <si>
    <t>guide-tv-mobile-app-preload.html</t>
  </si>
  <si>
    <t>TV OTT Preloading</t>
  </si>
  <si>
    <t>guides/tv/guide-tv-OTT-preload.html</t>
  </si>
  <si>
    <t>TV Digital Apparatus</t>
  </si>
  <si>
    <t>Closed caption, magnification, and spoken feedback requirements for digital apparatus</t>
  </si>
  <si>
    <t>Screen reader compatibility for preloaded over the top video services</t>
  </si>
  <si>
    <t>guides/tv/guide-tv-digital-apparatus.html</t>
  </si>
  <si>
    <t>Does the scope of your project involve creating an application that plays video and runs on the set top box (STB) for DirecTV satellite service, U-Verse, or other traditional TV provider (MVPD)?</t>
  </si>
  <si>
    <t>Does the scope of your project involve modifying the mobile applications for DirecTV satellite service, U-Verse, or other traditional TV provider (MVPD)?</t>
  </si>
  <si>
    <t>Does the scope of your project involve over-the-top (OTT) live video or on demand content delivered through the internet without the need for additional equipment or a subscription to DirecTV satellite service, U-verse, or other traditional TV provider (MVPD)?</t>
  </si>
  <si>
    <t>Does the scope of your project involve modifying the hardware or software of the set top box (STB) for DirecTV satellite service, U-Verse, or other traditional TV provider (MVPD)?</t>
  </si>
  <si>
    <t>Complete rows for TV Hardware on the Requirements &amp; Testing tab.</t>
  </si>
  <si>
    <t>Complete rows for TV Mobile Apps on the Requirements &amp; Testing tab.</t>
  </si>
  <si>
    <t>Complete rows for TV Preloading Apps on the Requirements &amp; Testing tab.</t>
  </si>
  <si>
    <t>Complete rows for TV OTT on the Requirements &amp; Testing tab.</t>
  </si>
  <si>
    <t xml:space="preserve">Does the scope of your project involve preloading applications on mobile devices for over-the-top (OTT) live video or on-demand content delivered through the internet without the need for extra equipment or a subscription to DirecTV satellite service, U-verse, or other traditional TV provider (MVPD)? </t>
  </si>
  <si>
    <t>Complete rows for TV OTT Preloading on the Requirements &amp; Testing tab.</t>
  </si>
  <si>
    <t xml:space="preserve">Does the scope of your project include producing new hardware that can play over-the-top (OTT) live video or on-demand content delivered through the internet without the need for a television subscription? </t>
  </si>
  <si>
    <t>Complete rows for TV Digital Apparatus on the Requirements &amp; Testing tab.</t>
  </si>
  <si>
    <r>
      <t xml:space="preserve">Is the scope of the project creating or modifying </t>
    </r>
    <r>
      <rPr>
        <b/>
        <sz val="12"/>
        <color theme="1"/>
        <rFont val="Calibri"/>
        <family val="2"/>
        <scheme val="minor"/>
      </rPr>
      <t>hardware</t>
    </r>
    <r>
      <rPr>
        <sz val="12"/>
        <color theme="1"/>
        <rFont val="Calibri"/>
        <family val="2"/>
        <scheme val="minor"/>
      </rPr>
      <t xml:space="preserve"> the end user is expected to interact with?</t>
    </r>
  </si>
  <si>
    <t>Complete rows for Hardware on the Requirements &amp; Testing tab.</t>
  </si>
  <si>
    <t>Addded scope question for Hardware and updated the script to show Hardware requirements</t>
  </si>
  <si>
    <t>3.1 1/24/2018</t>
  </si>
  <si>
    <t>CATO-ID: 48544 -&gt; Accessibility Required = Yes (ACoE On-Demand Support)</t>
  </si>
  <si>
    <t>Chat-2438</t>
  </si>
  <si>
    <t xml:space="preserve">   Smart Network Manager reposition button on mobile web  </t>
  </si>
  <si>
    <t>3/27/18 Tentative</t>
  </si>
  <si>
    <t>Danny Cazalas</t>
  </si>
  <si>
    <t>Lorraine Dilts</t>
  </si>
  <si>
    <t>Ryan Johnson rj584q</t>
  </si>
  <si>
    <t>Yes</t>
  </si>
  <si>
    <t xml:space="preserve">HTML is in correct structure. </t>
  </si>
  <si>
    <t xml:space="preserve">HTML has valid lang element. </t>
  </si>
  <si>
    <t xml:space="preserve">HTML element functionality was the same but layout was changed. </t>
  </si>
  <si>
    <t xml:space="preserve">Names, values are specified. </t>
  </si>
  <si>
    <t xml:space="preserve">The code was not changed so this is true. </t>
  </si>
  <si>
    <t xml:space="preserve">Title describes the correct elements. </t>
  </si>
  <si>
    <t xml:space="preserve">User while tabing is directed to the next logical key board. </t>
  </si>
  <si>
    <t xml:space="preserve">Headings and labels describe the correct content. </t>
  </si>
  <si>
    <t xml:space="preserve">This has been met. </t>
  </si>
  <si>
    <t xml:space="preserve">The ratio is correct for contrast. </t>
  </si>
  <si>
    <t xml:space="preserve">The content is actually understandable and </t>
  </si>
  <si>
    <t>The labels describe exactly what can and will be done.</t>
  </si>
  <si>
    <t xml:space="preserve">The navigation is logical and easy to use.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</si>
</sst>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3">
    <font>
      <sz val="11"/>
      <color theme="1"/>
      <name val="Calibri"/>
      <family val="2"/>
      <scheme val="minor"/>
    </font>
    <font>
      <b/>
      <sz val="12"/>
      <color theme="1"/>
      <name val="Calibri"/>
      <family val="2"/>
      <scheme val="minor"/>
    </font>
    <font>
      <sz val="11"/>
      <name val="Calibri"/>
      <family val="2"/>
      <scheme val="minor"/>
    </font>
    <font>
      <sz val="11"/>
      <color theme="1"/>
      <name val="Calibri"/>
      <family val="2"/>
      <scheme val="minor"/>
    </font>
    <font>
      <sz val="12"/>
      <color theme="1"/>
      <name val="Verdana"/>
      <family val="2"/>
    </font>
    <font>
      <sz val="14"/>
      <color rgb="FFFFFFFF"/>
      <name val="Calibri"/>
      <family val="2"/>
      <scheme val="minor"/>
    </font>
    <font>
      <sz val="12"/>
      <color rgb="FFFFFFFF"/>
      <name val="Calibri"/>
      <family val="2"/>
      <scheme val="minor"/>
    </font>
    <font>
      <sz val="12"/>
      <color theme="1"/>
      <name val="Calibri"/>
      <family val="2"/>
      <scheme val="minor"/>
    </font>
    <font>
      <i/>
      <sz val="12"/>
      <color theme="1"/>
      <name val="Calibri"/>
      <family val="2"/>
      <scheme val="minor"/>
    </font>
    <font>
      <sz val="12"/>
      <name val="Calibri"/>
      <family val="2"/>
      <scheme val="minor"/>
    </font>
    <font>
      <sz val="14"/>
      <color theme="0"/>
      <name val="Calibri"/>
      <family val="2"/>
      <scheme val="minor"/>
    </font>
    <font>
      <u/>
      <sz val="12"/>
      <color theme="10"/>
      <name val="Verdana"/>
      <family val="2"/>
    </font>
    <font>
      <u/>
      <sz val="12"/>
      <color theme="10"/>
      <name val="Calibri"/>
      <family val="2"/>
      <scheme val="minor"/>
    </font>
    <font>
      <sz val="10"/>
      <color indexed="8"/>
      <name val="Calibri"/>
      <family val="2"/>
      <scheme val="minor"/>
    </font>
    <font>
      <b/>
      <sz val="11"/>
      <color theme="1"/>
      <name val="Calibri"/>
      <family val="2"/>
      <scheme val="minor"/>
    </font>
    <font>
      <sz val="11"/>
      <color rgb="FFFFFFFF"/>
      <name val="Calibri"/>
      <family val="2"/>
      <scheme val="minor"/>
    </font>
    <font>
      <b/>
      <sz val="12"/>
      <name val="Calibri"/>
      <family val="2"/>
      <scheme val="minor"/>
    </font>
    <font>
      <b/>
      <u/>
      <sz val="12"/>
      <color theme="10"/>
      <name val="Verdana"/>
      <family val="2"/>
    </font>
    <font>
      <b/>
      <u/>
      <sz val="12"/>
      <color theme="10"/>
      <name val="Calibri"/>
      <family val="2"/>
      <scheme val="minor"/>
    </font>
    <font>
      <sz val="14"/>
      <name val="Calibri"/>
      <family val="2"/>
      <scheme val="minor"/>
    </font>
    <font>
      <b/>
      <sz val="11"/>
      <name val="Calibri"/>
      <family val="2"/>
      <scheme val="minor"/>
    </font>
    <font>
      <sz val="11"/>
      <color theme="1"/>
      <name val="Calibri"/>
      <family val="2"/>
    </font>
    <font>
      <b/>
      <sz val="11"/>
      <color theme="1"/>
      <name val="Calibri"/>
      <family val="2"/>
    </font>
    <font>
      <b/>
      <sz val="10"/>
      <color theme="1"/>
      <name val="Verdana"/>
      <family val="2"/>
    </font>
    <font>
      <sz val="10"/>
      <color theme="1"/>
      <name val="Verdana"/>
      <family val="2"/>
    </font>
    <font>
      <sz val="10"/>
      <color theme="1"/>
      <name val="Calibri"/>
      <family val="2"/>
      <scheme val="minor"/>
    </font>
    <font>
      <u/>
      <sz val="11"/>
      <color theme="10"/>
      <name val="Calibri"/>
      <family val="2"/>
      <scheme val="minor"/>
    </font>
    <font>
      <sz val="12"/>
      <color rgb="FF000000"/>
      <name val="Calibri"/>
      <family val="2"/>
    </font>
    <font>
      <u/>
      <sz val="11"/>
      <color rgb="FF0000FF"/>
      <name val="Calibri"/>
      <family val="2"/>
      <scheme val="minor"/>
    </font>
    <font>
      <sz val="11"/>
      <color theme="1"/>
      <name val="Calibri"/>
      <family val="2"/>
      <scheme val="minor"/>
    </font>
    <font>
      <sz val="11"/>
      <name val="Calibri"/>
      <family val="2"/>
      <scheme val="minor"/>
    </font>
    <font>
      <sz val="10"/>
      <color theme="1"/>
      <name val="Arial Unicode MS"/>
      <family val="2"/>
    </font>
    <font>
      <b/>
      <sz val="12"/>
      <color theme="1"/>
      <name val="Verdana"/>
      <family val="2"/>
    </font>
    <font>
      <b/>
      <sz val="11"/>
      <color theme="0"/>
      <name val="Calibri"/>
      <family val="2"/>
      <scheme val="minor"/>
    </font>
    <font>
      <b/>
      <sz val="14"/>
      <name val="Calibri"/>
      <family val="2"/>
      <scheme val="minor"/>
    </font>
    <font>
      <b/>
      <sz val="10"/>
      <color rgb="FFFFFFFF"/>
      <name val="Calibri"/>
      <family val="2"/>
      <scheme val="minor"/>
    </font>
    <font>
      <b/>
      <sz val="11"/>
      <color indexed="8"/>
      <name val="Calibri"/>
      <family val="2"/>
      <scheme val="minor"/>
    </font>
    <font>
      <sz val="11"/>
      <color indexed="8"/>
      <name val="Calibri"/>
      <family val="2"/>
      <scheme val="minor"/>
    </font>
    <font>
      <b/>
      <sz val="10"/>
      <color indexed="8"/>
      <name val="Calibri"/>
      <family val="2"/>
      <scheme val="minor"/>
    </font>
    <font>
      <sz val="11"/>
      <color theme="1"/>
      <name val="Verdana"/>
      <family val="2"/>
    </font>
    <font>
      <b/>
      <sz val="14"/>
      <color rgb="FFFFFFFF"/>
      <name val="Calibri"/>
      <family val="2"/>
      <scheme val="minor"/>
    </font>
    <font>
      <b/>
      <sz val="12"/>
      <color theme="0"/>
      <name val="Calibri"/>
      <family val="2"/>
      <scheme val="minor"/>
    </font>
    <font>
      <u/>
      <sz val="10"/>
      <color theme="10"/>
      <name val="Verdana"/>
      <family val="2"/>
    </font>
  </fonts>
  <fills count="13">
    <fill>
      <patternFill patternType="none"/>
    </fill>
    <fill>
      <patternFill patternType="gray125"/>
    </fill>
    <fill>
      <patternFill patternType="solid">
        <fgColor theme="0" tint="-4.9989318521683403E-2"/>
        <bgColor indexed="64"/>
      </patternFill>
    </fill>
    <fill>
      <patternFill patternType="solid">
        <fgColor rgb="FF0C2577"/>
        <bgColor indexed="64"/>
      </patternFill>
    </fill>
    <fill>
      <patternFill patternType="solid">
        <fgColor rgb="FFFFFFCC"/>
        <bgColor indexed="64"/>
      </patternFill>
    </fill>
    <fill>
      <patternFill patternType="solid">
        <fgColor theme="0"/>
        <bgColor indexed="64"/>
      </patternFill>
    </fill>
    <fill>
      <patternFill patternType="solid">
        <fgColor theme="4" tint="0.79998168889431442"/>
        <bgColor indexed="64"/>
      </patternFill>
    </fill>
    <fill>
      <patternFill patternType="solid">
        <fgColor rgb="FF0C2577"/>
        <bgColor theme="4"/>
      </patternFill>
    </fill>
    <fill>
      <patternFill patternType="solid">
        <fgColor rgb="FFDCE6F1"/>
        <bgColor rgb="FFDCE6F1"/>
      </patternFill>
    </fill>
    <fill>
      <patternFill patternType="solid">
        <fgColor theme="0"/>
        <bgColor rgb="FFDCE6F1"/>
      </patternFill>
    </fill>
    <fill>
      <patternFill patternType="solid">
        <fgColor rgb="FFC00000"/>
        <bgColor indexed="64"/>
      </patternFill>
    </fill>
    <fill>
      <patternFill patternType="solid">
        <fgColor rgb="FFF0F0F0"/>
        <bgColor indexed="64"/>
      </patternFill>
    </fill>
    <fill>
      <patternFill patternType="solid">
        <fgColor rgb="FFEAEAEA"/>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theme="4" tint="0.39997558519241921"/>
      </left>
      <right/>
      <top/>
      <bottom/>
      <diagonal/>
    </border>
    <border>
      <left/>
      <right/>
      <top style="thin">
        <color rgb="FF95B3D7"/>
      </top>
      <bottom style="thin">
        <color rgb="FF95B3D7"/>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59999389629810485"/>
      </bottom>
      <diagonal/>
    </border>
    <border>
      <left/>
      <right/>
      <top/>
      <bottom style="thin">
        <color theme="4" tint="0.59999389629810485"/>
      </bottom>
      <diagonal/>
    </border>
    <border>
      <left/>
      <right/>
      <top style="thin">
        <color theme="4" tint="0.39997558519241921"/>
      </top>
      <bottom style="thin">
        <color theme="4" tint="0.39997558519241921"/>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4" fillId="0" borderId="0"/>
    <xf numFmtId="0" fontId="11" fillId="0" borderId="0" applyNumberFormat="0" applyFill="0" applyBorder="0" applyAlignment="0" applyProtection="0"/>
  </cellStyleXfs>
  <cellXfs count="197">
    <xf numFmtId="0" fontId="0" fillId="0" borderId="0" xfId="0"/>
    <xf numFmtId="0" fontId="5" fillId="3" borderId="0" xfId="1" applyFont="1" applyFill="1" applyAlignment="1" applyProtection="1">
      <alignment vertical="center"/>
    </xf>
    <xf numFmtId="0" fontId="6" fillId="3" borderId="0" xfId="1" applyFont="1" applyFill="1" applyAlignment="1" applyProtection="1">
      <alignment vertical="center"/>
    </xf>
    <xf numFmtId="0" fontId="7" fillId="0" borderId="0" xfId="1" applyFont="1" applyFill="1" applyProtection="1"/>
    <xf numFmtId="0" fontId="7" fillId="0" borderId="0" xfId="1" applyFont="1" applyProtection="1"/>
    <xf numFmtId="0" fontId="7" fillId="0" borderId="0" xfId="1" applyFont="1" applyAlignment="1" applyProtection="1">
      <alignment vertical="top" wrapText="1"/>
    </xf>
    <xf numFmtId="0" fontId="3" fillId="0" borderId="0" xfId="1" applyFont="1" applyAlignment="1" applyProtection="1">
      <alignment vertical="top" wrapText="1"/>
    </xf>
    <xf numFmtId="0" fontId="1" fillId="2" borderId="1" xfId="1" applyFont="1" applyFill="1" applyBorder="1" applyAlignment="1" applyProtection="1">
      <alignment horizontal="left" vertical="center"/>
    </xf>
    <xf numFmtId="0" fontId="1" fillId="2" borderId="5" xfId="1" applyFont="1" applyFill="1" applyBorder="1" applyAlignment="1" applyProtection="1">
      <alignment horizontal="left" vertical="center"/>
    </xf>
    <xf numFmtId="0" fontId="9" fillId="0" borderId="0" xfId="1" applyFont="1" applyFill="1" applyProtection="1"/>
    <xf numFmtId="0" fontId="10" fillId="3" borderId="1" xfId="1" applyFont="1" applyFill="1" applyBorder="1" applyAlignment="1" applyProtection="1">
      <alignment vertical="center" wrapText="1"/>
    </xf>
    <xf numFmtId="0" fontId="10" fillId="3" borderId="1" xfId="1" applyFont="1" applyFill="1" applyBorder="1" applyAlignment="1" applyProtection="1">
      <alignment horizontal="center" vertical="center" wrapText="1"/>
    </xf>
    <xf numFmtId="0" fontId="10" fillId="3" borderId="2" xfId="1" applyFont="1" applyFill="1" applyBorder="1" applyAlignment="1" applyProtection="1">
      <alignment horizontal="center" vertical="center" wrapText="1"/>
    </xf>
    <xf numFmtId="0" fontId="12" fillId="2" borderId="1" xfId="2" applyFont="1" applyFill="1" applyBorder="1" applyAlignment="1" applyProtection="1">
      <alignment horizontal="left" vertical="center" wrapText="1"/>
    </xf>
    <xf numFmtId="0" fontId="1" fillId="4" borderId="1" xfId="1" applyFont="1" applyFill="1" applyBorder="1" applyAlignment="1" applyProtection="1">
      <alignment horizontal="center" vertical="center"/>
      <protection locked="0"/>
    </xf>
    <xf numFmtId="0" fontId="7" fillId="0" borderId="1" xfId="1" applyFont="1" applyBorder="1" applyAlignment="1" applyProtection="1">
      <alignment vertical="center" wrapText="1"/>
    </xf>
    <xf numFmtId="0" fontId="6" fillId="3" borderId="0" xfId="1" applyFont="1" applyFill="1" applyAlignment="1" applyProtection="1">
      <alignment vertical="center" wrapText="1"/>
    </xf>
    <xf numFmtId="0" fontId="7" fillId="0" borderId="0" xfId="1" applyFont="1" applyAlignment="1" applyProtection="1">
      <alignment wrapText="1"/>
    </xf>
    <xf numFmtId="0" fontId="5" fillId="3" borderId="6" xfId="1" applyFont="1" applyFill="1" applyBorder="1" applyAlignment="1" applyProtection="1">
      <alignment vertical="center"/>
    </xf>
    <xf numFmtId="0" fontId="6" fillId="3" borderId="8" xfId="1" applyFont="1" applyFill="1" applyBorder="1" applyAlignment="1" applyProtection="1">
      <alignment vertical="center"/>
    </xf>
    <xf numFmtId="0" fontId="6" fillId="3" borderId="9" xfId="1" applyFont="1" applyFill="1" applyBorder="1" applyAlignment="1" applyProtection="1">
      <alignment vertical="center"/>
    </xf>
    <xf numFmtId="0" fontId="6" fillId="3" borderId="9" xfId="1" applyFont="1" applyFill="1" applyBorder="1" applyAlignment="1" applyProtection="1">
      <alignment horizontal="center" vertical="center"/>
    </xf>
    <xf numFmtId="0" fontId="15" fillId="3" borderId="9" xfId="1" applyFont="1" applyFill="1" applyBorder="1" applyAlignment="1" applyProtection="1">
      <alignment horizontal="left" vertical="center"/>
    </xf>
    <xf numFmtId="0" fontId="7" fillId="3" borderId="10" xfId="1" applyFont="1" applyFill="1" applyBorder="1" applyAlignment="1" applyProtection="1">
      <alignment vertical="center"/>
    </xf>
    <xf numFmtId="0" fontId="7" fillId="0" borderId="0" xfId="1" applyFont="1" applyFill="1" applyAlignment="1" applyProtection="1">
      <alignment vertical="center"/>
    </xf>
    <xf numFmtId="0" fontId="7" fillId="0" borderId="0" xfId="1" applyFont="1" applyAlignment="1" applyProtection="1">
      <alignment vertical="center"/>
    </xf>
    <xf numFmtId="0" fontId="16" fillId="0" borderId="11" xfId="1" applyFont="1" applyFill="1" applyBorder="1" applyAlignment="1" applyProtection="1">
      <alignment vertical="center"/>
    </xf>
    <xf numFmtId="0" fontId="1" fillId="0" borderId="12" xfId="1" applyFont="1" applyFill="1" applyBorder="1" applyAlignment="1" applyProtection="1">
      <alignment vertical="center" wrapText="1"/>
    </xf>
    <xf numFmtId="0" fontId="6" fillId="0" borderId="12" xfId="1" applyFont="1" applyFill="1" applyBorder="1" applyAlignment="1" applyProtection="1">
      <alignment horizontal="center" vertical="center"/>
    </xf>
    <xf numFmtId="0" fontId="7" fillId="5" borderId="13" xfId="1" applyFont="1" applyFill="1" applyBorder="1" applyAlignment="1" applyProtection="1">
      <alignment vertical="center"/>
    </xf>
    <xf numFmtId="0" fontId="7" fillId="0" borderId="0" xfId="1" applyFont="1" applyFill="1" applyBorder="1" applyAlignment="1" applyProtection="1">
      <alignment vertical="center"/>
    </xf>
    <xf numFmtId="0" fontId="9" fillId="0" borderId="14" xfId="1" applyFont="1" applyFill="1" applyBorder="1" applyAlignment="1" applyProtection="1">
      <alignment vertical="center"/>
    </xf>
    <xf numFmtId="0" fontId="16" fillId="0" borderId="0" xfId="1" applyFont="1" applyFill="1" applyBorder="1" applyAlignment="1" applyProtection="1">
      <alignment vertical="center" wrapText="1"/>
    </xf>
    <xf numFmtId="0" fontId="1" fillId="0" borderId="0" xfId="1" applyFont="1" applyFill="1" applyBorder="1" applyAlignment="1" applyProtection="1">
      <alignment vertical="center" wrapText="1"/>
    </xf>
    <xf numFmtId="0" fontId="6" fillId="0" borderId="0" xfId="1" applyFont="1" applyFill="1" applyBorder="1" applyAlignment="1" applyProtection="1">
      <alignment horizontal="center" vertical="center"/>
    </xf>
    <xf numFmtId="0" fontId="7" fillId="5" borderId="15" xfId="1" applyFont="1" applyFill="1" applyBorder="1" applyAlignment="1" applyProtection="1">
      <alignment vertical="center"/>
    </xf>
    <xf numFmtId="0" fontId="2" fillId="0" borderId="14" xfId="1" applyFont="1" applyFill="1" applyBorder="1" applyAlignment="1" applyProtection="1">
      <alignment vertical="center"/>
    </xf>
    <xf numFmtId="0" fontId="9" fillId="0" borderId="0" xfId="1" applyFont="1" applyFill="1" applyBorder="1" applyAlignment="1" applyProtection="1">
      <alignment vertical="center"/>
    </xf>
    <xf numFmtId="0" fontId="18" fillId="0" borderId="0" xfId="2" applyFont="1" applyFill="1" applyBorder="1" applyAlignment="1" applyProtection="1">
      <alignment vertical="center" wrapText="1"/>
    </xf>
    <xf numFmtId="0" fontId="18" fillId="0" borderId="0" xfId="2" applyFont="1" applyFill="1" applyBorder="1" applyAlignment="1" applyProtection="1">
      <alignment horizontal="center" vertical="center" wrapText="1"/>
    </xf>
    <xf numFmtId="0" fontId="3" fillId="5" borderId="15" xfId="1" applyFont="1" applyFill="1" applyBorder="1" applyAlignment="1" applyProtection="1">
      <alignment vertical="center"/>
    </xf>
    <xf numFmtId="0" fontId="3" fillId="0" borderId="0" xfId="1" applyFont="1" applyFill="1" applyBorder="1" applyAlignment="1" applyProtection="1">
      <alignment vertical="center"/>
    </xf>
    <xf numFmtId="0" fontId="9" fillId="0" borderId="0" xfId="1" applyFont="1" applyFill="1" applyBorder="1" applyAlignment="1" applyProtection="1">
      <alignment horizontal="left" vertical="center" indent="2"/>
    </xf>
    <xf numFmtId="0" fontId="18" fillId="5" borderId="0" xfId="2" applyFont="1" applyFill="1" applyBorder="1" applyAlignment="1" applyProtection="1">
      <alignment horizontal="center" vertical="center" wrapText="1"/>
    </xf>
    <xf numFmtId="0" fontId="19" fillId="0" borderId="14" xfId="1" applyFont="1" applyFill="1" applyBorder="1" applyAlignment="1" applyProtection="1">
      <alignment vertical="center"/>
    </xf>
    <xf numFmtId="0" fontId="12" fillId="0" borderId="0" xfId="2" applyFont="1" applyFill="1" applyBorder="1" applyAlignment="1" applyProtection="1">
      <alignment vertical="center"/>
    </xf>
    <xf numFmtId="0" fontId="9" fillId="0" borderId="0" xfId="1" applyFont="1" applyFill="1" applyBorder="1" applyAlignment="1" applyProtection="1">
      <alignment horizontal="left" vertical="center"/>
    </xf>
    <xf numFmtId="0" fontId="1" fillId="2" borderId="16" xfId="1" applyFont="1" applyFill="1" applyBorder="1" applyAlignment="1" applyProtection="1">
      <alignment horizontal="left" vertical="center"/>
    </xf>
    <xf numFmtId="0" fontId="1" fillId="2" borderId="17" xfId="1" applyFont="1" applyFill="1" applyBorder="1" applyAlignment="1" applyProtection="1">
      <alignment horizontal="left" vertical="center"/>
    </xf>
    <xf numFmtId="0" fontId="20" fillId="0" borderId="0" xfId="1" applyFont="1" applyFill="1" applyBorder="1" applyAlignment="1" applyProtection="1">
      <alignment horizontal="left" vertical="center"/>
    </xf>
    <xf numFmtId="0" fontId="2" fillId="8" borderId="0" xfId="2" applyNumberFormat="1" applyFont="1" applyFill="1" applyBorder="1" applyAlignment="1" applyProtection="1">
      <alignment horizontal="left" vertical="center" wrapText="1"/>
    </xf>
    <xf numFmtId="0" fontId="3" fillId="0" borderId="0" xfId="1" applyFont="1" applyFill="1" applyAlignment="1" applyProtection="1">
      <alignment horizontal="center" vertical="center" wrapText="1"/>
      <protection locked="0" hidden="1"/>
    </xf>
    <xf numFmtId="0" fontId="3" fillId="0" borderId="0" xfId="1" applyNumberFormat="1" applyFont="1" applyFill="1" applyAlignment="1" applyProtection="1">
      <alignment vertical="center" wrapText="1"/>
      <protection locked="0"/>
    </xf>
    <xf numFmtId="0" fontId="2" fillId="0" borderId="0" xfId="2" applyNumberFormat="1" applyFont="1" applyFill="1" applyBorder="1" applyAlignment="1" applyProtection="1">
      <alignment horizontal="left" vertical="center" wrapText="1"/>
    </xf>
    <xf numFmtId="0" fontId="2" fillId="9" borderId="0" xfId="2" applyNumberFormat="1" applyFont="1" applyFill="1" applyBorder="1" applyAlignment="1" applyProtection="1">
      <alignment horizontal="left" vertical="center" wrapText="1"/>
    </xf>
    <xf numFmtId="0" fontId="2" fillId="0" borderId="0" xfId="1" applyNumberFormat="1" applyFont="1" applyFill="1" applyAlignment="1" applyProtection="1">
      <alignment horizontal="center" vertical="center" wrapText="1"/>
      <protection locked="0" hidden="1"/>
    </xf>
    <xf numFmtId="0" fontId="2" fillId="0" borderId="0" xfId="2" applyNumberFormat="1" applyFont="1" applyFill="1" applyBorder="1" applyAlignment="1" applyProtection="1">
      <alignment vertical="center" wrapText="1"/>
    </xf>
    <xf numFmtId="0" fontId="3" fillId="0" borderId="0" xfId="1" applyNumberFormat="1" applyFont="1" applyBorder="1" applyAlignment="1" applyProtection="1">
      <alignment vertical="center" wrapText="1"/>
      <protection locked="0"/>
    </xf>
    <xf numFmtId="0" fontId="28" fillId="0" borderId="0" xfId="2" applyNumberFormat="1" applyFont="1" applyFill="1" applyBorder="1" applyAlignment="1" applyProtection="1">
      <alignment horizontal="left" vertical="center" wrapText="1"/>
    </xf>
    <xf numFmtId="0" fontId="26" fillId="0" borderId="0" xfId="2" applyNumberFormat="1" applyFont="1" applyFill="1" applyBorder="1" applyAlignment="1" applyProtection="1">
      <alignment horizontal="left" vertical="center" wrapText="1"/>
    </xf>
    <xf numFmtId="0" fontId="30" fillId="0" borderId="0" xfId="2" applyNumberFormat="1" applyFont="1" applyFill="1" applyBorder="1" applyAlignment="1" applyProtection="1">
      <alignment horizontal="left" vertical="center" wrapText="1"/>
    </xf>
    <xf numFmtId="0" fontId="29" fillId="0" borderId="0" xfId="1" applyNumberFormat="1" applyFont="1" applyFill="1" applyAlignment="1" applyProtection="1">
      <alignment vertical="center" wrapText="1"/>
      <protection locked="0"/>
    </xf>
    <xf numFmtId="0" fontId="11" fillId="0" borderId="0" xfId="2"/>
    <xf numFmtId="0" fontId="4" fillId="0" borderId="0" xfId="1"/>
    <xf numFmtId="0" fontId="4" fillId="0" borderId="0" xfId="1" applyFont="1" applyAlignment="1">
      <alignment vertical="center"/>
    </xf>
    <xf numFmtId="0" fontId="31" fillId="0" borderId="0" xfId="1" applyFont="1" applyAlignment="1">
      <alignment vertical="center"/>
    </xf>
    <xf numFmtId="0" fontId="32" fillId="0" borderId="0" xfId="1" applyFont="1"/>
    <xf numFmtId="1" fontId="37" fillId="4" borderId="1" xfId="1" applyNumberFormat="1" applyFont="1" applyFill="1" applyBorder="1" applyAlignment="1" applyProtection="1">
      <alignment horizontal="left" vertical="center"/>
      <protection locked="0"/>
    </xf>
    <xf numFmtId="0" fontId="37" fillId="4" borderId="1" xfId="1" applyFont="1" applyFill="1" applyBorder="1" applyAlignment="1" applyProtection="1">
      <alignment horizontal="left" vertical="center"/>
      <protection locked="0"/>
    </xf>
    <xf numFmtId="14" fontId="37" fillId="4" borderId="1" xfId="1" applyNumberFormat="1" applyFont="1" applyFill="1" applyBorder="1" applyAlignment="1" applyProtection="1">
      <alignment horizontal="left" vertical="center"/>
      <protection locked="0"/>
    </xf>
    <xf numFmtId="0" fontId="3" fillId="0" borderId="0" xfId="1" applyFont="1"/>
    <xf numFmtId="0" fontId="3" fillId="0" borderId="0" xfId="1" applyFont="1" applyAlignment="1">
      <alignment wrapText="1"/>
    </xf>
    <xf numFmtId="0" fontId="3" fillId="0" borderId="0" xfId="1" applyFont="1" applyAlignment="1">
      <alignment horizontal="center" vertical="center"/>
    </xf>
    <xf numFmtId="0" fontId="3" fillId="0" borderId="25" xfId="1" applyFont="1" applyBorder="1" applyAlignment="1">
      <alignment wrapText="1"/>
    </xf>
    <xf numFmtId="14" fontId="3" fillId="0" borderId="25" xfId="1" applyNumberFormat="1" applyFont="1" applyBorder="1" applyAlignment="1">
      <alignment horizontal="center" vertical="center"/>
    </xf>
    <xf numFmtId="0" fontId="3" fillId="0" borderId="25" xfId="1" applyFont="1" applyBorder="1" applyAlignment="1">
      <alignment horizontal="center" vertical="center"/>
    </xf>
    <xf numFmtId="0" fontId="26" fillId="0" borderId="25" xfId="2" applyFont="1" applyBorder="1" applyAlignment="1">
      <alignment wrapText="1"/>
    </xf>
    <xf numFmtId="164" fontId="3" fillId="0" borderId="25" xfId="1" applyNumberFormat="1" applyFont="1" applyBorder="1" applyAlignment="1">
      <alignment horizontal="center" vertical="center"/>
    </xf>
    <xf numFmtId="0" fontId="33" fillId="3" borderId="0" xfId="1" applyFont="1" applyFill="1" applyAlignment="1">
      <alignment vertical="center" wrapText="1"/>
    </xf>
    <xf numFmtId="0" fontId="33" fillId="3" borderId="0" xfId="1" applyFont="1" applyFill="1" applyAlignment="1">
      <alignment horizontal="center" vertical="center"/>
    </xf>
    <xf numFmtId="0" fontId="15" fillId="3" borderId="7" xfId="1" applyFont="1" applyFill="1" applyBorder="1" applyAlignment="1" applyProtection="1">
      <alignment vertical="center"/>
    </xf>
    <xf numFmtId="0" fontId="14" fillId="0" borderId="12" xfId="1" applyFont="1" applyFill="1" applyBorder="1" applyAlignment="1" applyProtection="1">
      <alignment vertical="center" wrapText="1"/>
    </xf>
    <xf numFmtId="0" fontId="20" fillId="0" borderId="0" xfId="1" applyFont="1" applyFill="1" applyBorder="1" applyAlignment="1" applyProtection="1">
      <alignment vertical="center" wrapText="1"/>
    </xf>
    <xf numFmtId="0" fontId="2" fillId="0" borderId="0" xfId="1" applyFont="1" applyFill="1" applyBorder="1" applyAlignment="1" applyProtection="1">
      <alignment vertical="center"/>
    </xf>
    <xf numFmtId="0" fontId="2" fillId="0" borderId="0" xfId="1" applyFont="1" applyFill="1" applyBorder="1" applyAlignment="1" applyProtection="1">
      <alignment horizontal="left" vertical="center" indent="2"/>
    </xf>
    <xf numFmtId="0" fontId="26" fillId="0" borderId="0" xfId="2" applyFont="1" applyFill="1" applyBorder="1" applyAlignment="1" applyProtection="1">
      <alignment vertical="center"/>
    </xf>
    <xf numFmtId="0" fontId="15" fillId="3" borderId="8" xfId="1" applyFont="1" applyFill="1" applyBorder="1" applyAlignment="1" applyProtection="1">
      <alignment vertical="center"/>
    </xf>
    <xf numFmtId="0" fontId="7" fillId="0" borderId="1" xfId="0" applyFont="1" applyBorder="1" applyAlignment="1" applyProtection="1">
      <alignment vertical="center" wrapText="1"/>
    </xf>
    <xf numFmtId="0" fontId="6" fillId="3" borderId="0" xfId="1" applyFont="1" applyFill="1" applyAlignment="1" applyProtection="1">
      <alignment horizontal="center" vertical="center"/>
    </xf>
    <xf numFmtId="0" fontId="1" fillId="2" borderId="4" xfId="1" applyFont="1" applyFill="1" applyBorder="1" applyAlignment="1" applyProtection="1">
      <alignment horizontal="center" vertical="center"/>
    </xf>
    <xf numFmtId="0" fontId="7" fillId="0" borderId="0" xfId="1" applyFont="1" applyAlignment="1" applyProtection="1">
      <alignment horizontal="center" vertical="center"/>
    </xf>
    <xf numFmtId="0" fontId="13" fillId="0" borderId="0" xfId="1" applyFont="1" applyBorder="1" applyAlignment="1" applyProtection="1">
      <alignment horizontal="centerContinuous" vertical="center"/>
    </xf>
    <xf numFmtId="0" fontId="0" fillId="0" borderId="25" xfId="1" applyFont="1" applyBorder="1" applyAlignment="1">
      <alignment wrapText="1"/>
    </xf>
    <xf numFmtId="0" fontId="0" fillId="0" borderId="0" xfId="1" applyFont="1" applyAlignment="1">
      <alignment horizontal="center" vertical="center"/>
    </xf>
    <xf numFmtId="0" fontId="7" fillId="0" borderId="0" xfId="1" applyFont="1" applyBorder="1" applyProtection="1"/>
    <xf numFmtId="0" fontId="41" fillId="3" borderId="0" xfId="1" applyFont="1" applyFill="1" applyAlignment="1">
      <alignment horizontal="center"/>
    </xf>
    <xf numFmtId="0" fontId="7" fillId="0" borderId="0" xfId="1" applyFont="1"/>
    <xf numFmtId="0" fontId="7" fillId="2" borderId="26" xfId="1" applyFont="1" applyFill="1" applyBorder="1" applyAlignment="1" applyProtection="1">
      <alignment horizontal="left" vertical="center" wrapText="1"/>
    </xf>
    <xf numFmtId="0" fontId="7" fillId="0" borderId="27" xfId="1" applyFont="1" applyBorder="1" applyAlignment="1">
      <alignment wrapText="1"/>
    </xf>
    <xf numFmtId="0" fontId="7" fillId="2" borderId="28" xfId="1" applyFont="1" applyFill="1" applyBorder="1" applyAlignment="1" applyProtection="1">
      <alignment horizontal="left" vertical="center" wrapText="1"/>
    </xf>
    <xf numFmtId="0" fontId="7" fillId="0" borderId="29" xfId="1" applyFont="1" applyBorder="1" applyAlignment="1">
      <alignment wrapText="1"/>
    </xf>
    <xf numFmtId="0" fontId="7" fillId="0" borderId="29" xfId="1" applyFont="1" applyBorder="1" applyAlignment="1">
      <alignment horizontal="left" wrapText="1"/>
    </xf>
    <xf numFmtId="0" fontId="7" fillId="2" borderId="28" xfId="1" applyFont="1" applyFill="1" applyBorder="1" applyAlignment="1" applyProtection="1">
      <alignment horizontal="left" vertical="center"/>
    </xf>
    <xf numFmtId="0" fontId="7" fillId="2" borderId="30" xfId="1" applyFont="1" applyFill="1" applyBorder="1" applyAlignment="1" applyProtection="1">
      <alignment horizontal="left" vertical="center" wrapText="1"/>
    </xf>
    <xf numFmtId="0" fontId="7" fillId="0" borderId="31" xfId="1" applyFont="1" applyBorder="1" applyAlignment="1">
      <alignment wrapText="1"/>
    </xf>
    <xf numFmtId="0" fontId="7" fillId="0" borderId="0" xfId="1" applyFont="1" applyAlignment="1" applyProtection="1">
      <alignment horizontal="centerContinuous" vertical="center" wrapText="1"/>
    </xf>
    <xf numFmtId="0" fontId="7" fillId="0" borderId="0" xfId="1" applyFont="1" applyAlignment="1" applyProtection="1">
      <alignment horizontal="centerContinuous" vertical="center"/>
    </xf>
    <xf numFmtId="0" fontId="25" fillId="0" borderId="0" xfId="1" applyFont="1" applyProtection="1"/>
    <xf numFmtId="0" fontId="34" fillId="0" borderId="0" xfId="1" applyFont="1" applyBorder="1" applyAlignment="1" applyProtection="1"/>
    <xf numFmtId="0" fontId="13" fillId="0" borderId="0" xfId="1" applyFont="1" applyBorder="1" applyAlignment="1" applyProtection="1">
      <alignment horizontal="left" vertical="center"/>
    </xf>
    <xf numFmtId="0" fontId="13" fillId="0" borderId="0" xfId="1" applyFont="1" applyAlignment="1" applyProtection="1">
      <alignment vertical="center"/>
    </xf>
    <xf numFmtId="0" fontId="5" fillId="3" borderId="0" xfId="1" applyFont="1" applyFill="1" applyBorder="1" applyAlignment="1" applyProtection="1">
      <alignment horizontal="centerContinuous" vertical="center"/>
    </xf>
    <xf numFmtId="0" fontId="35" fillId="3" borderId="0" xfId="1" applyFont="1" applyFill="1" applyBorder="1" applyAlignment="1" applyProtection="1">
      <alignment horizontal="centerContinuous" vertical="center"/>
    </xf>
    <xf numFmtId="0" fontId="36" fillId="0" borderId="1" xfId="1" applyFont="1" applyBorder="1" applyAlignment="1" applyProtection="1">
      <alignment horizontal="right" vertical="center" wrapText="1"/>
    </xf>
    <xf numFmtId="0" fontId="36" fillId="0" borderId="1" xfId="1" applyFont="1" applyBorder="1" applyAlignment="1" applyProtection="1">
      <alignment horizontal="right" vertical="center"/>
    </xf>
    <xf numFmtId="0" fontId="42" fillId="0" borderId="0" xfId="2" applyFont="1" applyAlignment="1" applyProtection="1">
      <alignment vertical="center"/>
    </xf>
    <xf numFmtId="0" fontId="20" fillId="0" borderId="1" xfId="1" applyFont="1" applyBorder="1" applyAlignment="1" applyProtection="1">
      <alignment horizontal="right" vertical="center" wrapText="1"/>
    </xf>
    <xf numFmtId="0" fontId="38" fillId="0" borderId="0" xfId="1" applyFont="1" applyBorder="1" applyAlignment="1" applyProtection="1">
      <alignment horizontal="centerContinuous"/>
    </xf>
    <xf numFmtId="0" fontId="13" fillId="0" borderId="0" xfId="1" applyFont="1" applyAlignment="1" applyProtection="1">
      <alignment horizontal="centerContinuous"/>
    </xf>
    <xf numFmtId="0" fontId="0" fillId="0" borderId="1" xfId="0" applyBorder="1" applyAlignment="1" applyProtection="1">
      <alignment vertical="center" wrapText="1"/>
    </xf>
    <xf numFmtId="0" fontId="0" fillId="0" borderId="0" xfId="0" applyBorder="1" applyProtection="1"/>
    <xf numFmtId="0" fontId="0" fillId="0" borderId="0" xfId="0" applyProtection="1"/>
    <xf numFmtId="0" fontId="7" fillId="0" borderId="1" xfId="0" applyFont="1" applyFill="1" applyBorder="1" applyAlignment="1" applyProtection="1">
      <alignment vertical="center" wrapText="1"/>
    </xf>
    <xf numFmtId="0" fontId="0" fillId="0" borderId="1" xfId="0" applyFill="1" applyBorder="1" applyAlignment="1" applyProtection="1">
      <alignment vertical="center" wrapText="1"/>
    </xf>
    <xf numFmtId="0" fontId="7" fillId="2" borderId="1" xfId="0" applyFont="1" applyFill="1" applyBorder="1" applyAlignment="1" applyProtection="1">
      <alignment vertical="center" wrapText="1"/>
    </xf>
    <xf numFmtId="0" fontId="7" fillId="11" borderId="1" xfId="0" applyFont="1" applyFill="1" applyBorder="1" applyAlignment="1" applyProtection="1">
      <alignment vertical="center" wrapText="1"/>
    </xf>
    <xf numFmtId="0" fontId="0" fillId="2" borderId="1" xfId="0" applyFill="1" applyBorder="1" applyAlignment="1" applyProtection="1">
      <alignment vertical="center" wrapText="1"/>
    </xf>
    <xf numFmtId="0" fontId="9" fillId="5" borderId="1" xfId="2" applyFont="1" applyFill="1" applyBorder="1" applyAlignment="1" applyProtection="1">
      <alignment vertical="center" wrapText="1"/>
    </xf>
    <xf numFmtId="49" fontId="21" fillId="7" borderId="18" xfId="1" applyNumberFormat="1" applyFont="1" applyFill="1" applyBorder="1" applyAlignment="1" applyProtection="1">
      <alignment horizontal="center" vertical="center"/>
    </xf>
    <xf numFmtId="0" fontId="22" fillId="0" borderId="0" xfId="1" applyFont="1" applyAlignment="1" applyProtection="1">
      <alignment horizontal="center" vertical="center"/>
    </xf>
    <xf numFmtId="0" fontId="22" fillId="0" borderId="0" xfId="1" applyFont="1" applyAlignment="1" applyProtection="1">
      <alignment horizontal="center" vertical="center" wrapText="1"/>
    </xf>
    <xf numFmtId="0" fontId="14" fillId="0" borderId="0" xfId="1" applyFont="1" applyAlignment="1" applyProtection="1">
      <alignment horizontal="center" vertical="center" wrapText="1"/>
    </xf>
    <xf numFmtId="0" fontId="23" fillId="0" borderId="0" xfId="1" applyFont="1" applyAlignment="1" applyProtection="1">
      <alignment horizontal="center" vertical="center"/>
    </xf>
    <xf numFmtId="0" fontId="3" fillId="0" borderId="0" xfId="1" applyNumberFormat="1" applyFont="1" applyAlignment="1" applyProtection="1">
      <alignment horizontal="center" vertical="center" wrapText="1"/>
    </xf>
    <xf numFmtId="0" fontId="3" fillId="0" borderId="0" xfId="1" applyFont="1" applyFill="1" applyAlignment="1" applyProtection="1">
      <alignment horizontal="center" vertical="center" wrapText="1"/>
    </xf>
    <xf numFmtId="0" fontId="0" fillId="0" borderId="0" xfId="1" applyFont="1" applyFill="1" applyAlignment="1" applyProtection="1">
      <alignment horizontal="center" vertical="center" wrapText="1"/>
    </xf>
    <xf numFmtId="0" fontId="3" fillId="0" borderId="0" xfId="1" applyFont="1" applyFill="1" applyAlignment="1" applyProtection="1">
      <alignment horizontal="center" vertical="center" wrapText="1"/>
      <protection hidden="1"/>
    </xf>
    <xf numFmtId="0" fontId="2" fillId="0" borderId="0" xfId="2" applyFont="1" applyAlignment="1" applyProtection="1">
      <alignment horizontal="left" vertical="center" wrapText="1"/>
    </xf>
    <xf numFmtId="0" fontId="24" fillId="0" borderId="0" xfId="1" applyFont="1" applyAlignment="1" applyProtection="1">
      <alignment vertical="center"/>
    </xf>
    <xf numFmtId="0" fontId="2" fillId="0" borderId="0" xfId="1" applyNumberFormat="1" applyFont="1" applyFill="1" applyAlignment="1" applyProtection="1">
      <alignment horizontal="center" vertical="center" wrapText="1"/>
      <protection hidden="1"/>
    </xf>
    <xf numFmtId="0" fontId="25" fillId="0" borderId="0" xfId="1" applyFont="1" applyAlignment="1" applyProtection="1">
      <alignment vertical="center"/>
    </xf>
    <xf numFmtId="0" fontId="2" fillId="0" borderId="0" xfId="2" applyNumberFormat="1" applyFont="1" applyAlignment="1" applyProtection="1">
      <alignment horizontal="left" vertical="center" wrapText="1"/>
    </xf>
    <xf numFmtId="0" fontId="3" fillId="0" borderId="0" xfId="1" applyFont="1" applyAlignment="1" applyProtection="1">
      <alignment vertical="center"/>
    </xf>
    <xf numFmtId="0" fontId="2" fillId="0" borderId="0" xfId="2" applyFont="1" applyFill="1" applyAlignment="1" applyProtection="1">
      <alignment horizontal="center" vertical="center" wrapText="1"/>
    </xf>
    <xf numFmtId="0" fontId="29" fillId="0" borderId="0" xfId="1" applyNumberFormat="1" applyFont="1" applyAlignment="1" applyProtection="1">
      <alignment horizontal="center" vertical="center" wrapText="1"/>
    </xf>
    <xf numFmtId="0" fontId="0" fillId="0" borderId="0" xfId="0" applyAlignment="1" applyProtection="1">
      <alignment wrapText="1"/>
    </xf>
    <xf numFmtId="0" fontId="3" fillId="0" borderId="0" xfId="1" applyFont="1" applyFill="1" applyBorder="1" applyAlignment="1" applyProtection="1">
      <alignment horizontal="center" vertical="center" wrapText="1"/>
    </xf>
    <xf numFmtId="0" fontId="3" fillId="0" borderId="20" xfId="1" applyFont="1" applyFill="1" applyBorder="1" applyAlignment="1" applyProtection="1">
      <alignment horizontal="center" vertical="center" wrapText="1"/>
    </xf>
    <xf numFmtId="0" fontId="3" fillId="0" borderId="21" xfId="1" applyFont="1" applyFill="1" applyBorder="1" applyAlignment="1" applyProtection="1">
      <alignment horizontal="center" vertical="center" wrapText="1"/>
    </xf>
    <xf numFmtId="0" fontId="3" fillId="0" borderId="22" xfId="1" applyFont="1" applyFill="1" applyBorder="1" applyAlignment="1" applyProtection="1">
      <alignment horizontal="center" vertical="center" wrapText="1"/>
    </xf>
    <xf numFmtId="0" fontId="3" fillId="0" borderId="23" xfId="1" applyFont="1" applyFill="1" applyBorder="1" applyAlignment="1" applyProtection="1">
      <alignment horizontal="center" vertical="center" wrapText="1"/>
    </xf>
    <xf numFmtId="0" fontId="2" fillId="0" borderId="0" xfId="2" applyFont="1" applyFill="1" applyAlignment="1" applyProtection="1">
      <alignment horizontal="left" vertical="center" wrapText="1"/>
    </xf>
    <xf numFmtId="0" fontId="21" fillId="0" borderId="0" xfId="1" applyFont="1" applyProtection="1"/>
    <xf numFmtId="0" fontId="2" fillId="0" borderId="0" xfId="2" applyFont="1" applyAlignment="1" applyProtection="1">
      <alignment wrapText="1"/>
    </xf>
    <xf numFmtId="0" fontId="2" fillId="0" borderId="0" xfId="2" applyFont="1" applyAlignment="1" applyProtection="1">
      <alignment vertical="center" wrapText="1"/>
    </xf>
    <xf numFmtId="0" fontId="0" fillId="0" borderId="23" xfId="1" applyFont="1" applyFill="1" applyBorder="1" applyAlignment="1" applyProtection="1">
      <alignment horizontal="center" vertical="center" wrapText="1"/>
    </xf>
    <xf numFmtId="0" fontId="2" fillId="0" borderId="24" xfId="1" applyNumberFormat="1" applyFont="1" applyBorder="1" applyAlignment="1" applyProtection="1">
      <alignment horizontal="center" vertical="center" wrapText="1"/>
    </xf>
    <xf numFmtId="0" fontId="2" fillId="0" borderId="0" xfId="2" applyFont="1" applyBorder="1" applyAlignment="1" applyProtection="1">
      <alignment horizontal="left" vertical="center" wrapText="1"/>
    </xf>
    <xf numFmtId="0" fontId="2" fillId="0" borderId="0" xfId="2" applyFont="1" applyFill="1" applyBorder="1" applyAlignment="1" applyProtection="1">
      <alignment horizontal="left" vertical="center" wrapText="1"/>
    </xf>
    <xf numFmtId="0" fontId="3" fillId="0" borderId="0" xfId="1" applyNumberFormat="1" applyFont="1" applyBorder="1" applyAlignment="1" applyProtection="1">
      <alignment horizontal="center" vertical="center" wrapText="1"/>
    </xf>
    <xf numFmtId="0" fontId="0" fillId="0" borderId="0" xfId="1" applyFont="1" applyFill="1" applyBorder="1" applyAlignment="1" applyProtection="1">
      <alignment horizontal="center" vertical="center" wrapText="1"/>
    </xf>
    <xf numFmtId="0" fontId="27" fillId="0" borderId="0" xfId="1" applyFont="1" applyAlignment="1" applyProtection="1">
      <alignment horizontal="center" vertical="center" wrapText="1"/>
    </xf>
    <xf numFmtId="0" fontId="2" fillId="0" borderId="0" xfId="1" applyNumberFormat="1" applyFont="1" applyBorder="1" applyAlignment="1" applyProtection="1">
      <alignment horizontal="center" vertical="center" wrapText="1"/>
      <protection hidden="1"/>
    </xf>
    <xf numFmtId="0" fontId="3" fillId="0" borderId="0" xfId="1" applyNumberFormat="1" applyFont="1" applyBorder="1" applyAlignment="1" applyProtection="1">
      <alignment vertical="center" wrapText="1"/>
    </xf>
    <xf numFmtId="0" fontId="3" fillId="0" borderId="0" xfId="1" applyNumberFormat="1" applyFont="1" applyAlignment="1" applyProtection="1">
      <alignment horizontal="center" vertical="center" wrapText="1"/>
      <protection hidden="1"/>
    </xf>
    <xf numFmtId="0" fontId="26" fillId="0" borderId="0" xfId="2" applyFont="1" applyAlignment="1" applyProtection="1">
      <alignment horizontal="left" vertical="center" wrapText="1"/>
    </xf>
    <xf numFmtId="0" fontId="39" fillId="0" borderId="0" xfId="1" applyFont="1" applyAlignment="1" applyProtection="1">
      <alignment horizontal="center" vertical="center"/>
    </xf>
    <xf numFmtId="0" fontId="24" fillId="0" borderId="0" xfId="1" applyFont="1" applyAlignment="1" applyProtection="1">
      <alignment horizontal="center" vertical="center"/>
    </xf>
    <xf numFmtId="0" fontId="24" fillId="0" borderId="0" xfId="1" applyFont="1" applyAlignment="1" applyProtection="1">
      <alignment vertical="center" wrapText="1"/>
    </xf>
    <xf numFmtId="0" fontId="3" fillId="0" borderId="0" xfId="1" applyFont="1" applyAlignment="1" applyProtection="1">
      <alignment horizontal="left" vertical="center" wrapText="1"/>
    </xf>
    <xf numFmtId="0" fontId="26" fillId="0" borderId="0" xfId="2" applyFont="1" applyFill="1" applyAlignment="1" applyProtection="1">
      <alignment horizontal="center" vertical="center" wrapText="1"/>
      <protection hidden="1"/>
    </xf>
    <xf numFmtId="0" fontId="26" fillId="0" borderId="0" xfId="2" applyFont="1" applyAlignment="1" applyProtection="1">
      <alignment vertical="center" wrapText="1"/>
      <protection hidden="1"/>
    </xf>
    <xf numFmtId="0" fontId="26" fillId="0" borderId="19" xfId="2" applyNumberFormat="1" applyFont="1" applyFill="1" applyBorder="1" applyAlignment="1" applyProtection="1">
      <alignment vertical="center" wrapText="1"/>
      <protection hidden="1"/>
    </xf>
    <xf numFmtId="0" fontId="26" fillId="0" borderId="0" xfId="2" applyNumberFormat="1" applyFont="1" applyAlignment="1" applyProtection="1">
      <alignment vertical="center" wrapText="1"/>
      <protection hidden="1"/>
    </xf>
    <xf numFmtId="0" fontId="1" fillId="2" borderId="3" xfId="1" quotePrefix="1" applyFont="1" applyFill="1" applyBorder="1" applyAlignment="1" applyProtection="1">
      <alignment horizontal="left" vertical="center" wrapText="1"/>
      <protection hidden="1"/>
    </xf>
    <xf numFmtId="0" fontId="7" fillId="2" borderId="1" xfId="1" applyFont="1" applyFill="1" applyBorder="1" applyAlignment="1" applyProtection="1">
      <alignment vertical="center" wrapText="1"/>
    </xf>
    <xf numFmtId="0" fontId="7" fillId="5" borderId="0" xfId="1" applyFont="1" applyFill="1" applyBorder="1" applyAlignment="1" applyProtection="1">
      <alignment vertical="center"/>
    </xf>
    <xf numFmtId="0" fontId="9" fillId="12" borderId="1" xfId="1" applyFont="1" applyFill="1" applyBorder="1" applyAlignment="1" applyProtection="1">
      <alignment vertical="center"/>
    </xf>
    <xf numFmtId="0" fontId="20" fillId="12" borderId="1" xfId="1" applyFont="1" applyFill="1" applyBorder="1" applyAlignment="1" applyProtection="1">
      <alignment vertical="center" wrapText="1"/>
    </xf>
    <xf numFmtId="0" fontId="0" fillId="0" borderId="0" xfId="1" applyFont="1" applyFill="1" applyBorder="1" applyAlignment="1" applyProtection="1">
      <alignment horizontal="left" vertical="center" wrapText="1"/>
    </xf>
    <xf numFmtId="14" fontId="3" fillId="0" borderId="0" xfId="1" applyNumberFormat="1" applyFont="1" applyAlignment="1">
      <alignment horizontal="center" vertical="center"/>
    </xf>
    <xf numFmtId="0" fontId="0" fillId="0" borderId="0" xfId="1" applyFont="1" applyAlignment="1">
      <alignment wrapText="1"/>
    </xf>
    <xf numFmtId="0" fontId="10" fillId="3" borderId="4" xfId="1" applyFont="1" applyFill="1" applyBorder="1" applyAlignment="1" applyProtection="1">
      <alignment horizontal="center" vertical="center" wrapText="1"/>
    </xf>
    <xf numFmtId="0" fontId="40" fillId="10" borderId="0" xfId="1" applyFont="1" applyFill="1" applyBorder="1" applyAlignment="1" applyProtection="1">
      <alignment horizontal="center" vertical="center" wrapText="1"/>
    </xf>
    <xf numFmtId="0" fontId="7" fillId="0" borderId="0" xfId="1" applyFont="1" applyFill="1" applyAlignment="1" applyProtection="1">
      <alignment vertical="center" wrapText="1"/>
    </xf>
    <xf numFmtId="0" fontId="11" fillId="6" borderId="0" xfId="2" applyFill="1" applyBorder="1" applyAlignment="1" applyProtection="1">
      <alignment horizontal="center" vertical="center" wrapText="1"/>
    </xf>
    <xf numFmtId="0" fontId="17" fillId="6" borderId="0" xfId="2" applyFont="1" applyFill="1" applyBorder="1" applyAlignment="1" applyProtection="1">
      <alignment horizontal="center" vertical="center" wrapText="1"/>
    </xf>
    <xf numFmtId="0" fontId="1" fillId="2" borderId="3" xfId="1" applyFont="1" applyFill="1" applyBorder="1" applyAlignment="1" applyProtection="1">
      <alignment horizontal="left" vertical="center"/>
      <protection hidden="1"/>
    </xf>
    <xf numFmtId="0" fontId="1" fillId="2" borderId="16" xfId="1" applyFont="1" applyFill="1" applyBorder="1" applyAlignment="1" applyProtection="1">
      <alignment horizontal="left" vertical="center"/>
      <protection hidden="1"/>
    </xf>
    <xf numFmtId="0" fontId="1" fillId="2" borderId="3" xfId="1" applyFont="1" applyFill="1" applyBorder="1" applyAlignment="1" applyProtection="1">
      <alignment horizontal="right" vertical="center"/>
    </xf>
    <xf numFmtId="0" fontId="1" fillId="2" borderId="16" xfId="1" applyFont="1" applyFill="1" applyBorder="1" applyAlignment="1" applyProtection="1">
      <alignment horizontal="right" vertical="center"/>
    </xf>
    <xf numFmtId="0" fontId="1" fillId="12" borderId="1" xfId="0" applyFont="1" applyFill="1" applyBorder="1" applyAlignment="1">
      <alignment horizontal="right" vertical="center"/>
    </xf>
    <xf numFmtId="0" fontId="0" fillId="12" borderId="1" xfId="0" applyFill="1" applyBorder="1" applyAlignment="1">
      <alignment horizontal="left" wrapText="1"/>
    </xf>
    <xf numFmtId="0" fontId="0" fillId="12" borderId="3" xfId="0" applyFill="1" applyBorder="1" applyAlignment="1">
      <alignment horizontal="left" wrapText="1"/>
    </xf>
    <xf numFmtId="0" fontId="20" fillId="12" borderId="1" xfId="1" applyFont="1" applyFill="1" applyBorder="1" applyAlignment="1" applyProtection="1">
      <alignment horizontal="left" vertical="center" wrapText="1"/>
      <protection locked="0"/>
    </xf>
    <xf numFmtId="16" fontId="37" fillId="4" borderId="1" xfId="1" applyNumberFormat="1" applyFont="1" applyFill="1" applyBorder="1" applyAlignment="1" applyProtection="1">
      <alignment horizontal="left" vertical="center"/>
      <protection locked="0"/>
    </xf>
    <xf numFmtId="0" fontId="0" fillId="0" borderId="0" xfId="1" applyNumberFormat="1" applyFont="1" applyFill="1" applyAlignment="1" applyProtection="1">
      <alignment vertical="center" wrapText="1"/>
      <protection locked="0"/>
    </xf>
  </cellXfs>
  <cellStyles count="3">
    <cellStyle name="Hyperlink" xfId="2" builtinId="8"/>
    <cellStyle name="Normal" xfId="0" builtinId="0"/>
    <cellStyle name="Normal 2" xfId="1" xr:uid="{00000000-0005-0000-0000-000002000000}"/>
  </cellStyles>
  <dxfs count="39">
    <dxf>
      <font>
        <b val="0"/>
        <i val="0"/>
        <strike val="0"/>
        <outline val="0"/>
        <shadow val="0"/>
        <u val="none"/>
        <vertAlign val="baseline"/>
        <sz val="11"/>
        <color theme="1"/>
        <name val="Calibri"/>
        <scheme val="minor"/>
      </font>
      <numFmt numFmtId="0" formatCode="General"/>
      <alignment horizontal="general" vertical="center" textRotation="0" wrapText="1" indent="0" justifyLastLine="0" shrinkToFit="0" readingOrder="0"/>
      <protection locked="0" hidden="0"/>
    </dxf>
    <dxf>
      <font>
        <b val="0"/>
        <i val="0"/>
        <strike val="0"/>
        <outline val="0"/>
        <shadow val="0"/>
        <u val="none"/>
        <vertAlign val="baseline"/>
        <sz val="11"/>
        <color theme="1"/>
        <name val="Calibri"/>
        <scheme val="minor"/>
      </font>
      <numFmt numFmtId="0" formatCode="General"/>
      <alignment horizontal="general" vertical="center" textRotation="0" wrapText="1" indent="0" justifyLastLine="0" shrinkToFit="0" readingOrder="0"/>
      <protection locked="0" hidden="0"/>
    </dxf>
    <dxf>
      <font>
        <b val="0"/>
        <i val="0"/>
        <strike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0" hidden="1"/>
    </dxf>
    <dxf>
      <font>
        <b val="0"/>
        <i val="0"/>
        <strike val="0"/>
        <condense val="0"/>
        <extend val="0"/>
        <outline val="0"/>
        <shadow val="0"/>
        <u val="none"/>
        <vertAlign val="baseline"/>
        <sz val="11"/>
        <color auto="1"/>
        <name val="Calibri"/>
        <scheme val="minor"/>
      </font>
      <numFmt numFmtId="0" formatCode="General"/>
      <alignment horizontal="left"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numFmt numFmtId="0" formatCode="General"/>
      <alignment horizontal="lef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numFmt numFmtId="0" formatCode="Genera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1" indent="0" justifyLastLine="0" shrinkToFit="0" readingOrder="0"/>
      <protection locked="0"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protection locked="1" hidden="0"/>
    </dxf>
    <dxf>
      <font>
        <strike val="0"/>
        <outline val="0"/>
        <shadow val="0"/>
        <u/>
        <vertAlign val="baseline"/>
        <sz val="11"/>
        <color theme="10"/>
        <name val="Calibri"/>
        <scheme val="minor"/>
      </font>
      <numFmt numFmtId="0" formatCode="General"/>
      <fill>
        <patternFill patternType="none">
          <fgColor indexed="64"/>
          <bgColor indexed="65"/>
        </patternFill>
      </fill>
      <alignment horizontal="general" vertical="center" textRotation="0" wrapText="1" indent="0" justifyLastLine="0" shrinkToFit="0" readingOrder="0"/>
      <border diagonalUp="0" diagonalDown="0">
        <left/>
        <right/>
        <top style="thin">
          <color rgb="FF95B3D7"/>
        </top>
        <bottom style="thin">
          <color rgb="FF95B3D7"/>
        </bottom>
      </border>
      <protection locked="1" hidden="1"/>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outline val="0"/>
        <shadow val="0"/>
        <u/>
        <vertAlign val="baseline"/>
        <sz val="11"/>
        <color theme="10"/>
        <name val="Calibri"/>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vertAlign val="baseline"/>
        <sz val="11"/>
        <name val="Calibri"/>
        <scheme val="minor"/>
      </font>
      <numFmt numFmtId="0" formatCode="General"/>
      <alignment horizontal="center" vertical="center" textRotation="0" wrapText="1" indent="0" justifyLastLine="0" shrinkToFit="0" readingOrder="0"/>
      <protection locked="1" hidden="0"/>
    </dxf>
    <dxf>
      <font>
        <b val="0"/>
        <i val="0"/>
        <strike val="0"/>
        <outline val="0"/>
        <shadow val="0"/>
        <u val="none"/>
        <vertAlign val="baseline"/>
        <sz val="11"/>
        <color theme="1"/>
        <name val="Calibri"/>
        <scheme val="minor"/>
      </font>
      <alignment horizontal="general" vertical="center" textRotation="0" wrapText="1" indent="0" justifyLastLine="0" shrinkToFit="0" readingOrder="0"/>
      <protection locked="1" hidden="0"/>
    </dxf>
    <dxf>
      <font>
        <b/>
        <i val="0"/>
        <strike val="0"/>
        <outline val="0"/>
        <shadow val="0"/>
        <u val="none"/>
        <vertAlign val="baseline"/>
        <sz val="11"/>
        <color theme="1"/>
        <name val="Calibri"/>
        <scheme val="none"/>
      </font>
      <alignment horizontal="center" vertical="center" textRotation="0" wrapText="0" indent="0" justifyLastLine="0" shrinkToFit="0" readingOrder="0"/>
      <protection locked="1" hidden="0"/>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ont>
        <color rgb="FFFFFFFF"/>
      </font>
      <fill>
        <patternFill>
          <bgColor rgb="FF008000"/>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i val="0"/>
        <strike val="0"/>
        <color theme="0"/>
      </font>
      <fill>
        <patternFill patternType="solid">
          <fgColor theme="4"/>
          <bgColor rgb="FF0C2577"/>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s>
  <tableStyles count="1" defaultTableStyle="TableStyleMedium2" defaultPivotStyle="PivotStyleLight16">
    <tableStyle name="AT&amp;T Dark Blue with Light Bands" pivot="0" count="7" xr9:uid="{00000000-0011-0000-FFFF-FFFF00000000}">
      <tableStyleElement type="wholeTable" dxfId="38"/>
      <tableStyleElement type="headerRow" dxfId="37"/>
      <tableStyleElement type="totalRow" dxfId="36"/>
      <tableStyleElement type="firstColumn" dxfId="35"/>
      <tableStyleElement type="lastColumn" dxfId="34"/>
      <tableStyleElement type="firstRowStripe" dxfId="33"/>
      <tableStyleElement type="firstColumnStripe" dxfId="32"/>
    </tableStyle>
  </tableStyles>
  <colors>
    <mruColors>
      <color rgb="FFEAEAEA"/>
      <color rgb="FFF0F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accessibility.web.att.com:8085/Users/ak6028/AppData/Local/Temp/CATO_ACoE_Guid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Project Scope"/>
      <sheetName val="Requirements &amp; Testing"/>
      <sheetName val="Definitions"/>
      <sheetName val="Section 508"/>
      <sheetName val="Standards_Reference"/>
      <sheetName val="Solutions_Reference"/>
      <sheetName val="Version"/>
      <sheetName val="Data"/>
      <sheetName val="Solution Generic Name"/>
    </sheetNames>
    <sheetDataSet>
      <sheetData sheetId="0"/>
      <sheetData sheetId="1"/>
      <sheetData sheetId="2"/>
      <sheetData sheetId="3"/>
      <sheetData sheetId="4"/>
      <sheetData sheetId="5"/>
      <sheetData sheetId="6"/>
      <sheetData sheetId="7"/>
      <sheetData sheetId="8">
        <row r="2">
          <cell r="B2" t="str">
            <v>https://www.e-access.att.com/ebiz/accessibility/</v>
          </cell>
        </row>
      </sheetData>
      <sheetData sheetId="9"/>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olutions_2" connectionId="2" xr16:uid="{00000000-0016-0000-0400-000004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olutions_3" connectionId="3" xr16:uid="{00000000-0016-0000-0400-000003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olutions_4" connectionId="4" xr16:uid="{00000000-0016-0000-04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solutions" connectionId="1" xr16:uid="{00000000-0016-0000-0400-000001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solutions_1" connectionId="1" xr16:uid="{00000000-0016-0000-0400-00000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9:N224" totalsRowShown="0" headerRowDxfId="15" dataDxfId="14">
  <autoFilter ref="A19:N224" xr:uid="{140CD0C6-9378-47F5-ADA0-7EF2E0B27EA0}">
    <filterColumn colId="1">
      <filters blank="1">
        <filter val="Navigation"/>
        <filter val="Structure"/>
      </filters>
    </filterColumn>
  </autoFilter>
  <sortState ref="A20:U69">
    <sortCondition ref="A1:A51"/>
  </sortState>
  <tableColumns count="14">
    <tableColumn id="32" xr3:uid="{00000000-0010-0000-0000-000020000000}" name="*UID" dataDxfId="13"/>
    <tableColumn id="1" xr3:uid="{00000000-0010-0000-0000-000001000000}" name="Project Scope" dataDxfId="12"/>
    <tableColumn id="15" xr3:uid="{00000000-0010-0000-0000-00000F000000}" name="Scope URL" dataDxfId="11" dataCellStyle="Normal 2"/>
    <tableColumn id="14" xr3:uid="{00000000-0010-0000-0000-00000E000000}" name="Scope Text" dataDxfId="10" dataCellStyle="Normal 2"/>
    <tableColumn id="9" xr3:uid="{00000000-0010-0000-0000-000009000000}" name="Accessibility Requirements" dataDxfId="9" dataCellStyle="Hyperlink">
      <calculatedColumnFormula>HYPERLINK(arcTarget &amp; "fwd.html?src=xlguide&amp;url=" &amp; arcTarget &amp; F20,G20)</calculatedColumnFormula>
    </tableColumn>
    <tableColumn id="7" xr3:uid="{00000000-0010-0000-0000-000007000000}" name="Req URL's" dataDxfId="8" dataCellStyle="Hyperlink"/>
    <tableColumn id="8" xr3:uid="{00000000-0010-0000-0000-000008000000}" name="Req Text" dataDxfId="7" dataCellStyle="Hyperlink"/>
    <tableColumn id="2" xr3:uid="{00000000-0010-0000-0000-000002000000}" name="Confirm Requirement is Included in Project Documentation" dataDxfId="6">
      <calculatedColumnFormula>IF(#REF!="N/A", "Not Relevant","")</calculatedColumnFormula>
    </tableColumn>
    <tableColumn id="12" xr3:uid="{00000000-0010-0000-0000-00000C000000}" name="Testing Tools_x000a_and Guidance" dataDxfId="5">
      <calculatedColumnFormula>HYPERLINK(arcTarget &amp; "fwd.html?src=xlguide&amp;url=" &amp; arcTarget &amp; J20,K20)</calculatedColumnFormula>
    </tableColumn>
    <tableColumn id="11" xr3:uid="{00000000-0010-0000-0000-00000B000000}" name="Test URL's" dataDxfId="4" dataCellStyle="Hyperlink"/>
    <tableColumn id="10" xr3:uid="{00000000-0010-0000-0000-00000A000000}" name="Test Text" dataDxfId="3" dataCellStyle="Hyperlink"/>
    <tableColumn id="3" xr3:uid="{00000000-0010-0000-0000-000003000000}" name="Testing Team: _x000a_Confirm Requirement _x000a_is Met" dataDxfId="2">
      <calculatedColumnFormula>IF(OR($H20="Not Relevant",$H20=""), "Not Relevant","")</calculatedColumnFormula>
    </tableColumn>
    <tableColumn id="4" xr3:uid="{00000000-0010-0000-0000-000004000000}" name="Supporting Explanation_x000a_(Required)" dataDxfId="1"/>
    <tableColumn id="5" xr3:uid="{00000000-0010-0000-0000-000005000000}" name="CATO Assessor Feedback_x000a_(Internal CATO Use for post-launch accessibility assessment)_x000a_" dataDxfId="0"/>
  </tableColumns>
  <tableStyleInfo name="AT&amp;T Dark Blue with Light Bands"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accessibility.web.att.com/guide-process/CATO_ACoE_JobAid.docx" TargetMode="External"/><Relationship Id="rId2" Type="http://schemas.openxmlformats.org/officeDocument/2006/relationships/hyperlink" Target="http://accessibility.web.att.com/guide-process/CATO_ACoE_JobAid.docx" TargetMode="External"/><Relationship Id="rId1" Type="http://schemas.openxmlformats.org/officeDocument/2006/relationships/hyperlink" Target="http://wiwauk4coldda06.itservices.sbc.com/accessibility/guide-process/CATO_ACoE_JobAid.docx" TargetMode="External"/><Relationship Id="rId5" Type="http://schemas.openxmlformats.org/officeDocument/2006/relationships/table" Target="../tables/table1.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5.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6.xml.rels><?xml version="1.0" encoding="UTF-8" standalone="yes"?>
<Relationships xmlns="http://schemas.openxmlformats.org/package/2006/relationships"><Relationship Id="rId2" Type="http://schemas.openxmlformats.org/officeDocument/2006/relationships/hyperlink" Target="http://accessibility.web.att.com/" TargetMode="External"/><Relationship Id="rId1" Type="http://schemas.openxmlformats.org/officeDocument/2006/relationships/hyperlink" Target="https://www.e-access.att.com/accessibility/"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ntranet.att.com/accessibility/site-change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20"/>
  <sheetViews>
    <sheetView zoomScaleNormal="100" workbookViewId="0">
      <selection activeCell="B16" sqref="B16"/>
    </sheetView>
  </sheetViews>
  <sheetFormatPr defaultColWidth="12.7265625" defaultRowHeight="13"/>
  <cols>
    <col min="1" max="1" width="46.1796875" style="107" customWidth="1"/>
    <col min="2" max="2" width="71.453125" style="107" customWidth="1"/>
    <col min="3" max="3" width="9.7265625" style="107" customWidth="1"/>
    <col min="4" max="16384" width="12.7265625" style="107"/>
  </cols>
  <sheetData>
    <row r="1" spans="1:3" ht="55.9" customHeight="1">
      <c r="A1" s="183" t="s">
        <v>965</v>
      </c>
      <c r="B1" s="183"/>
    </row>
    <row r="2" spans="1:3" s="110" customFormat="1" ht="32.25" customHeight="1">
      <c r="A2" s="108" t="s">
        <v>783</v>
      </c>
      <c r="B2" s="109"/>
    </row>
    <row r="3" spans="1:3" s="110" customFormat="1" ht="24" customHeight="1">
      <c r="A3" s="111" t="s">
        <v>784</v>
      </c>
      <c r="B3" s="112"/>
    </row>
    <row r="4" spans="1:3" s="110" customFormat="1" ht="37.5" customHeight="1">
      <c r="A4" s="113" t="s">
        <v>969</v>
      </c>
      <c r="B4" s="67" t="s">
        <v>967</v>
      </c>
    </row>
    <row r="5" spans="1:3" s="110" customFormat="1" ht="24" customHeight="1">
      <c r="A5" s="114" t="s">
        <v>785</v>
      </c>
      <c r="B5" s="67" t="s">
        <v>1016</v>
      </c>
    </row>
    <row r="6" spans="1:3" s="110" customFormat="1" ht="24" customHeight="1">
      <c r="A6" s="114" t="s">
        <v>786</v>
      </c>
      <c r="B6" s="67" t="s">
        <v>1017</v>
      </c>
    </row>
    <row r="7" spans="1:3" s="110" customFormat="1" ht="24" customHeight="1">
      <c r="A7" s="114" t="s">
        <v>787</v>
      </c>
      <c r="B7" s="68" t="s">
        <v>1018</v>
      </c>
    </row>
    <row r="8" spans="1:3" s="110" customFormat="1" ht="24" customHeight="1">
      <c r="A8" s="114" t="s">
        <v>788</v>
      </c>
      <c r="B8" s="68"/>
    </row>
    <row r="9" spans="1:3" s="110" customFormat="1" ht="24" customHeight="1">
      <c r="A9" s="114" t="s">
        <v>789</v>
      </c>
      <c r="B9" s="68"/>
    </row>
    <row r="10" spans="1:3" s="110" customFormat="1" ht="29">
      <c r="A10" s="113" t="s">
        <v>790</v>
      </c>
      <c r="B10" s="68"/>
      <c r="C10" s="115" t="str">
        <f>HYPERLINK(arcTarget &amp; "fwd/?src=xlguide&amp;url=http://accessibility.web.att.com/tools/amp.html","AMP info")</f>
        <v>AMP info</v>
      </c>
    </row>
    <row r="11" spans="1:3" s="110" customFormat="1" ht="24" customHeight="1">
      <c r="A11" s="114" t="s">
        <v>791</v>
      </c>
      <c r="B11" s="69" t="s">
        <v>1019</v>
      </c>
    </row>
    <row r="12" spans="1:3" s="110" customFormat="1" ht="24" customHeight="1">
      <c r="A12" s="113" t="s">
        <v>792</v>
      </c>
      <c r="B12" s="68" t="s">
        <v>1020</v>
      </c>
    </row>
    <row r="13" spans="1:3" s="110" customFormat="1" ht="24" customHeight="1">
      <c r="A13" s="113" t="s">
        <v>793</v>
      </c>
      <c r="B13" s="68" t="s">
        <v>1021</v>
      </c>
    </row>
    <row r="14" spans="1:3" s="110" customFormat="1" ht="29">
      <c r="A14" s="116" t="s">
        <v>794</v>
      </c>
      <c r="B14" s="68"/>
    </row>
    <row r="15" spans="1:3" s="110" customFormat="1" ht="33.75" customHeight="1">
      <c r="A15" s="116" t="s">
        <v>795</v>
      </c>
      <c r="B15" s="195">
        <v>43169</v>
      </c>
    </row>
    <row r="16" spans="1:3" s="110" customFormat="1" ht="70.5" customHeight="1">
      <c r="A16" s="113" t="s">
        <v>796</v>
      </c>
      <c r="B16" s="68" t="s">
        <v>1022</v>
      </c>
    </row>
    <row r="17" spans="1:2" s="110" customFormat="1" ht="78.75" customHeight="1">
      <c r="A17" s="182" t="s">
        <v>797</v>
      </c>
      <c r="B17" s="182"/>
    </row>
    <row r="18" spans="1:2" s="110" customFormat="1">
      <c r="A18" s="117" t="s">
        <v>27</v>
      </c>
      <c r="B18" s="117"/>
    </row>
    <row r="19" spans="1:2" s="110" customFormat="1">
      <c r="A19" s="118" t="s">
        <v>28</v>
      </c>
      <c r="B19" s="118"/>
    </row>
    <row r="20" spans="1:2">
      <c r="A20" s="118" t="str">
        <f>CONCATENATE(Version!$B$1)</f>
        <v>3.1 1/24/2018</v>
      </c>
      <c r="B20" s="118"/>
    </row>
  </sheetData>
  <sheetProtection sheet="1" objects="1" scenarios="1" formatRows="0"/>
  <mergeCells count="2">
    <mergeCell ref="A17:B17"/>
    <mergeCell ref="A1:B1"/>
  </mergeCells>
  <dataValidations count="1">
    <dataValidation type="list" allowBlank="1" showInputMessage="1" showErrorMessage="1" sqref="B4" xr:uid="{00000000-0002-0000-0000-000000000000}">
      <formula1>"Internal, External (vendor access)"</formula1>
    </dataValidation>
  </dataValidations>
  <pageMargins left="0.25" right="0.25" top="0.75" bottom="0.75" header="0.3" footer="0.3"/>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U69"/>
  <sheetViews>
    <sheetView topLeftCell="A60" zoomScaleNormal="100" workbookViewId="0">
      <selection activeCell="G65" sqref="G65"/>
    </sheetView>
  </sheetViews>
  <sheetFormatPr defaultColWidth="12.54296875" defaultRowHeight="15.5"/>
  <cols>
    <col min="1" max="1" width="28.1796875" style="25" customWidth="1"/>
    <col min="2" max="2" width="82.1796875" style="17" customWidth="1"/>
    <col min="3" max="3" width="14.7265625" style="90" customWidth="1"/>
    <col min="4" max="4" width="43.81640625" style="4" customWidth="1"/>
    <col min="5" max="16384" width="12.54296875" style="4"/>
  </cols>
  <sheetData>
    <row r="1" spans="1:21" ht="18" customHeight="1">
      <c r="A1" s="1" t="s">
        <v>9</v>
      </c>
      <c r="B1" s="16"/>
      <c r="C1" s="88"/>
      <c r="D1" s="2"/>
      <c r="E1" s="3"/>
      <c r="F1" s="3"/>
      <c r="G1" s="3"/>
      <c r="H1" s="3"/>
      <c r="I1" s="3"/>
    </row>
    <row r="2" spans="1:21" ht="104.5" customHeight="1">
      <c r="A2" s="184" t="s">
        <v>972</v>
      </c>
      <c r="B2" s="184"/>
      <c r="C2" s="184"/>
      <c r="D2" s="184"/>
      <c r="E2" s="5"/>
      <c r="F2" s="5"/>
      <c r="G2" s="5"/>
      <c r="H2" s="5"/>
      <c r="I2" s="6"/>
    </row>
    <row r="3" spans="1:21" s="9" customFormat="1" ht="19.149999999999999" customHeight="1">
      <c r="A3" s="7" t="s">
        <v>10</v>
      </c>
      <c r="B3" s="174" t="str">
        <f>IF(ISBLANK('Cover Page'!B7),"(Auto-Filled from Cover)",'Cover Page'!B7)</f>
        <v xml:space="preserve">   Smart Network Manager reposition button on mobile web  </v>
      </c>
      <c r="C3" s="89"/>
      <c r="D3" s="8"/>
    </row>
    <row r="4" spans="1:21" ht="18.5">
      <c r="A4" s="10" t="s">
        <v>11</v>
      </c>
      <c r="B4" s="11" t="s">
        <v>12</v>
      </c>
      <c r="C4" s="12" t="s">
        <v>0</v>
      </c>
      <c r="D4" s="11" t="s">
        <v>13</v>
      </c>
      <c r="E4" s="5"/>
      <c r="F4" s="5"/>
      <c r="G4" s="5"/>
      <c r="H4" s="5"/>
      <c r="I4" s="6"/>
    </row>
    <row r="5" spans="1:21" ht="60" customHeight="1">
      <c r="A5" s="13" t="str">
        <f>HYPERLINK(arcTarget &amp; "fwd/?src=xlguide&amp;url=" &amp; arcTarget &amp; "guide-advertising-user-research.html","Advertising &amp; User Research")</f>
        <v>Advertising &amp; User Research</v>
      </c>
      <c r="B5" s="15" t="s">
        <v>14</v>
      </c>
      <c r="C5" s="14" t="s">
        <v>1</v>
      </c>
      <c r="D5" s="15" t="s">
        <v>851</v>
      </c>
    </row>
    <row r="6" spans="1:21" ht="60" customHeight="1">
      <c r="A6" s="13" t="str">
        <f>HYPERLINK(arcTarget &amp; "fwd/?src=xlguide&amp;url=" &amp; arcTarget &amp; "guides/chat/guide-chat.html","Chat")</f>
        <v>Chat</v>
      </c>
      <c r="B6" s="15" t="s">
        <v>782</v>
      </c>
      <c r="C6" s="14" t="s">
        <v>1</v>
      </c>
      <c r="D6" s="15" t="s">
        <v>850</v>
      </c>
    </row>
    <row r="7" spans="1:21" s="121" customFormat="1" ht="60" hidden="1" customHeight="1">
      <c r="A7" s="87" t="s">
        <v>908</v>
      </c>
      <c r="B7" s="119" t="s">
        <v>15</v>
      </c>
      <c r="C7" s="14"/>
      <c r="D7" s="126" t="s">
        <v>16</v>
      </c>
      <c r="E7" s="120"/>
      <c r="F7" s="120"/>
      <c r="G7" s="120"/>
      <c r="H7" s="120"/>
      <c r="I7" s="120"/>
      <c r="J7" s="120"/>
      <c r="K7" s="120"/>
      <c r="L7" s="120"/>
      <c r="M7" s="120"/>
      <c r="N7" s="120"/>
      <c r="O7" s="120"/>
      <c r="P7" s="120"/>
      <c r="Q7" s="120"/>
      <c r="R7" s="120"/>
      <c r="S7" s="120"/>
      <c r="T7" s="120"/>
      <c r="U7" s="120"/>
    </row>
    <row r="8" spans="1:21" ht="60" customHeight="1">
      <c r="A8" s="13" t="str">
        <f>HYPERLINK(arcTarget &amp; "fwd/?src=xlguide&amp;url=" &amp; arcTarget &amp; "guide-comm-and-user-docs.html","Customer Collateral")</f>
        <v>Customer Collateral</v>
      </c>
      <c r="B8" s="15" t="s">
        <v>17</v>
      </c>
      <c r="C8" s="14" t="s">
        <v>1</v>
      </c>
      <c r="D8" s="15" t="s">
        <v>870</v>
      </c>
    </row>
    <row r="9" spans="1:21" s="121" customFormat="1" ht="60" hidden="1" customHeight="1">
      <c r="A9" s="87" t="s">
        <v>65</v>
      </c>
      <c r="B9" s="119" t="s">
        <v>66</v>
      </c>
      <c r="C9" s="14"/>
      <c r="D9" s="126" t="s">
        <v>860</v>
      </c>
      <c r="E9" s="120"/>
      <c r="F9" s="120"/>
      <c r="G9" s="120"/>
      <c r="H9" s="120"/>
      <c r="I9" s="120"/>
      <c r="J9" s="120"/>
      <c r="K9" s="120"/>
      <c r="L9" s="120"/>
      <c r="M9" s="120"/>
      <c r="N9" s="120"/>
      <c r="O9" s="120"/>
      <c r="P9" s="120"/>
      <c r="Q9" s="120"/>
      <c r="R9" s="120"/>
      <c r="S9" s="120"/>
      <c r="T9" s="120"/>
      <c r="U9" s="120"/>
    </row>
    <row r="10" spans="1:21" s="121" customFormat="1" ht="60" hidden="1" customHeight="1">
      <c r="A10" s="87" t="s">
        <v>67</v>
      </c>
      <c r="B10" s="119" t="s">
        <v>68</v>
      </c>
      <c r="C10" s="14"/>
      <c r="D10" s="124" t="s">
        <v>861</v>
      </c>
      <c r="E10" s="120"/>
      <c r="F10" s="120"/>
      <c r="G10" s="120"/>
      <c r="H10" s="120"/>
      <c r="I10" s="120"/>
      <c r="J10" s="120"/>
      <c r="K10" s="120"/>
      <c r="L10" s="120"/>
      <c r="M10" s="120"/>
      <c r="N10" s="120"/>
      <c r="O10" s="120"/>
      <c r="P10" s="120"/>
      <c r="Q10" s="120"/>
      <c r="R10" s="120"/>
      <c r="S10" s="120"/>
      <c r="T10" s="120"/>
      <c r="U10" s="120"/>
    </row>
    <row r="11" spans="1:21" s="121" customFormat="1" ht="60" hidden="1" customHeight="1">
      <c r="A11" s="87" t="s">
        <v>69</v>
      </c>
      <c r="B11" s="119" t="s">
        <v>70</v>
      </c>
      <c r="C11" s="14"/>
      <c r="D11" s="124" t="s">
        <v>862</v>
      </c>
      <c r="E11" s="120"/>
      <c r="F11" s="120"/>
      <c r="G11" s="120"/>
      <c r="H11" s="120"/>
      <c r="I11" s="120"/>
      <c r="J11" s="120"/>
      <c r="K11" s="120"/>
      <c r="L11" s="120"/>
      <c r="M11" s="120"/>
      <c r="N11" s="120"/>
      <c r="O11" s="120"/>
      <c r="P11" s="120"/>
      <c r="Q11" s="120"/>
      <c r="R11" s="120"/>
      <c r="S11" s="120"/>
      <c r="T11" s="120"/>
      <c r="U11" s="120"/>
    </row>
    <row r="12" spans="1:21" s="121" customFormat="1" ht="60" hidden="1" customHeight="1">
      <c r="A12" s="87" t="s">
        <v>71</v>
      </c>
      <c r="B12" s="119" t="s">
        <v>72</v>
      </c>
      <c r="C12" s="14"/>
      <c r="D12" s="124" t="s">
        <v>863</v>
      </c>
      <c r="E12" s="120"/>
      <c r="F12" s="120"/>
      <c r="G12" s="120"/>
      <c r="H12" s="120"/>
      <c r="I12" s="120"/>
      <c r="J12" s="120"/>
      <c r="K12" s="120"/>
      <c r="L12" s="120"/>
      <c r="M12" s="120"/>
      <c r="N12" s="120"/>
      <c r="O12" s="120"/>
      <c r="P12" s="120"/>
      <c r="Q12" s="120"/>
      <c r="R12" s="120"/>
      <c r="S12" s="120"/>
      <c r="T12" s="120"/>
      <c r="U12" s="120"/>
    </row>
    <row r="13" spans="1:21" s="121" customFormat="1" ht="60" hidden="1" customHeight="1">
      <c r="A13" s="87" t="s">
        <v>73</v>
      </c>
      <c r="B13" s="119" t="s">
        <v>74</v>
      </c>
      <c r="C13" s="14"/>
      <c r="D13" s="124" t="s">
        <v>864</v>
      </c>
      <c r="E13" s="120"/>
      <c r="F13" s="120"/>
      <c r="G13" s="120"/>
      <c r="H13" s="120"/>
      <c r="I13" s="120"/>
      <c r="J13" s="120"/>
      <c r="K13" s="120"/>
      <c r="L13" s="120"/>
      <c r="M13" s="120"/>
      <c r="N13" s="120"/>
      <c r="O13" s="120"/>
      <c r="P13" s="120"/>
      <c r="Q13" s="120"/>
      <c r="R13" s="120"/>
      <c r="S13" s="120"/>
      <c r="T13" s="120"/>
      <c r="U13" s="120"/>
    </row>
    <row r="14" spans="1:21" s="121" customFormat="1" ht="60" hidden="1" customHeight="1">
      <c r="A14" s="87" t="s">
        <v>75</v>
      </c>
      <c r="B14" s="119" t="s">
        <v>76</v>
      </c>
      <c r="C14" s="14"/>
      <c r="D14" s="124" t="s">
        <v>865</v>
      </c>
      <c r="E14" s="120"/>
      <c r="F14" s="120"/>
      <c r="G14" s="120"/>
      <c r="H14" s="120"/>
      <c r="I14" s="120"/>
      <c r="J14" s="120"/>
      <c r="K14" s="120"/>
      <c r="L14" s="120"/>
      <c r="M14" s="120"/>
      <c r="N14" s="120"/>
      <c r="O14" s="120"/>
      <c r="P14" s="120"/>
      <c r="Q14" s="120"/>
      <c r="R14" s="120"/>
      <c r="S14" s="120"/>
      <c r="T14" s="120"/>
      <c r="U14" s="120"/>
    </row>
    <row r="15" spans="1:21" s="121" customFormat="1" ht="60" hidden="1" customHeight="1">
      <c r="A15" s="87" t="s">
        <v>77</v>
      </c>
      <c r="B15" s="119" t="s">
        <v>78</v>
      </c>
      <c r="C15" s="14"/>
      <c r="D15" s="124" t="s">
        <v>866</v>
      </c>
      <c r="E15" s="120"/>
      <c r="F15" s="120"/>
      <c r="G15" s="120"/>
      <c r="H15" s="120"/>
      <c r="I15" s="120"/>
      <c r="J15" s="120"/>
      <c r="K15" s="120"/>
      <c r="L15" s="120"/>
      <c r="M15" s="120"/>
      <c r="N15" s="120"/>
      <c r="O15" s="120"/>
      <c r="P15" s="120"/>
      <c r="Q15" s="120"/>
      <c r="R15" s="120"/>
      <c r="S15" s="120"/>
      <c r="T15" s="120"/>
      <c r="U15" s="120"/>
    </row>
    <row r="16" spans="1:21" s="121" customFormat="1" ht="60" hidden="1" customHeight="1">
      <c r="A16" s="87" t="s">
        <v>79</v>
      </c>
      <c r="B16" s="119" t="s">
        <v>80</v>
      </c>
      <c r="C16" s="14"/>
      <c r="D16" s="124" t="s">
        <v>867</v>
      </c>
      <c r="E16" s="120"/>
      <c r="F16" s="120"/>
      <c r="G16" s="120"/>
      <c r="H16" s="120"/>
      <c r="I16" s="120"/>
      <c r="J16" s="120"/>
      <c r="K16" s="120"/>
      <c r="L16" s="120"/>
      <c r="M16" s="120"/>
      <c r="N16" s="120"/>
      <c r="O16" s="120"/>
      <c r="P16" s="120"/>
      <c r="Q16" s="120"/>
      <c r="R16" s="120"/>
      <c r="S16" s="120"/>
      <c r="T16" s="120"/>
      <c r="U16" s="120"/>
    </row>
    <row r="17" spans="1:21" s="121" customFormat="1" ht="60" hidden="1" customHeight="1">
      <c r="A17" s="87" t="s">
        <v>81</v>
      </c>
      <c r="B17" s="119" t="s">
        <v>82</v>
      </c>
      <c r="C17" s="14"/>
      <c r="D17" s="124" t="s">
        <v>868</v>
      </c>
      <c r="E17" s="120"/>
      <c r="F17" s="120"/>
      <c r="G17" s="120"/>
      <c r="H17" s="120"/>
      <c r="I17" s="120"/>
      <c r="J17" s="120"/>
      <c r="K17" s="120"/>
      <c r="L17" s="120"/>
      <c r="M17" s="120"/>
      <c r="N17" s="120"/>
      <c r="O17" s="120"/>
      <c r="P17" s="120"/>
      <c r="Q17" s="120"/>
      <c r="R17" s="120"/>
      <c r="S17" s="120"/>
      <c r="T17" s="120"/>
      <c r="U17" s="120"/>
    </row>
    <row r="18" spans="1:21" s="121" customFormat="1" ht="60" hidden="1" customHeight="1">
      <c r="A18" s="122" t="s">
        <v>83</v>
      </c>
      <c r="B18" s="123" t="s">
        <v>84</v>
      </c>
      <c r="C18" s="14"/>
      <c r="D18" s="175" t="s">
        <v>869</v>
      </c>
    </row>
    <row r="19" spans="1:21" ht="60" customHeight="1">
      <c r="A19" s="13" t="str">
        <f>HYPERLINK(arcTarget &amp; "fwd/?src=xlguide&amp;url=" &amp; arcTarget &amp; "guides/tech/guide-desktop-gui-windows.html","Desktop")</f>
        <v>Desktop</v>
      </c>
      <c r="B19" s="15" t="s">
        <v>18</v>
      </c>
      <c r="C19" s="14" t="s">
        <v>1</v>
      </c>
      <c r="D19" s="15" t="s">
        <v>852</v>
      </c>
    </row>
    <row r="20" spans="1:21" ht="60" customHeight="1">
      <c r="A20" s="13" t="str">
        <f>HYPERLINK(arcTarget &amp; "fwd/?src=xlguide&amp;url=" &amp; arcTarget &amp; "guides/tech/guide-hardware.html","Hardware")</f>
        <v>Hardware</v>
      </c>
      <c r="B20" s="15" t="s">
        <v>1012</v>
      </c>
      <c r="C20" s="14" t="s">
        <v>1</v>
      </c>
      <c r="D20" s="15" t="s">
        <v>1013</v>
      </c>
    </row>
    <row r="21" spans="1:21" ht="60" customHeight="1">
      <c r="A21" s="13" t="str">
        <f>HYPERLINK(arcTarget &amp; "fwd/?src=xlguide&amp;url=" &amp; arcTarget &amp; "guide-ivr.html","IVR")</f>
        <v>IVR</v>
      </c>
      <c r="B21" s="15" t="s">
        <v>19</v>
      </c>
      <c r="C21" s="14" t="s">
        <v>1</v>
      </c>
      <c r="D21" s="15" t="s">
        <v>876</v>
      </c>
    </row>
    <row r="22" spans="1:21" s="121" customFormat="1" ht="60" hidden="1" customHeight="1">
      <c r="A22" s="87" t="s">
        <v>85</v>
      </c>
      <c r="B22" s="119" t="s">
        <v>86</v>
      </c>
      <c r="C22" s="14"/>
      <c r="D22" s="124" t="s">
        <v>871</v>
      </c>
      <c r="E22" s="120"/>
      <c r="F22" s="120"/>
      <c r="G22" s="120"/>
      <c r="H22" s="120"/>
      <c r="I22" s="120"/>
      <c r="J22" s="120"/>
      <c r="K22" s="120"/>
      <c r="L22" s="120"/>
      <c r="M22" s="120"/>
      <c r="N22" s="120"/>
      <c r="O22" s="120"/>
      <c r="P22" s="120"/>
      <c r="Q22" s="120"/>
      <c r="R22" s="120"/>
      <c r="S22" s="120"/>
      <c r="T22" s="120"/>
      <c r="U22" s="120"/>
    </row>
    <row r="23" spans="1:21" s="121" customFormat="1" ht="60" hidden="1" customHeight="1">
      <c r="A23" s="87" t="s">
        <v>87</v>
      </c>
      <c r="B23" s="119" t="s">
        <v>88</v>
      </c>
      <c r="C23" s="14"/>
      <c r="D23" s="125" t="s">
        <v>872</v>
      </c>
      <c r="E23" s="120"/>
      <c r="F23" s="120"/>
      <c r="G23" s="120"/>
      <c r="H23" s="120"/>
      <c r="I23" s="120"/>
      <c r="J23" s="120"/>
      <c r="K23" s="120"/>
      <c r="L23" s="120"/>
      <c r="M23" s="120"/>
      <c r="N23" s="120"/>
      <c r="O23" s="120"/>
      <c r="P23" s="120"/>
      <c r="Q23" s="120"/>
      <c r="R23" s="120"/>
      <c r="S23" s="120"/>
      <c r="T23" s="120"/>
      <c r="U23" s="120"/>
    </row>
    <row r="24" spans="1:21" s="121" customFormat="1" ht="60" hidden="1" customHeight="1">
      <c r="A24" s="87" t="s">
        <v>89</v>
      </c>
      <c r="B24" s="119" t="s">
        <v>90</v>
      </c>
      <c r="C24" s="14"/>
      <c r="D24" s="125" t="s">
        <v>873</v>
      </c>
      <c r="E24" s="120"/>
      <c r="F24" s="120"/>
      <c r="G24" s="120"/>
      <c r="H24" s="120"/>
      <c r="I24" s="120"/>
      <c r="J24" s="120"/>
      <c r="K24" s="120"/>
      <c r="L24" s="120"/>
      <c r="M24" s="120"/>
      <c r="N24" s="120"/>
      <c r="O24" s="120"/>
      <c r="P24" s="120"/>
      <c r="Q24" s="120"/>
      <c r="R24" s="120"/>
      <c r="S24" s="120"/>
      <c r="T24" s="120"/>
      <c r="U24" s="120"/>
    </row>
    <row r="25" spans="1:21" s="121" customFormat="1" ht="60" hidden="1" customHeight="1">
      <c r="A25" s="87" t="s">
        <v>91</v>
      </c>
      <c r="B25" s="119" t="s">
        <v>92</v>
      </c>
      <c r="C25" s="14"/>
      <c r="D25" s="125" t="s">
        <v>874</v>
      </c>
      <c r="E25" s="120"/>
      <c r="F25" s="120"/>
      <c r="G25" s="120"/>
      <c r="H25" s="120"/>
      <c r="I25" s="120"/>
      <c r="J25" s="120"/>
      <c r="K25" s="120"/>
      <c r="L25" s="120"/>
      <c r="M25" s="120"/>
      <c r="N25" s="120"/>
      <c r="O25" s="120"/>
      <c r="P25" s="120"/>
      <c r="Q25" s="120"/>
      <c r="R25" s="120"/>
      <c r="S25" s="120"/>
      <c r="T25" s="120"/>
      <c r="U25" s="120"/>
    </row>
    <row r="26" spans="1:21" ht="60" customHeight="1">
      <c r="A26" s="13" t="str">
        <f>HYPERLINK(arcTarget &amp; "fwd/?src=xlguide&amp;url=" &amp; arcTarget &amp; ("guide-mobile-apps.html"),"Mobile Apps")</f>
        <v>Mobile Apps</v>
      </c>
      <c r="B26" s="15" t="s">
        <v>20</v>
      </c>
      <c r="C26" s="14" t="s">
        <v>1</v>
      </c>
      <c r="D26" s="15" t="s">
        <v>875</v>
      </c>
    </row>
    <row r="27" spans="1:21" s="121" customFormat="1" ht="60" hidden="1" customHeight="1">
      <c r="A27" s="87" t="s">
        <v>93</v>
      </c>
      <c r="B27" s="119" t="s">
        <v>94</v>
      </c>
      <c r="C27" s="14"/>
      <c r="D27" s="126" t="s">
        <v>877</v>
      </c>
      <c r="E27" s="120"/>
      <c r="F27" s="120"/>
      <c r="G27" s="120"/>
      <c r="H27" s="120"/>
      <c r="I27" s="120"/>
      <c r="J27" s="120"/>
      <c r="K27" s="120"/>
      <c r="L27" s="120"/>
      <c r="M27" s="120"/>
      <c r="N27" s="120"/>
      <c r="O27" s="120"/>
      <c r="P27" s="120"/>
      <c r="Q27" s="120"/>
      <c r="R27" s="120"/>
      <c r="S27" s="120"/>
      <c r="T27" s="120"/>
      <c r="U27" s="120"/>
    </row>
    <row r="28" spans="1:21" s="121" customFormat="1" ht="60" hidden="1" customHeight="1">
      <c r="A28" s="87" t="s">
        <v>95</v>
      </c>
      <c r="B28" s="119" t="s">
        <v>96</v>
      </c>
      <c r="C28" s="14"/>
      <c r="D28" s="126" t="s">
        <v>878</v>
      </c>
      <c r="E28" s="120"/>
      <c r="F28" s="120"/>
      <c r="G28" s="120"/>
      <c r="H28" s="120"/>
      <c r="I28" s="120"/>
      <c r="J28" s="120"/>
      <c r="K28" s="120"/>
      <c r="L28" s="120"/>
      <c r="M28" s="120"/>
      <c r="N28" s="120"/>
      <c r="O28" s="120"/>
      <c r="P28" s="120"/>
      <c r="Q28" s="120"/>
      <c r="R28" s="120"/>
      <c r="S28" s="120"/>
      <c r="T28" s="120"/>
      <c r="U28" s="120"/>
    </row>
    <row r="29" spans="1:21" s="121" customFormat="1" ht="60" hidden="1" customHeight="1">
      <c r="A29" s="87" t="s">
        <v>97</v>
      </c>
      <c r="B29" s="119" t="s">
        <v>98</v>
      </c>
      <c r="C29" s="14"/>
      <c r="D29" s="126" t="s">
        <v>879</v>
      </c>
      <c r="E29" s="120"/>
      <c r="F29" s="120"/>
      <c r="G29" s="120"/>
      <c r="H29" s="120"/>
      <c r="I29" s="120"/>
      <c r="J29" s="120"/>
      <c r="K29" s="120"/>
      <c r="L29" s="120"/>
      <c r="M29" s="120"/>
      <c r="N29" s="120"/>
      <c r="O29" s="120"/>
      <c r="P29" s="120"/>
      <c r="Q29" s="120"/>
      <c r="R29" s="120"/>
      <c r="S29" s="120"/>
      <c r="T29" s="120"/>
      <c r="U29" s="120"/>
    </row>
    <row r="30" spans="1:21" s="121" customFormat="1" ht="60" hidden="1" customHeight="1">
      <c r="A30" s="87" t="s">
        <v>99</v>
      </c>
      <c r="B30" s="119" t="s">
        <v>100</v>
      </c>
      <c r="C30" s="14"/>
      <c r="D30" s="126" t="s">
        <v>880</v>
      </c>
      <c r="E30" s="120"/>
      <c r="F30" s="120"/>
      <c r="G30" s="120"/>
      <c r="H30" s="120"/>
      <c r="I30" s="120"/>
      <c r="J30" s="120"/>
      <c r="K30" s="120"/>
      <c r="L30" s="120"/>
      <c r="M30" s="120"/>
      <c r="N30" s="120"/>
      <c r="O30" s="120"/>
      <c r="P30" s="120"/>
      <c r="Q30" s="120"/>
      <c r="R30" s="120"/>
      <c r="S30" s="120"/>
      <c r="T30" s="120"/>
      <c r="U30" s="120"/>
    </row>
    <row r="31" spans="1:21" s="121" customFormat="1" ht="60" hidden="1" customHeight="1">
      <c r="A31" s="87" t="s">
        <v>101</v>
      </c>
      <c r="B31" s="119" t="s">
        <v>102</v>
      </c>
      <c r="C31" s="14"/>
      <c r="D31" s="126" t="s">
        <v>881</v>
      </c>
      <c r="E31" s="120"/>
      <c r="F31" s="120"/>
      <c r="G31" s="120"/>
      <c r="H31" s="120"/>
      <c r="I31" s="120"/>
      <c r="J31" s="120"/>
      <c r="K31" s="120"/>
      <c r="L31" s="120"/>
      <c r="M31" s="120"/>
      <c r="N31" s="120"/>
      <c r="O31" s="120"/>
      <c r="P31" s="120"/>
      <c r="Q31" s="120"/>
      <c r="R31" s="120"/>
      <c r="S31" s="120"/>
      <c r="T31" s="120"/>
      <c r="U31" s="120"/>
    </row>
    <row r="32" spans="1:21" s="121" customFormat="1" ht="60" hidden="1" customHeight="1">
      <c r="A32" s="87" t="s">
        <v>103</v>
      </c>
      <c r="B32" s="119" t="s">
        <v>104</v>
      </c>
      <c r="C32" s="14"/>
      <c r="D32" s="126" t="s">
        <v>882</v>
      </c>
      <c r="E32" s="120"/>
      <c r="F32" s="120"/>
      <c r="G32" s="120"/>
      <c r="H32" s="120"/>
      <c r="I32" s="120"/>
      <c r="J32" s="120"/>
      <c r="K32" s="120"/>
      <c r="L32" s="120"/>
      <c r="M32" s="120"/>
      <c r="N32" s="120"/>
      <c r="O32" s="120"/>
      <c r="P32" s="120"/>
      <c r="Q32" s="120"/>
      <c r="R32" s="120"/>
      <c r="S32" s="120"/>
      <c r="T32" s="120"/>
      <c r="U32" s="120"/>
    </row>
    <row r="33" spans="1:21" s="121" customFormat="1" ht="60" hidden="1" customHeight="1">
      <c r="A33" s="87" t="s">
        <v>105</v>
      </c>
      <c r="B33" s="119" t="s">
        <v>106</v>
      </c>
      <c r="C33" s="14"/>
      <c r="D33" s="126" t="s">
        <v>883</v>
      </c>
      <c r="E33" s="120"/>
      <c r="F33" s="120"/>
      <c r="G33" s="120"/>
      <c r="H33" s="120"/>
      <c r="I33" s="120"/>
      <c r="J33" s="120"/>
      <c r="K33" s="120"/>
      <c r="L33" s="120"/>
      <c r="M33" s="120"/>
      <c r="N33" s="120"/>
      <c r="O33" s="120"/>
      <c r="P33" s="120"/>
      <c r="Q33" s="120"/>
      <c r="R33" s="120"/>
      <c r="S33" s="120"/>
      <c r="T33" s="120"/>
      <c r="U33" s="120"/>
    </row>
    <row r="34" spans="1:21" ht="60" customHeight="1">
      <c r="A34" s="13" t="str">
        <f>HYPERLINK(arcTarget &amp; "fwd/?src=xlguide&amp;url=" &amp; arcTarget &amp; ("guide-network.html"),"Network")</f>
        <v>Network</v>
      </c>
      <c r="B34" s="15" t="s">
        <v>21</v>
      </c>
      <c r="C34" s="14" t="s">
        <v>1</v>
      </c>
      <c r="D34" s="15" t="s">
        <v>853</v>
      </c>
    </row>
    <row r="35" spans="1:21" ht="60" customHeight="1">
      <c r="A35" s="13" t="str">
        <f>HYPERLINK(arcTarget &amp; "fwd/?src=xlguide&amp;url=" &amp; arcTarget &amp; ("guides/tech/guide-packaging.html"),"Packaging")</f>
        <v>Packaging</v>
      </c>
      <c r="B35" s="15" t="s">
        <v>22</v>
      </c>
      <c r="C35" s="14" t="s">
        <v>1</v>
      </c>
      <c r="D35" s="15" t="s">
        <v>854</v>
      </c>
    </row>
    <row r="36" spans="1:21" ht="60" customHeight="1">
      <c r="A36" s="13" t="str">
        <f>HYPERLINK(arcTarget &amp; "fwd/?src=xlguide&amp;url=" &amp; arcTarget &amp; ("guide-process/guide-sunset.html"),"Sunset")</f>
        <v>Sunset</v>
      </c>
      <c r="B36" s="15" t="s">
        <v>23</v>
      </c>
      <c r="C36" s="14" t="s">
        <v>1</v>
      </c>
      <c r="D36" s="15" t="s">
        <v>855</v>
      </c>
    </row>
    <row r="37" spans="1:21" ht="60" customHeight="1">
      <c r="A37" s="13" t="str">
        <f>HYPERLINK(arcTarget &amp; "fwd/?src=xlguide&amp;url=" &amp; arcTarget &amp; "guides/vendor/guide-vendor.html","Vendor")</f>
        <v>Vendor</v>
      </c>
      <c r="B37" s="15" t="s">
        <v>24</v>
      </c>
      <c r="C37" s="14" t="s">
        <v>1</v>
      </c>
      <c r="D37" s="15" t="s">
        <v>856</v>
      </c>
    </row>
    <row r="38" spans="1:21" ht="60" customHeight="1">
      <c r="A38" s="13" t="str">
        <f>HYPERLINK(arcTarget &amp; "fwd/?src=xlguide&amp;url=" &amp; arcTarget &amp; "acoe/index.html","Video and TV")</f>
        <v>Video and TV</v>
      </c>
      <c r="B38" s="15" t="s">
        <v>25</v>
      </c>
      <c r="C38" s="14" t="s">
        <v>1</v>
      </c>
      <c r="D38" s="15" t="s">
        <v>858</v>
      </c>
    </row>
    <row r="39" spans="1:21" s="121" customFormat="1" ht="60" hidden="1" customHeight="1">
      <c r="A39" s="87" t="s">
        <v>111</v>
      </c>
      <c r="B39" s="119" t="s">
        <v>112</v>
      </c>
      <c r="C39" s="14"/>
      <c r="D39" s="126" t="s">
        <v>885</v>
      </c>
      <c r="E39" s="120"/>
      <c r="F39" s="120"/>
      <c r="G39" s="120"/>
      <c r="H39" s="120"/>
      <c r="I39" s="120"/>
      <c r="J39" s="120"/>
      <c r="K39" s="120"/>
      <c r="L39" s="120"/>
      <c r="M39" s="120"/>
      <c r="N39" s="120"/>
      <c r="O39" s="120"/>
      <c r="P39" s="120"/>
      <c r="Q39" s="120"/>
      <c r="R39" s="120"/>
      <c r="S39" s="120"/>
      <c r="T39" s="120"/>
      <c r="U39" s="120"/>
    </row>
    <row r="40" spans="1:21" s="121" customFormat="1" ht="60" hidden="1" customHeight="1">
      <c r="A40" s="87" t="s">
        <v>107</v>
      </c>
      <c r="B40" s="119" t="s">
        <v>108</v>
      </c>
      <c r="C40" s="14"/>
      <c r="D40" s="126" t="s">
        <v>884</v>
      </c>
      <c r="E40" s="120"/>
      <c r="F40" s="120"/>
      <c r="G40" s="120"/>
      <c r="H40" s="120"/>
      <c r="I40" s="120"/>
      <c r="J40" s="120"/>
      <c r="K40" s="120"/>
      <c r="L40" s="120"/>
      <c r="M40" s="120"/>
      <c r="N40" s="120"/>
      <c r="O40" s="120"/>
      <c r="P40" s="120"/>
      <c r="Q40" s="120"/>
      <c r="R40" s="120"/>
      <c r="S40" s="120"/>
      <c r="T40" s="120"/>
      <c r="U40" s="120"/>
    </row>
    <row r="41" spans="1:21" s="121" customFormat="1" ht="60" hidden="1" customHeight="1">
      <c r="A41" s="87" t="s">
        <v>981</v>
      </c>
      <c r="B41" s="119" t="s">
        <v>1003</v>
      </c>
      <c r="C41" s="14"/>
      <c r="D41" s="126" t="s">
        <v>1004</v>
      </c>
      <c r="E41" s="120"/>
      <c r="F41" s="120"/>
      <c r="G41" s="120"/>
      <c r="H41" s="120"/>
      <c r="I41" s="120"/>
      <c r="J41" s="120"/>
      <c r="K41" s="120"/>
      <c r="L41" s="120"/>
      <c r="M41" s="120"/>
      <c r="N41" s="120"/>
      <c r="O41" s="120"/>
      <c r="P41" s="120"/>
      <c r="Q41" s="120"/>
      <c r="R41" s="120"/>
      <c r="S41" s="120"/>
      <c r="T41" s="120"/>
      <c r="U41" s="120"/>
    </row>
    <row r="42" spans="1:21" s="121" customFormat="1" ht="60" hidden="1" customHeight="1">
      <c r="A42" s="87" t="s">
        <v>981</v>
      </c>
      <c r="B42" s="119" t="s">
        <v>1000</v>
      </c>
      <c r="C42" s="14"/>
      <c r="D42" s="126" t="s">
        <v>1004</v>
      </c>
      <c r="E42" s="120"/>
      <c r="F42" s="120"/>
      <c r="G42" s="120"/>
      <c r="H42" s="120"/>
      <c r="I42" s="120"/>
      <c r="J42" s="120"/>
      <c r="K42" s="120"/>
      <c r="L42" s="120"/>
      <c r="M42" s="120"/>
      <c r="N42" s="120"/>
      <c r="O42" s="120"/>
      <c r="P42" s="120"/>
      <c r="Q42" s="120"/>
      <c r="R42" s="120"/>
      <c r="S42" s="120"/>
      <c r="T42" s="120"/>
      <c r="U42" s="120"/>
    </row>
    <row r="43" spans="1:21" s="121" customFormat="1" ht="60" hidden="1" customHeight="1">
      <c r="A43" s="87" t="s">
        <v>985</v>
      </c>
      <c r="B43" s="119" t="s">
        <v>1001</v>
      </c>
      <c r="C43" s="14"/>
      <c r="D43" s="126" t="s">
        <v>1005</v>
      </c>
      <c r="E43" s="120"/>
      <c r="F43" s="120"/>
      <c r="G43" s="120"/>
      <c r="H43" s="120"/>
      <c r="I43" s="120"/>
      <c r="J43" s="120"/>
      <c r="K43" s="120"/>
      <c r="L43" s="120"/>
      <c r="M43" s="120"/>
      <c r="N43" s="120"/>
      <c r="O43" s="120"/>
      <c r="P43" s="120"/>
      <c r="Q43" s="120"/>
      <c r="R43" s="120"/>
      <c r="S43" s="120"/>
      <c r="T43" s="120"/>
      <c r="U43" s="120"/>
    </row>
    <row r="44" spans="1:21" s="121" customFormat="1" ht="60" hidden="1" customHeight="1">
      <c r="A44" s="87" t="s">
        <v>989</v>
      </c>
      <c r="B44" s="119" t="s">
        <v>110</v>
      </c>
      <c r="C44" s="14"/>
      <c r="D44" s="126" t="s">
        <v>1006</v>
      </c>
      <c r="E44" s="120"/>
      <c r="F44" s="120"/>
      <c r="G44" s="120"/>
      <c r="H44" s="120"/>
      <c r="I44" s="120"/>
      <c r="J44" s="120"/>
      <c r="K44" s="120"/>
      <c r="L44" s="120"/>
      <c r="M44" s="120"/>
      <c r="N44" s="120"/>
      <c r="O44" s="120"/>
      <c r="P44" s="120"/>
      <c r="Q44" s="120"/>
      <c r="R44" s="120"/>
      <c r="S44" s="120"/>
      <c r="T44" s="120"/>
      <c r="U44" s="120"/>
    </row>
    <row r="45" spans="1:21" s="121" customFormat="1" ht="60" hidden="1" customHeight="1">
      <c r="A45" s="87" t="s">
        <v>990</v>
      </c>
      <c r="B45" s="119" t="s">
        <v>1002</v>
      </c>
      <c r="C45" s="14"/>
      <c r="D45" s="126" t="s">
        <v>1007</v>
      </c>
      <c r="E45" s="120"/>
      <c r="F45" s="120"/>
      <c r="G45" s="120"/>
      <c r="H45" s="120"/>
      <c r="I45" s="120"/>
      <c r="J45" s="120"/>
      <c r="K45" s="120"/>
      <c r="L45" s="120"/>
      <c r="M45" s="120"/>
      <c r="N45" s="120"/>
      <c r="O45" s="120"/>
      <c r="P45" s="120"/>
      <c r="Q45" s="120"/>
      <c r="R45" s="120"/>
      <c r="S45" s="120"/>
      <c r="T45" s="120"/>
      <c r="U45" s="120"/>
    </row>
    <row r="46" spans="1:21" s="121" customFormat="1" ht="60" hidden="1" customHeight="1">
      <c r="A46" s="87" t="s">
        <v>994</v>
      </c>
      <c r="B46" s="119" t="s">
        <v>1008</v>
      </c>
      <c r="C46" s="14"/>
      <c r="D46" s="126" t="s">
        <v>1009</v>
      </c>
      <c r="E46" s="120"/>
      <c r="F46" s="120"/>
      <c r="G46" s="120"/>
      <c r="H46" s="120"/>
      <c r="I46" s="120"/>
      <c r="J46" s="120"/>
      <c r="K46" s="120"/>
      <c r="L46" s="120"/>
      <c r="M46" s="120"/>
      <c r="N46" s="120"/>
      <c r="O46" s="120"/>
      <c r="P46" s="120"/>
      <c r="Q46" s="120"/>
      <c r="R46" s="120"/>
      <c r="S46" s="120"/>
      <c r="T46" s="120"/>
      <c r="U46" s="120"/>
    </row>
    <row r="47" spans="1:21" s="121" customFormat="1" ht="60" hidden="1" customHeight="1">
      <c r="A47" s="87" t="s">
        <v>996</v>
      </c>
      <c r="B47" s="119" t="s">
        <v>1010</v>
      </c>
      <c r="C47" s="14"/>
      <c r="D47" s="126" t="s">
        <v>1011</v>
      </c>
      <c r="E47" s="120"/>
      <c r="F47" s="120"/>
      <c r="G47" s="120"/>
      <c r="H47" s="120"/>
      <c r="I47" s="120"/>
      <c r="J47" s="120"/>
      <c r="K47" s="120"/>
      <c r="L47" s="120"/>
      <c r="M47" s="120"/>
      <c r="N47" s="120"/>
      <c r="O47" s="120"/>
      <c r="P47" s="120"/>
      <c r="Q47" s="120"/>
      <c r="R47" s="120"/>
      <c r="S47" s="120"/>
      <c r="T47" s="120"/>
      <c r="U47" s="120"/>
    </row>
    <row r="48" spans="1:21" ht="60" customHeight="1">
      <c r="A48" s="13" t="str">
        <f>HYPERLINK(arcTarget &amp; "fwd/?src=xlguide&amp;url=" &amp; arcTarget &amp; "guides/web/guide-web-pages.html","Web")</f>
        <v>Web</v>
      </c>
      <c r="B48" s="15" t="s">
        <v>26</v>
      </c>
      <c r="C48" s="14" t="s">
        <v>1023</v>
      </c>
      <c r="D48" s="15" t="s">
        <v>857</v>
      </c>
    </row>
    <row r="49" spans="1:21" s="121" customFormat="1" ht="55.15" customHeight="1">
      <c r="A49" s="119" t="s">
        <v>29</v>
      </c>
      <c r="B49" s="119" t="s">
        <v>30</v>
      </c>
      <c r="C49" s="14" t="s">
        <v>1</v>
      </c>
      <c r="D49" s="126" t="s">
        <v>887</v>
      </c>
      <c r="F49" s="120"/>
      <c r="G49" s="120"/>
      <c r="H49" s="120"/>
      <c r="I49" s="120"/>
      <c r="J49" s="120"/>
      <c r="K49" s="120"/>
      <c r="L49" s="120"/>
      <c r="M49" s="120"/>
      <c r="N49" s="120"/>
      <c r="O49" s="120"/>
      <c r="P49" s="120"/>
      <c r="Q49" s="120"/>
      <c r="R49" s="120"/>
      <c r="S49" s="120"/>
      <c r="T49" s="120"/>
      <c r="U49" s="120"/>
    </row>
    <row r="50" spans="1:21" s="121" customFormat="1" ht="55.15" customHeight="1">
      <c r="A50" s="127" t="s">
        <v>31</v>
      </c>
      <c r="B50" s="87" t="s">
        <v>32</v>
      </c>
      <c r="C50" s="14" t="s">
        <v>1</v>
      </c>
      <c r="D50" s="126" t="s">
        <v>886</v>
      </c>
      <c r="F50" s="120"/>
      <c r="G50" s="120"/>
      <c r="H50" s="120"/>
      <c r="I50" s="120"/>
      <c r="J50" s="120"/>
      <c r="K50" s="120"/>
      <c r="L50" s="120"/>
      <c r="M50" s="120"/>
      <c r="N50" s="120"/>
      <c r="O50" s="120"/>
      <c r="P50" s="120"/>
      <c r="Q50" s="120"/>
      <c r="R50" s="120"/>
      <c r="S50" s="120"/>
      <c r="T50" s="120"/>
      <c r="U50" s="120"/>
    </row>
    <row r="51" spans="1:21" s="121" customFormat="1" ht="55.15" customHeight="1">
      <c r="A51" s="119" t="s">
        <v>33</v>
      </c>
      <c r="B51" s="119" t="s">
        <v>34</v>
      </c>
      <c r="C51" s="14" t="s">
        <v>1</v>
      </c>
      <c r="D51" s="126" t="s">
        <v>888</v>
      </c>
      <c r="F51" s="120"/>
      <c r="G51" s="120"/>
      <c r="H51" s="120"/>
      <c r="I51" s="120"/>
      <c r="J51" s="120"/>
      <c r="K51" s="120"/>
      <c r="L51" s="120"/>
      <c r="M51" s="120"/>
      <c r="N51" s="120"/>
      <c r="O51" s="120"/>
      <c r="P51" s="120"/>
      <c r="Q51" s="120"/>
      <c r="R51" s="120"/>
      <c r="S51" s="120"/>
      <c r="T51" s="120"/>
      <c r="U51" s="120"/>
    </row>
    <row r="52" spans="1:21" s="121" customFormat="1" ht="55.15" customHeight="1">
      <c r="A52" s="119" t="s">
        <v>35</v>
      </c>
      <c r="B52" s="119" t="s">
        <v>36</v>
      </c>
      <c r="C52" s="14" t="s">
        <v>1</v>
      </c>
      <c r="D52" s="126" t="s">
        <v>889</v>
      </c>
      <c r="F52" s="120"/>
      <c r="G52" s="120"/>
      <c r="H52" s="120"/>
      <c r="I52" s="120"/>
      <c r="J52" s="120"/>
      <c r="K52" s="120"/>
      <c r="L52" s="120"/>
      <c r="M52" s="120"/>
      <c r="N52" s="120"/>
      <c r="O52" s="120"/>
      <c r="P52" s="120"/>
      <c r="Q52" s="120"/>
      <c r="R52" s="120"/>
      <c r="S52" s="120"/>
      <c r="T52" s="120"/>
      <c r="U52" s="120"/>
    </row>
    <row r="53" spans="1:21" s="121" customFormat="1" ht="55.15" customHeight="1">
      <c r="A53" s="119" t="s">
        <v>37</v>
      </c>
      <c r="B53" s="119" t="s">
        <v>38</v>
      </c>
      <c r="C53" s="14" t="s">
        <v>1</v>
      </c>
      <c r="D53" s="126" t="s">
        <v>890</v>
      </c>
      <c r="F53" s="120"/>
      <c r="G53" s="120"/>
      <c r="H53" s="120"/>
      <c r="I53" s="120"/>
      <c r="J53" s="120"/>
      <c r="K53" s="120"/>
      <c r="L53" s="120"/>
      <c r="M53" s="120"/>
      <c r="N53" s="120"/>
      <c r="O53" s="120"/>
      <c r="P53" s="120"/>
      <c r="Q53" s="120"/>
      <c r="R53" s="120"/>
      <c r="S53" s="120"/>
      <c r="T53" s="120"/>
      <c r="U53" s="120"/>
    </row>
    <row r="54" spans="1:21" s="121" customFormat="1" ht="55.15" customHeight="1">
      <c r="A54" s="119" t="s">
        <v>39</v>
      </c>
      <c r="B54" s="119" t="s">
        <v>40</v>
      </c>
      <c r="C54" s="14" t="s">
        <v>1</v>
      </c>
      <c r="D54" s="126" t="s">
        <v>891</v>
      </c>
      <c r="F54" s="120"/>
      <c r="G54" s="120"/>
      <c r="H54" s="120"/>
      <c r="I54" s="120"/>
      <c r="J54" s="120"/>
      <c r="K54" s="120"/>
      <c r="L54" s="120"/>
      <c r="M54" s="120"/>
      <c r="N54" s="120"/>
      <c r="O54" s="120"/>
      <c r="P54" s="120"/>
      <c r="Q54" s="120"/>
      <c r="R54" s="120"/>
      <c r="S54" s="120"/>
      <c r="T54" s="120"/>
      <c r="U54" s="120"/>
    </row>
    <row r="55" spans="1:21" s="121" customFormat="1" ht="55.15" customHeight="1">
      <c r="A55" s="119" t="s">
        <v>41</v>
      </c>
      <c r="B55" s="119" t="s">
        <v>42</v>
      </c>
      <c r="C55" s="14" t="s">
        <v>1</v>
      </c>
      <c r="D55" s="126" t="s">
        <v>892</v>
      </c>
      <c r="F55" s="120"/>
      <c r="G55" s="120"/>
      <c r="H55" s="120"/>
      <c r="I55" s="120"/>
      <c r="J55" s="120"/>
      <c r="K55" s="120"/>
      <c r="L55" s="120"/>
      <c r="M55" s="120"/>
      <c r="N55" s="120"/>
      <c r="O55" s="120"/>
      <c r="P55" s="120"/>
      <c r="Q55" s="120"/>
      <c r="R55" s="120"/>
      <c r="S55" s="120"/>
      <c r="T55" s="120"/>
      <c r="U55" s="120"/>
    </row>
    <row r="56" spans="1:21" s="121" customFormat="1" ht="55.15" customHeight="1">
      <c r="A56" s="119" t="s">
        <v>43</v>
      </c>
      <c r="B56" s="119" t="s">
        <v>44</v>
      </c>
      <c r="C56" s="14" t="s">
        <v>1</v>
      </c>
      <c r="D56" s="126" t="s">
        <v>893</v>
      </c>
      <c r="F56" s="120"/>
      <c r="G56" s="120"/>
      <c r="H56" s="120"/>
      <c r="I56" s="120"/>
      <c r="J56" s="120"/>
      <c r="K56" s="120"/>
      <c r="L56" s="120"/>
      <c r="M56" s="120"/>
      <c r="N56" s="120"/>
      <c r="O56" s="120"/>
      <c r="P56" s="120"/>
      <c r="Q56" s="120"/>
      <c r="R56" s="120"/>
      <c r="S56" s="120"/>
      <c r="T56" s="120"/>
      <c r="U56" s="120"/>
    </row>
    <row r="57" spans="1:21" s="121" customFormat="1" ht="55.15" customHeight="1">
      <c r="A57" s="119" t="s">
        <v>45</v>
      </c>
      <c r="B57" s="119" t="s">
        <v>46</v>
      </c>
      <c r="C57" s="14" t="s">
        <v>1</v>
      </c>
      <c r="D57" s="126" t="s">
        <v>896</v>
      </c>
      <c r="F57" s="120"/>
      <c r="G57" s="120"/>
      <c r="H57" s="120"/>
      <c r="I57" s="120"/>
      <c r="J57" s="120"/>
      <c r="K57" s="120"/>
      <c r="L57" s="120"/>
      <c r="M57" s="120"/>
      <c r="N57" s="120"/>
      <c r="O57" s="120"/>
      <c r="P57" s="120"/>
      <c r="Q57" s="120"/>
      <c r="R57" s="120"/>
      <c r="S57" s="120"/>
      <c r="T57" s="120"/>
      <c r="U57" s="120"/>
    </row>
    <row r="58" spans="1:21" s="121" customFormat="1" ht="55.15" customHeight="1">
      <c r="A58" s="119" t="s">
        <v>47</v>
      </c>
      <c r="B58" s="119" t="s">
        <v>48</v>
      </c>
      <c r="C58" s="14" t="s">
        <v>1</v>
      </c>
      <c r="D58" s="126" t="s">
        <v>897</v>
      </c>
      <c r="F58" s="120"/>
      <c r="G58" s="120"/>
      <c r="H58" s="120"/>
      <c r="I58" s="120"/>
      <c r="J58" s="120"/>
      <c r="K58" s="120"/>
      <c r="L58" s="120"/>
      <c r="M58" s="120"/>
      <c r="N58" s="120"/>
      <c r="O58" s="120"/>
      <c r="P58" s="120"/>
      <c r="Q58" s="120"/>
      <c r="R58" s="120"/>
      <c r="S58" s="120"/>
      <c r="T58" s="120"/>
      <c r="U58" s="120"/>
    </row>
    <row r="59" spans="1:21" s="121" customFormat="1" ht="55.15" customHeight="1">
      <c r="A59" s="119" t="s">
        <v>49</v>
      </c>
      <c r="B59" s="119" t="s">
        <v>50</v>
      </c>
      <c r="C59" s="14" t="s">
        <v>1</v>
      </c>
      <c r="D59" s="126" t="s">
        <v>894</v>
      </c>
      <c r="F59" s="120"/>
      <c r="G59" s="120"/>
      <c r="H59" s="120"/>
      <c r="I59" s="120"/>
      <c r="J59" s="120"/>
      <c r="K59" s="120"/>
      <c r="L59" s="120"/>
      <c r="M59" s="120"/>
      <c r="N59" s="120"/>
      <c r="O59" s="120"/>
      <c r="P59" s="120"/>
      <c r="Q59" s="120"/>
      <c r="R59" s="120"/>
      <c r="S59" s="120"/>
      <c r="T59" s="120"/>
      <c r="U59" s="120"/>
    </row>
    <row r="60" spans="1:21" s="121" customFormat="1" ht="55.15" customHeight="1">
      <c r="A60" s="119" t="s">
        <v>51</v>
      </c>
      <c r="B60" s="119" t="s">
        <v>52</v>
      </c>
      <c r="C60" s="14" t="s">
        <v>1</v>
      </c>
      <c r="D60" s="126" t="s">
        <v>895</v>
      </c>
      <c r="F60" s="120"/>
      <c r="G60" s="120"/>
      <c r="H60" s="120"/>
      <c r="I60" s="120"/>
      <c r="J60" s="120"/>
      <c r="K60" s="120"/>
      <c r="L60" s="120"/>
      <c r="M60" s="120"/>
      <c r="N60" s="120"/>
      <c r="O60" s="120"/>
      <c r="P60" s="120"/>
      <c r="Q60" s="120"/>
      <c r="R60" s="120"/>
      <c r="S60" s="120"/>
      <c r="T60" s="120"/>
      <c r="U60" s="120"/>
    </row>
    <row r="61" spans="1:21" s="121" customFormat="1" ht="55.15" customHeight="1">
      <c r="A61" s="119" t="s">
        <v>53</v>
      </c>
      <c r="B61" s="119" t="s">
        <v>54</v>
      </c>
      <c r="C61" s="14" t="s">
        <v>1</v>
      </c>
      <c r="D61" s="126" t="s">
        <v>899</v>
      </c>
      <c r="F61" s="120"/>
      <c r="G61" s="120"/>
      <c r="H61" s="120"/>
      <c r="I61" s="120"/>
      <c r="J61" s="120"/>
      <c r="K61" s="120"/>
      <c r="L61" s="120"/>
      <c r="M61" s="120"/>
      <c r="N61" s="120"/>
      <c r="O61" s="120"/>
      <c r="P61" s="120"/>
      <c r="Q61" s="120"/>
      <c r="R61" s="120"/>
      <c r="S61" s="120"/>
      <c r="T61" s="120"/>
      <c r="U61" s="120"/>
    </row>
    <row r="62" spans="1:21" s="121" customFormat="1" ht="55.15" customHeight="1">
      <c r="A62" s="119" t="s">
        <v>55</v>
      </c>
      <c r="B62" s="119" t="s">
        <v>56</v>
      </c>
      <c r="C62" s="14" t="s">
        <v>1023</v>
      </c>
      <c r="D62" s="126" t="s">
        <v>898</v>
      </c>
      <c r="F62" s="120"/>
      <c r="G62" s="120"/>
      <c r="H62" s="120"/>
      <c r="I62" s="120"/>
      <c r="J62" s="120"/>
      <c r="K62" s="120"/>
      <c r="L62" s="120"/>
      <c r="M62" s="120"/>
      <c r="N62" s="120"/>
      <c r="O62" s="120"/>
      <c r="P62" s="120"/>
      <c r="Q62" s="120"/>
      <c r="R62" s="120"/>
      <c r="S62" s="120"/>
      <c r="T62" s="120"/>
      <c r="U62" s="120"/>
    </row>
    <row r="63" spans="1:21" s="121" customFormat="1" ht="55.15" customHeight="1">
      <c r="A63" s="119" t="s">
        <v>57</v>
      </c>
      <c r="B63" s="119" t="s">
        <v>58</v>
      </c>
      <c r="C63" s="14" t="s">
        <v>1</v>
      </c>
      <c r="D63" s="126" t="s">
        <v>900</v>
      </c>
      <c r="F63" s="120"/>
      <c r="G63" s="120"/>
      <c r="H63" s="120"/>
      <c r="I63" s="120"/>
      <c r="J63" s="120"/>
      <c r="K63" s="120"/>
      <c r="L63" s="120"/>
      <c r="M63" s="120"/>
      <c r="N63" s="120"/>
      <c r="O63" s="120"/>
      <c r="P63" s="120"/>
      <c r="Q63" s="120"/>
      <c r="R63" s="120"/>
      <c r="S63" s="120"/>
      <c r="T63" s="120"/>
      <c r="U63" s="120"/>
    </row>
    <row r="64" spans="1:21" s="121" customFormat="1" ht="55.15" customHeight="1">
      <c r="A64" s="119" t="s">
        <v>59</v>
      </c>
      <c r="B64" s="119" t="s">
        <v>60</v>
      </c>
      <c r="C64" s="14" t="s">
        <v>1</v>
      </c>
      <c r="D64" s="126" t="s">
        <v>901</v>
      </c>
      <c r="F64" s="120"/>
      <c r="G64" s="120"/>
      <c r="H64" s="120"/>
      <c r="I64" s="120"/>
      <c r="J64" s="120"/>
      <c r="K64" s="120"/>
      <c r="L64" s="120"/>
      <c r="M64" s="120"/>
      <c r="N64" s="120"/>
      <c r="O64" s="120"/>
      <c r="P64" s="120"/>
      <c r="Q64" s="120"/>
      <c r="R64" s="120"/>
      <c r="S64" s="120"/>
      <c r="T64" s="120"/>
      <c r="U64" s="120"/>
    </row>
    <row r="65" spans="1:21" s="121" customFormat="1" ht="55.15" customHeight="1">
      <c r="A65" s="119" t="s">
        <v>61</v>
      </c>
      <c r="B65" s="119" t="s">
        <v>62</v>
      </c>
      <c r="C65" s="14" t="s">
        <v>1023</v>
      </c>
      <c r="D65" s="126" t="s">
        <v>902</v>
      </c>
      <c r="F65" s="120"/>
      <c r="G65" s="120"/>
      <c r="H65" s="120"/>
      <c r="I65" s="120"/>
      <c r="J65" s="120"/>
      <c r="K65" s="120"/>
      <c r="L65" s="120"/>
      <c r="M65" s="120"/>
      <c r="N65" s="120"/>
      <c r="O65" s="120"/>
      <c r="P65" s="120"/>
      <c r="Q65" s="120"/>
      <c r="R65" s="120"/>
      <c r="S65" s="120"/>
      <c r="T65" s="120"/>
      <c r="U65" s="120"/>
    </row>
    <row r="66" spans="1:21" s="121" customFormat="1" ht="55.15" customHeight="1">
      <c r="A66" s="119" t="s">
        <v>63</v>
      </c>
      <c r="B66" s="119" t="s">
        <v>64</v>
      </c>
      <c r="C66" s="14" t="s">
        <v>1</v>
      </c>
      <c r="D66" s="126" t="s">
        <v>903</v>
      </c>
      <c r="F66" s="120"/>
      <c r="G66" s="120"/>
      <c r="H66" s="120"/>
      <c r="I66" s="120"/>
      <c r="J66" s="120"/>
      <c r="K66" s="120"/>
      <c r="L66" s="120"/>
      <c r="M66" s="120"/>
      <c r="N66" s="120"/>
      <c r="O66" s="120"/>
      <c r="P66" s="120"/>
      <c r="Q66" s="120"/>
      <c r="R66" s="120"/>
      <c r="S66" s="120"/>
      <c r="T66" s="120"/>
      <c r="U66" s="120"/>
    </row>
    <row r="67" spans="1:21">
      <c r="A67" s="91" t="s">
        <v>27</v>
      </c>
      <c r="B67" s="105"/>
      <c r="C67" s="106"/>
      <c r="D67" s="106"/>
      <c r="F67" s="94"/>
      <c r="G67" s="94"/>
      <c r="H67" s="94"/>
      <c r="I67" s="94"/>
      <c r="J67" s="94"/>
      <c r="K67" s="94"/>
      <c r="L67" s="94"/>
      <c r="M67" s="94"/>
      <c r="N67" s="94"/>
      <c r="O67" s="94"/>
      <c r="P67" s="94"/>
      <c r="Q67" s="94"/>
      <c r="R67" s="94"/>
      <c r="S67" s="94"/>
      <c r="T67" s="94"/>
      <c r="U67" s="94"/>
    </row>
    <row r="68" spans="1:21">
      <c r="A68" s="91" t="s">
        <v>28</v>
      </c>
      <c r="B68" s="105"/>
      <c r="C68" s="106"/>
      <c r="D68" s="106"/>
    </row>
    <row r="69" spans="1:21">
      <c r="A69" s="91" t="str">
        <f>CONCATENATE(Version!$B$1)</f>
        <v>3.1 1/24/2018</v>
      </c>
      <c r="B69" s="105"/>
      <c r="C69" s="106"/>
      <c r="D69" s="106"/>
    </row>
  </sheetData>
  <sheetProtection formatRows="0"/>
  <mergeCells count="1">
    <mergeCell ref="A2:D2"/>
  </mergeCells>
  <conditionalFormatting sqref="C5 C28:C33 C23:C25 C18">
    <cfRule type="containsText" dxfId="31" priority="28" operator="containsText" text="Yes">
      <formula>NOT(ISERROR(SEARCH("Yes",C5)))</formula>
    </cfRule>
  </conditionalFormatting>
  <conditionalFormatting sqref="C39:C40 C42:C46">
    <cfRule type="containsText" dxfId="30" priority="25" operator="containsText" text="Yes">
      <formula>NOT(ISERROR(SEARCH("Yes",C39)))</formula>
    </cfRule>
  </conditionalFormatting>
  <conditionalFormatting sqref="C27">
    <cfRule type="containsText" dxfId="29" priority="22" operator="containsText" text="Yes">
      <formula>NOT(ISERROR(SEARCH("Yes",C27)))</formula>
    </cfRule>
  </conditionalFormatting>
  <conditionalFormatting sqref="C22">
    <cfRule type="containsText" dxfId="28" priority="21" operator="containsText" text="Yes">
      <formula>NOT(ISERROR(SEARCH("Yes",C22)))</formula>
    </cfRule>
  </conditionalFormatting>
  <conditionalFormatting sqref="C10:C17">
    <cfRule type="containsText" dxfId="27" priority="18" operator="containsText" text="Yes">
      <formula>NOT(ISERROR(SEARCH("Yes",C10)))</formula>
    </cfRule>
  </conditionalFormatting>
  <conditionalFormatting sqref="C7">
    <cfRule type="containsText" dxfId="26" priority="14" operator="containsText" text="Yes">
      <formula>NOT(ISERROR(SEARCH("Yes",C7)))</formula>
    </cfRule>
  </conditionalFormatting>
  <conditionalFormatting sqref="C9">
    <cfRule type="containsText" dxfId="25" priority="10" operator="containsText" text="Yes">
      <formula>NOT(ISERROR(SEARCH("Yes",C9)))</formula>
    </cfRule>
  </conditionalFormatting>
  <conditionalFormatting sqref="C6">
    <cfRule type="containsText" dxfId="24" priority="9" operator="containsText" text="Yes">
      <formula>NOT(ISERROR(SEARCH("Yes",C6)))</formula>
    </cfRule>
  </conditionalFormatting>
  <conditionalFormatting sqref="C8">
    <cfRule type="containsText" dxfId="23" priority="8" operator="containsText" text="Yes">
      <formula>NOT(ISERROR(SEARCH("Yes",C8)))</formula>
    </cfRule>
  </conditionalFormatting>
  <conditionalFormatting sqref="C19:C21">
    <cfRule type="containsText" dxfId="22" priority="7" operator="containsText" text="Yes">
      <formula>NOT(ISERROR(SEARCH("Yes",C19)))</formula>
    </cfRule>
  </conditionalFormatting>
  <conditionalFormatting sqref="C26">
    <cfRule type="containsText" dxfId="21" priority="6" operator="containsText" text="Yes">
      <formula>NOT(ISERROR(SEARCH("Yes",C26)))</formula>
    </cfRule>
  </conditionalFormatting>
  <conditionalFormatting sqref="C34:C38">
    <cfRule type="containsText" dxfId="20" priority="5" operator="containsText" text="Yes">
      <formula>NOT(ISERROR(SEARCH("Yes",C34)))</formula>
    </cfRule>
  </conditionalFormatting>
  <conditionalFormatting sqref="C48">
    <cfRule type="containsText" dxfId="19" priority="4" operator="containsText" text="Yes">
      <formula>NOT(ISERROR(SEARCH("Yes",C48)))</formula>
    </cfRule>
  </conditionalFormatting>
  <conditionalFormatting sqref="C49:C66">
    <cfRule type="containsText" dxfId="18" priority="3" operator="containsText" text="Yes">
      <formula>NOT(ISERROR(SEARCH("Yes",C49)))</formula>
    </cfRule>
  </conditionalFormatting>
  <conditionalFormatting sqref="C41">
    <cfRule type="containsText" dxfId="17" priority="2" operator="containsText" text="Yes">
      <formula>NOT(ISERROR(SEARCH("Yes",C41)))</formula>
    </cfRule>
  </conditionalFormatting>
  <conditionalFormatting sqref="C47">
    <cfRule type="containsText" dxfId="16" priority="1" operator="containsText" text="Yes">
      <formula>NOT(ISERROR(SEARCH("Yes",C47)))</formula>
    </cfRule>
  </conditionalFormatting>
  <dataValidations count="1">
    <dataValidation type="list" showErrorMessage="1" errorTitle="Error" error="Type Yes or No." sqref="C5:C66" xr:uid="{00000000-0002-0000-0100-000000000000}">
      <formula1>" --Select--,Yes,No"</formula1>
    </dataValidation>
  </dataValidations>
  <pageMargins left="0.25" right="0.25" top="0.75" bottom="0.75" header="0.3" footer="0.3"/>
  <pageSetup scale="64" orientation="landscape"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Q227"/>
  <sheetViews>
    <sheetView showGridLines="0" tabSelected="1" topLeftCell="A33" zoomScale="85" zoomScaleNormal="85" workbookViewId="0">
      <selection activeCell="O36" sqref="O36"/>
    </sheetView>
  </sheetViews>
  <sheetFormatPr defaultColWidth="15.453125" defaultRowHeight="14.5"/>
  <cols>
    <col min="1" max="1" width="9.54296875" style="138" customWidth="1"/>
    <col min="2" max="2" width="22" style="166" customWidth="1"/>
    <col min="3" max="3" width="22.453125" style="167" hidden="1" customWidth="1"/>
    <col min="4" max="4" width="22" style="167" hidden="1" customWidth="1"/>
    <col min="5" max="5" width="28.81640625" style="166" customWidth="1"/>
    <col min="6" max="6" width="29.81640625" style="168" hidden="1" customWidth="1"/>
    <col min="7" max="7" width="44.81640625" style="168" hidden="1" customWidth="1"/>
    <col min="8" max="8" width="18.81640625" style="168" customWidth="1"/>
    <col min="9" max="9" width="28.81640625" style="167" customWidth="1"/>
    <col min="10" max="10" width="33.54296875" style="169" hidden="1" customWidth="1"/>
    <col min="11" max="11" width="31.26953125" style="169" hidden="1" customWidth="1"/>
    <col min="12" max="12" width="25.453125" style="169" customWidth="1"/>
    <col min="13" max="13" width="43" style="167" customWidth="1"/>
    <col min="14" max="14" width="15.7265625" style="138" hidden="1" customWidth="1"/>
    <col min="15" max="15" width="31.453125" style="138" customWidth="1"/>
    <col min="16" max="16384" width="15.453125" style="138"/>
  </cols>
  <sheetData>
    <row r="1" spans="1:15" s="25" customFormat="1" ht="25.5" customHeight="1" thickBot="1">
      <c r="A1" s="18" t="s">
        <v>113</v>
      </c>
      <c r="B1" s="80"/>
      <c r="C1" s="19"/>
      <c r="D1" s="19"/>
      <c r="E1" s="86"/>
      <c r="F1" s="20"/>
      <c r="G1" s="20"/>
      <c r="H1" s="20"/>
      <c r="I1" s="21"/>
      <c r="J1" s="22"/>
      <c r="K1" s="22"/>
      <c r="L1" s="22"/>
      <c r="M1" s="21"/>
      <c r="N1" s="23"/>
      <c r="O1" s="24"/>
    </row>
    <row r="2" spans="1:15" s="30" customFormat="1" ht="19.5" customHeight="1">
      <c r="A2" s="26" t="s">
        <v>114</v>
      </c>
      <c r="B2" s="81"/>
      <c r="C2" s="27"/>
      <c r="D2" s="27"/>
      <c r="E2" s="81"/>
      <c r="F2" s="27"/>
      <c r="G2" s="27"/>
      <c r="H2" s="27"/>
      <c r="I2" s="27"/>
      <c r="J2" s="27"/>
      <c r="K2" s="27"/>
      <c r="L2" s="27"/>
      <c r="M2" s="28"/>
      <c r="N2" s="29"/>
    </row>
    <row r="3" spans="1:15" s="30" customFormat="1" ht="19.5" customHeight="1">
      <c r="A3" s="31" t="s">
        <v>904</v>
      </c>
      <c r="B3" s="82"/>
      <c r="C3" s="32"/>
      <c r="D3" s="32"/>
      <c r="E3" s="82"/>
      <c r="F3" s="32"/>
      <c r="G3" s="32"/>
      <c r="H3" s="32"/>
      <c r="I3" s="33"/>
      <c r="J3" s="33"/>
      <c r="K3" s="33"/>
      <c r="L3" s="33"/>
      <c r="M3" s="34"/>
      <c r="N3" s="35"/>
    </row>
    <row r="4" spans="1:15" s="30" customFormat="1" ht="12.75" customHeight="1">
      <c r="A4" s="31" t="s">
        <v>970</v>
      </c>
      <c r="B4" s="82"/>
      <c r="C4" s="32"/>
      <c r="D4" s="32"/>
      <c r="E4" s="82"/>
      <c r="F4" s="32"/>
      <c r="G4" s="32"/>
      <c r="H4" s="32"/>
      <c r="I4" s="33"/>
      <c r="J4" s="33"/>
      <c r="K4" s="33"/>
      <c r="L4" s="33"/>
      <c r="M4" s="34"/>
      <c r="N4" s="35"/>
    </row>
    <row r="5" spans="1:15" s="30" customFormat="1" ht="19.5" customHeight="1">
      <c r="A5" s="31" t="s">
        <v>905</v>
      </c>
      <c r="B5" s="82"/>
      <c r="C5" s="32"/>
      <c r="D5" s="32"/>
      <c r="E5" s="82"/>
      <c r="F5" s="32"/>
      <c r="G5" s="32"/>
      <c r="H5" s="32"/>
      <c r="I5" s="33"/>
      <c r="J5" s="33"/>
      <c r="K5" s="33"/>
      <c r="L5" s="33"/>
      <c r="M5" s="34"/>
      <c r="N5" s="35"/>
    </row>
    <row r="6" spans="1:15" s="30" customFormat="1" ht="19.5" customHeight="1">
      <c r="A6" s="31" t="s">
        <v>906</v>
      </c>
      <c r="B6" s="82"/>
      <c r="C6" s="32"/>
      <c r="D6" s="32"/>
      <c r="E6" s="82"/>
      <c r="F6" s="32"/>
      <c r="G6" s="32"/>
      <c r="H6" s="32"/>
      <c r="I6" s="33"/>
      <c r="J6" s="33"/>
      <c r="K6" s="33"/>
      <c r="L6" s="33"/>
      <c r="M6" s="185" t="str">
        <f>HYPERLINK(arcTarget &amp; "fwd/?type=click&amp;src=xlguide&amp;url=http://accessibility.web.att.com/guide-process/CATO_ACoE_JobAid.docx","Need Help? View the Job Aid (.docx)")</f>
        <v>Need Help? View the Job Aid (.docx)</v>
      </c>
      <c r="N6" s="35"/>
    </row>
    <row r="7" spans="1:15" s="41" customFormat="1" ht="17.25" customHeight="1">
      <c r="A7" s="36"/>
      <c r="B7" s="83" t="s">
        <v>115</v>
      </c>
      <c r="C7" s="37"/>
      <c r="D7" s="37"/>
      <c r="E7" s="82"/>
      <c r="F7" s="32"/>
      <c r="G7" s="32"/>
      <c r="H7" s="32"/>
      <c r="I7" s="33"/>
      <c r="J7" s="38"/>
      <c r="K7" s="39"/>
      <c r="L7" s="39"/>
      <c r="M7" s="186"/>
      <c r="N7" s="40"/>
    </row>
    <row r="8" spans="1:15" s="41" customFormat="1" ht="15.5">
      <c r="A8" s="36"/>
      <c r="B8" s="83" t="s">
        <v>971</v>
      </c>
      <c r="C8" s="37"/>
      <c r="D8" s="37"/>
      <c r="E8" s="82"/>
      <c r="F8" s="32"/>
      <c r="G8" s="32"/>
      <c r="H8" s="32"/>
      <c r="I8" s="33"/>
      <c r="J8" s="38"/>
      <c r="K8" s="39"/>
      <c r="L8" s="39"/>
      <c r="M8" s="186"/>
      <c r="N8" s="40"/>
    </row>
    <row r="9" spans="1:15" s="41" customFormat="1" ht="15.5">
      <c r="A9" s="36"/>
      <c r="B9" s="84" t="s">
        <v>116</v>
      </c>
      <c r="C9" s="42"/>
      <c r="D9" s="42"/>
      <c r="F9" s="32"/>
      <c r="G9" s="32"/>
      <c r="H9" s="32"/>
      <c r="I9" s="33"/>
      <c r="J9" s="38"/>
      <c r="K9" s="39"/>
      <c r="L9" s="39"/>
      <c r="M9" s="186"/>
      <c r="N9" s="40"/>
    </row>
    <row r="10" spans="1:15" s="41" customFormat="1" ht="15.5">
      <c r="A10" s="36"/>
      <c r="B10" s="84" t="s">
        <v>117</v>
      </c>
      <c r="C10" s="42"/>
      <c r="D10" s="42"/>
      <c r="F10" s="32"/>
      <c r="G10" s="32"/>
      <c r="H10" s="32"/>
      <c r="I10" s="33"/>
      <c r="J10" s="38"/>
      <c r="K10" s="39"/>
      <c r="L10" s="39"/>
      <c r="M10" s="186"/>
      <c r="N10" s="40"/>
    </row>
    <row r="11" spans="1:15" s="41" customFormat="1" ht="17.25" customHeight="1">
      <c r="A11" s="36"/>
      <c r="B11" s="83" t="s">
        <v>118</v>
      </c>
      <c r="C11" s="37"/>
      <c r="D11" s="37"/>
      <c r="E11" s="82"/>
      <c r="F11" s="32"/>
      <c r="G11" s="32"/>
      <c r="H11" s="32"/>
      <c r="I11" s="33"/>
      <c r="J11" s="38"/>
      <c r="K11" s="39"/>
      <c r="L11" s="39"/>
      <c r="N11" s="40"/>
    </row>
    <row r="12" spans="1:15" s="41" customFormat="1" ht="17.25" customHeight="1">
      <c r="A12" s="36"/>
      <c r="B12" s="84" t="s">
        <v>119</v>
      </c>
      <c r="C12" s="42"/>
      <c r="D12" s="42"/>
      <c r="F12" s="32"/>
      <c r="G12" s="32"/>
      <c r="H12" s="32"/>
      <c r="I12" s="33"/>
      <c r="J12" s="38"/>
      <c r="K12" s="39"/>
      <c r="L12" s="39"/>
      <c r="M12" s="43"/>
      <c r="N12" s="40"/>
    </row>
    <row r="13" spans="1:15" s="30" customFormat="1" ht="17.25" customHeight="1">
      <c r="A13" s="44"/>
      <c r="B13" s="45" t="str">
        <f>HYPERLINK(arcTarget &amp; "fwd/?type=click&amp;src=xlguide&amp;url=http://accessibility.web.att.com/guide-process/CATO_ACoE_JobAid.docx","Refer to the Job Aid (.docx) for further explanation of defect categories.")</f>
        <v>Refer to the Job Aid (.docx) for further explanation of defect categories.</v>
      </c>
      <c r="C13" s="45"/>
      <c r="D13" s="45"/>
      <c r="E13" s="82"/>
      <c r="F13" s="32"/>
      <c r="G13" s="32"/>
      <c r="H13" s="32"/>
      <c r="I13" s="33"/>
      <c r="J13" s="33"/>
      <c r="K13" s="33"/>
      <c r="L13" s="33"/>
      <c r="M13" s="34"/>
      <c r="N13" s="35"/>
    </row>
    <row r="14" spans="1:15" s="30" customFormat="1" ht="17.25" customHeight="1">
      <c r="A14" s="46" t="s">
        <v>907</v>
      </c>
      <c r="B14" s="85"/>
      <c r="C14" s="45"/>
      <c r="D14" s="45"/>
      <c r="E14" s="82"/>
      <c r="F14" s="32"/>
      <c r="G14" s="32"/>
      <c r="H14" s="32"/>
      <c r="I14" s="33"/>
      <c r="J14" s="33"/>
      <c r="K14" s="33"/>
      <c r="L14" s="33"/>
      <c r="M14" s="34"/>
      <c r="N14" s="35"/>
    </row>
    <row r="15" spans="1:15" s="30" customFormat="1" ht="17.25" customHeight="1">
      <c r="A15" s="85" t="str">
        <f>HYPERLINK(arcTarget &amp; "fwd/?src=xlguide&amp;url=http://accessibility.web.att.com/tools/amp.html","AMP info:")</f>
        <v>AMP info:</v>
      </c>
      <c r="B15" s="83" t="s">
        <v>120</v>
      </c>
      <c r="C15" s="37"/>
      <c r="D15" s="37"/>
      <c r="E15" s="82"/>
      <c r="F15" s="32"/>
      <c r="G15" s="32"/>
      <c r="H15" s="32"/>
      <c r="I15" s="33"/>
      <c r="J15" s="33"/>
      <c r="K15" s="33"/>
      <c r="L15" s="33"/>
      <c r="M15" s="34"/>
      <c r="N15" s="35"/>
    </row>
    <row r="16" spans="1:15" s="9" customFormat="1" ht="25.5" customHeight="1">
      <c r="A16" s="189" t="s">
        <v>975</v>
      </c>
      <c r="B16" s="190"/>
      <c r="C16" s="47"/>
      <c r="D16" s="47"/>
      <c r="E16" s="187" t="str">
        <f>IF(ISBLANK('Cover Page'!B7),"(Auto-Filled from Cover)",'Cover Page'!B7)</f>
        <v xml:space="preserve">   Smart Network Manager reposition button on mobile web  </v>
      </c>
      <c r="F16" s="188"/>
      <c r="G16" s="188"/>
      <c r="H16" s="188"/>
      <c r="I16" s="188"/>
      <c r="J16" s="188"/>
      <c r="K16" s="188"/>
      <c r="L16" s="188"/>
      <c r="M16" s="188"/>
      <c r="N16" s="48"/>
    </row>
    <row r="17" spans="1:14" s="30" customFormat="1" ht="28.15" customHeight="1">
      <c r="A17" s="191" t="s">
        <v>976</v>
      </c>
      <c r="B17" s="191"/>
      <c r="C17" s="177"/>
      <c r="D17" s="177"/>
      <c r="E17" s="194"/>
      <c r="F17" s="194"/>
      <c r="G17" s="194"/>
      <c r="H17" s="194"/>
      <c r="I17" s="194"/>
      <c r="J17" s="178"/>
      <c r="K17" s="178"/>
      <c r="L17" s="192" t="s">
        <v>973</v>
      </c>
      <c r="M17" s="192"/>
      <c r="N17" s="193"/>
    </row>
    <row r="18" spans="1:14" s="30" customFormat="1" ht="25.5" customHeight="1">
      <c r="A18" s="49" t="s">
        <v>121</v>
      </c>
      <c r="B18" s="83"/>
      <c r="C18" s="37"/>
      <c r="D18" s="37"/>
      <c r="E18" s="82"/>
      <c r="F18" s="32"/>
      <c r="G18" s="32"/>
      <c r="H18" s="32"/>
      <c r="I18" s="33"/>
      <c r="J18" s="33"/>
      <c r="K18" s="33"/>
      <c r="L18" s="33"/>
      <c r="M18" s="34"/>
      <c r="N18" s="176"/>
    </row>
    <row r="19" spans="1:14" s="132" customFormat="1" ht="116">
      <c r="A19" s="128" t="s">
        <v>122</v>
      </c>
      <c r="B19" s="129" t="s">
        <v>123</v>
      </c>
      <c r="C19" s="129" t="s">
        <v>780</v>
      </c>
      <c r="D19" s="129" t="s">
        <v>781</v>
      </c>
      <c r="E19" s="129" t="s">
        <v>124</v>
      </c>
      <c r="F19" s="129" t="s">
        <v>125</v>
      </c>
      <c r="G19" s="129" t="s">
        <v>126</v>
      </c>
      <c r="H19" s="130" t="s">
        <v>127</v>
      </c>
      <c r="I19" s="131" t="s">
        <v>128</v>
      </c>
      <c r="J19" s="131" t="s">
        <v>129</v>
      </c>
      <c r="K19" s="131" t="s">
        <v>130</v>
      </c>
      <c r="L19" s="130" t="s">
        <v>131</v>
      </c>
      <c r="M19" s="130" t="s">
        <v>132</v>
      </c>
      <c r="N19" s="130" t="s">
        <v>133</v>
      </c>
    </row>
    <row r="20" spans="1:14" ht="43.5" hidden="1">
      <c r="A20" s="133">
        <v>41</v>
      </c>
      <c r="B20" s="170" t="str">
        <f t="shared" ref="B20:B83" si="0">HYPERLINK(arcTarget &amp; "fwd/?src=xlguide&amp;url=" &amp; arcTarget &amp; C20,D20)</f>
        <v>Images</v>
      </c>
      <c r="C20" s="134" t="s">
        <v>135</v>
      </c>
      <c r="D20" s="135" t="s">
        <v>134</v>
      </c>
      <c r="E20" s="171" t="str">
        <f t="shared" ref="E20:E89" si="1">HYPERLINK(arcTarget &amp; "fwd/?src=xlguide&amp;url=" &amp; arcTarget &amp; F20,G20)</f>
        <v>Images that convey important information must have meaningful alternative texts.</v>
      </c>
      <c r="F20" s="50" t="s">
        <v>288</v>
      </c>
      <c r="G20" s="50" t="s">
        <v>136</v>
      </c>
      <c r="H20" s="51"/>
      <c r="I20" s="171" t="str">
        <f t="shared" ref="I20:I89" si="2">HYPERLINK(arcTarget &amp; "fwd/?src=xlguide&amp;url=" &amp; arcTarget &amp; J20,K20)</f>
        <v>Provide textual alternatives for all images.</v>
      </c>
      <c r="J20" s="137" t="s">
        <v>135</v>
      </c>
      <c r="K20" s="137" t="s">
        <v>137</v>
      </c>
      <c r="L20" s="55" t="str">
        <f>IF(OR($H20="Not Relevant",$H20=""), "Not Relevant","")</f>
        <v>Not Relevant</v>
      </c>
      <c r="M20" s="52"/>
      <c r="N20" s="52"/>
    </row>
    <row r="21" spans="1:14" ht="43.5" hidden="1">
      <c r="A21" s="133">
        <v>43</v>
      </c>
      <c r="B21" s="170" t="str">
        <f t="shared" si="0"/>
        <v>Images</v>
      </c>
      <c r="C21" s="134" t="s">
        <v>135</v>
      </c>
      <c r="D21" s="134" t="s">
        <v>134</v>
      </c>
      <c r="E21" s="171" t="str">
        <f t="shared" si="1"/>
        <v>Use live text instead of images where possible.</v>
      </c>
      <c r="F21" s="53" t="s">
        <v>292</v>
      </c>
      <c r="G21" s="54" t="s">
        <v>138</v>
      </c>
      <c r="H21" s="51"/>
      <c r="I21" s="171" t="str">
        <f t="shared" si="2"/>
        <v xml:space="preserve">Ensure that text, instead of images of text, is used wherever possible. </v>
      </c>
      <c r="J21" s="137" t="s">
        <v>135</v>
      </c>
      <c r="K21" s="137" t="s">
        <v>139</v>
      </c>
      <c r="L21" s="55" t="str">
        <f t="shared" ref="L21:L84" si="3">IF(OR($H21="Not Relevant",$H21=""), "Not Relevant","")</f>
        <v>Not Relevant</v>
      </c>
      <c r="M21" s="52"/>
      <c r="N21" s="52"/>
    </row>
    <row r="22" spans="1:14" ht="43.5" hidden="1">
      <c r="A22" s="133">
        <v>12</v>
      </c>
      <c r="B22" s="170" t="str">
        <f t="shared" si="0"/>
        <v>Color</v>
      </c>
      <c r="C22" s="134" t="s">
        <v>141</v>
      </c>
      <c r="D22" s="134" t="s">
        <v>140</v>
      </c>
      <c r="E22" s="171" t="str">
        <f t="shared" si="1"/>
        <v>Foreground text and background color contrast ratio should be 4.5:1 or greater</v>
      </c>
      <c r="F22" s="53" t="s">
        <v>333</v>
      </c>
      <c r="G22" s="50" t="s">
        <v>142</v>
      </c>
      <c r="H22" s="51"/>
      <c r="I22" s="171" t="str">
        <f t="shared" si="2"/>
        <v>Test using the Colour Contrast Analyser or the WAT (Web Accessibility Toolbar)</v>
      </c>
      <c r="J22" s="137" t="s">
        <v>141</v>
      </c>
      <c r="K22" s="137" t="s">
        <v>143</v>
      </c>
      <c r="L22" s="55" t="str">
        <f t="shared" si="3"/>
        <v>Not Relevant</v>
      </c>
      <c r="M22" s="52"/>
      <c r="N22" s="52"/>
    </row>
    <row r="23" spans="1:14" ht="43.5" hidden="1">
      <c r="A23" s="133">
        <v>11</v>
      </c>
      <c r="B23" s="170" t="str">
        <f t="shared" si="0"/>
        <v>Color</v>
      </c>
      <c r="C23" s="134" t="s">
        <v>141</v>
      </c>
      <c r="D23" s="134" t="s">
        <v>140</v>
      </c>
      <c r="E23" s="171" t="str">
        <f t="shared" si="1"/>
        <v>Use additional elements besides color to convey relevant information.</v>
      </c>
      <c r="F23" s="53" t="s">
        <v>335</v>
      </c>
      <c r="G23" s="54" t="s">
        <v>144</v>
      </c>
      <c r="H23" s="51"/>
      <c r="I23" s="171" t="str">
        <f t="shared" si="2"/>
        <v>Do not use color alone to convey information.</v>
      </c>
      <c r="J23" s="137" t="s">
        <v>141</v>
      </c>
      <c r="K23" s="137" t="s">
        <v>145</v>
      </c>
      <c r="L23" s="55" t="str">
        <f t="shared" si="3"/>
        <v>Not Relevant</v>
      </c>
      <c r="M23" s="52"/>
      <c r="N23" s="52"/>
    </row>
    <row r="24" spans="1:14" s="140" customFormat="1" ht="43.5" hidden="1">
      <c r="A24" s="133">
        <v>20</v>
      </c>
      <c r="B24" s="170" t="str">
        <f t="shared" si="0"/>
        <v>Verbiage</v>
      </c>
      <c r="C24" s="134" t="s">
        <v>822</v>
      </c>
      <c r="D24" s="134" t="s">
        <v>59</v>
      </c>
      <c r="E24" s="171" t="str">
        <f t="shared" si="1"/>
        <v>Make content easily readable and understandable</v>
      </c>
      <c r="F24" s="53" t="s">
        <v>196</v>
      </c>
      <c r="G24" s="50" t="s">
        <v>147</v>
      </c>
      <c r="H24" s="51"/>
      <c r="I24" s="171" t="str">
        <f t="shared" si="2"/>
        <v>Use Flesch-Kincaid to measure readability grade level of 9.9 or below.</v>
      </c>
      <c r="J24" s="53" t="s">
        <v>146</v>
      </c>
      <c r="K24" s="137" t="s">
        <v>148</v>
      </c>
      <c r="L24" s="55" t="str">
        <f t="shared" si="3"/>
        <v>Not Relevant</v>
      </c>
      <c r="M24" s="52"/>
      <c r="N24" s="52"/>
    </row>
    <row r="25" spans="1:14" s="140" customFormat="1" ht="29" hidden="1">
      <c r="A25" s="133">
        <v>21</v>
      </c>
      <c r="B25" s="170" t="str">
        <f t="shared" si="0"/>
        <v>Links</v>
      </c>
      <c r="C25" s="134" t="s">
        <v>149</v>
      </c>
      <c r="D25" s="134" t="s">
        <v>51</v>
      </c>
      <c r="E25" s="171" t="str">
        <f t="shared" si="1"/>
        <v>Link text must clearly identify destination or action</v>
      </c>
      <c r="F25" s="53" t="s">
        <v>831</v>
      </c>
      <c r="G25" s="54" t="s">
        <v>150</v>
      </c>
      <c r="H25" s="51"/>
      <c r="I25" s="171" t="str">
        <f t="shared" si="2"/>
        <v>Ensure link text clearly identifies destination or action.</v>
      </c>
      <c r="J25" s="137" t="s">
        <v>149</v>
      </c>
      <c r="K25" s="137" t="s">
        <v>151</v>
      </c>
      <c r="L25" s="55" t="str">
        <f t="shared" si="3"/>
        <v>Not Relevant</v>
      </c>
      <c r="M25" s="52"/>
      <c r="N25" s="52"/>
    </row>
    <row r="26" spans="1:14" s="140" customFormat="1" ht="43.5" hidden="1">
      <c r="A26" s="133" t="s">
        <v>152</v>
      </c>
      <c r="B26" s="170" t="str">
        <f t="shared" si="0"/>
        <v>Tables</v>
      </c>
      <c r="C26" s="134" t="s">
        <v>153</v>
      </c>
      <c r="D26" s="134" t="s">
        <v>57</v>
      </c>
      <c r="E26" s="171" t="str">
        <f t="shared" si="1"/>
        <v>Web page and email tables must follow the guidance on Accessible Tables.</v>
      </c>
      <c r="F26" s="53" t="s">
        <v>153</v>
      </c>
      <c r="G26" s="50" t="s">
        <v>154</v>
      </c>
      <c r="H26" s="51"/>
      <c r="I26" s="171" t="str">
        <f t="shared" si="2"/>
        <v>See test cases in the Guide to Accessible Tables.</v>
      </c>
      <c r="J26" s="137" t="s">
        <v>153</v>
      </c>
      <c r="K26" s="137" t="s">
        <v>155</v>
      </c>
      <c r="L26" s="55" t="str">
        <f t="shared" si="3"/>
        <v>Not Relevant</v>
      </c>
      <c r="M26" s="52"/>
      <c r="N26" s="52"/>
    </row>
    <row r="27" spans="1:14" s="140" customFormat="1" ht="29" hidden="1">
      <c r="A27" s="133">
        <v>52</v>
      </c>
      <c r="B27" s="170" t="str">
        <f t="shared" si="0"/>
        <v>Tables</v>
      </c>
      <c r="C27" s="134" t="s">
        <v>153</v>
      </c>
      <c r="D27" s="134" t="s">
        <v>57</v>
      </c>
      <c r="E27" s="171" t="str">
        <f t="shared" si="1"/>
        <v>Ensure that data tables are built to be accessible</v>
      </c>
      <c r="F27" s="53" t="s">
        <v>156</v>
      </c>
      <c r="G27" s="54" t="s">
        <v>157</v>
      </c>
      <c r="H27" s="51"/>
      <c r="I27" s="171" t="str">
        <f t="shared" si="2"/>
        <v>See test cases in the Guide to Accessible Tables.</v>
      </c>
      <c r="J27" s="137" t="s">
        <v>153</v>
      </c>
      <c r="K27" s="137" t="s">
        <v>155</v>
      </c>
      <c r="L27" s="55" t="str">
        <f t="shared" si="3"/>
        <v>Not Relevant</v>
      </c>
      <c r="M27" s="52"/>
      <c r="N27" s="52"/>
    </row>
    <row r="28" spans="1:14" s="140" customFormat="1" ht="29" hidden="1">
      <c r="A28" s="133">
        <v>56</v>
      </c>
      <c r="B28" s="170" t="str">
        <f t="shared" si="0"/>
        <v>Tables</v>
      </c>
      <c r="C28" s="134" t="s">
        <v>153</v>
      </c>
      <c r="D28" s="134" t="s">
        <v>57</v>
      </c>
      <c r="E28" s="171" t="str">
        <f t="shared" si="1"/>
        <v>Avoid using tables for layout</v>
      </c>
      <c r="F28" s="53" t="s">
        <v>158</v>
      </c>
      <c r="G28" s="50" t="s">
        <v>159</v>
      </c>
      <c r="H28" s="51"/>
      <c r="I28" s="171" t="str">
        <f t="shared" si="2"/>
        <v>See test cases in the Guide to Accessible Tables.</v>
      </c>
      <c r="J28" s="137" t="s">
        <v>153</v>
      </c>
      <c r="K28" s="137" t="s">
        <v>155</v>
      </c>
      <c r="L28" s="55" t="str">
        <f t="shared" si="3"/>
        <v>Not Relevant</v>
      </c>
      <c r="M28" s="52"/>
      <c r="N28" s="52"/>
    </row>
    <row r="29" spans="1:14" s="140" customFormat="1" ht="58" hidden="1">
      <c r="A29" s="133" t="s">
        <v>152</v>
      </c>
      <c r="B29" s="170" t="str">
        <f t="shared" si="0"/>
        <v>Web Pages</v>
      </c>
      <c r="C29" s="134" t="s">
        <v>161</v>
      </c>
      <c r="D29" s="134" t="s">
        <v>160</v>
      </c>
      <c r="E29" s="171" t="str">
        <f t="shared" si="1"/>
        <v>New and modified web pages must follow all relevant guidance on Creating Accessible Web Pages</v>
      </c>
      <c r="F29" s="53" t="s">
        <v>161</v>
      </c>
      <c r="G29" s="54" t="s">
        <v>162</v>
      </c>
      <c r="H29" s="51"/>
      <c r="I29" s="171" t="str">
        <f t="shared" si="2"/>
        <v>See test cases in Creating Accessible Web Pages</v>
      </c>
      <c r="J29" s="137" t="s">
        <v>161</v>
      </c>
      <c r="K29" s="137" t="s">
        <v>163</v>
      </c>
      <c r="L29" s="55" t="str">
        <f t="shared" si="3"/>
        <v>Not Relevant</v>
      </c>
      <c r="M29" s="52"/>
      <c r="N29" s="52"/>
    </row>
    <row r="30" spans="1:14" s="140" customFormat="1" ht="87">
      <c r="A30" s="133">
        <v>17</v>
      </c>
      <c r="B30" s="170" t="str">
        <f t="shared" si="0"/>
        <v>Structure</v>
      </c>
      <c r="C30" s="134" t="s">
        <v>167</v>
      </c>
      <c r="D30" s="134" t="s">
        <v>164</v>
      </c>
      <c r="E30" s="171" t="str">
        <f t="shared" si="1"/>
        <v xml:space="preserve">Properly code headings and important information </v>
      </c>
      <c r="F30" s="53" t="s">
        <v>165</v>
      </c>
      <c r="G30" s="50" t="s">
        <v>166</v>
      </c>
      <c r="H30" s="51"/>
      <c r="I30" s="171" t="str">
        <f t="shared" si="2"/>
        <v>Inspect the HTML source code for the appropriate semantic markup. Verify form elements are visually labelled and announced properly by a screen reader.</v>
      </c>
      <c r="J30" s="137" t="s">
        <v>167</v>
      </c>
      <c r="K30" s="137" t="s">
        <v>168</v>
      </c>
      <c r="L30" s="55" t="str">
        <f t="shared" si="3"/>
        <v>Not Relevant</v>
      </c>
      <c r="M30" s="196" t="s">
        <v>1024</v>
      </c>
      <c r="N30" s="52"/>
    </row>
    <row r="31" spans="1:14" s="140" customFormat="1" ht="43.5">
      <c r="A31" s="133">
        <v>18</v>
      </c>
      <c r="B31" s="170" t="str">
        <f t="shared" si="0"/>
        <v>Structure</v>
      </c>
      <c r="C31" s="134" t="s">
        <v>167</v>
      </c>
      <c r="D31" s="134" t="s">
        <v>164</v>
      </c>
      <c r="E31" s="171" t="str">
        <f t="shared" si="1"/>
        <v xml:space="preserve">Add correct markup for a page or app’s language </v>
      </c>
      <c r="F31" s="53" t="s">
        <v>169</v>
      </c>
      <c r="G31" s="54" t="s">
        <v>170</v>
      </c>
      <c r="H31" s="51"/>
      <c r="I31" s="171" t="str">
        <f t="shared" si="2"/>
        <v>View the DOM of the page and verify HTML elements contain a valid lang attribute.</v>
      </c>
      <c r="J31" s="137" t="s">
        <v>167</v>
      </c>
      <c r="K31" s="137" t="s">
        <v>171</v>
      </c>
      <c r="L31" s="55" t="str">
        <f t="shared" si="3"/>
        <v>Not Relevant</v>
      </c>
      <c r="M31" s="196" t="s">
        <v>1025</v>
      </c>
      <c r="N31" s="52"/>
    </row>
    <row r="32" spans="1:14" s="140" customFormat="1" ht="101.5">
      <c r="A32" s="133">
        <v>28</v>
      </c>
      <c r="B32" s="170" t="str">
        <f t="shared" si="0"/>
        <v>Structure</v>
      </c>
      <c r="C32" s="134" t="s">
        <v>167</v>
      </c>
      <c r="D32" s="134" t="s">
        <v>164</v>
      </c>
      <c r="E32" s="171" t="str">
        <f t="shared" si="1"/>
        <v>Identify user interface elements with the same functionality</v>
      </c>
      <c r="F32" s="53" t="s">
        <v>172</v>
      </c>
      <c r="G32" s="50" t="s">
        <v>173</v>
      </c>
      <c r="H32" s="51"/>
      <c r="I32" s="171" t="str">
        <f t="shared" si="2"/>
        <v>Inspect the HTML source code and verify each component is associated with text that identifies it and that this text is identical for each user interface component with the same function.</v>
      </c>
      <c r="J32" s="137" t="s">
        <v>167</v>
      </c>
      <c r="K32" s="137" t="s">
        <v>174</v>
      </c>
      <c r="L32" s="55" t="str">
        <f t="shared" si="3"/>
        <v>Not Relevant</v>
      </c>
      <c r="M32" s="196" t="s">
        <v>1026</v>
      </c>
      <c r="N32" s="52"/>
    </row>
    <row r="33" spans="1:14" s="140" customFormat="1" ht="72.5">
      <c r="A33" s="133">
        <v>30</v>
      </c>
      <c r="B33" s="170" t="str">
        <f t="shared" si="0"/>
        <v>Structure</v>
      </c>
      <c r="C33" s="134" t="s">
        <v>167</v>
      </c>
      <c r="D33" s="134" t="s">
        <v>164</v>
      </c>
      <c r="E33" s="171" t="str">
        <f t="shared" si="1"/>
        <v xml:space="preserve">Ensure names, roles, states, properties, and values of user interface components are programmatically set and determined </v>
      </c>
      <c r="F33" s="53" t="s">
        <v>175</v>
      </c>
      <c r="G33" s="54" t="s">
        <v>176</v>
      </c>
      <c r="H33" s="51"/>
      <c r="I33" s="171" t="str">
        <f t="shared" si="2"/>
        <v>Inspect the HTML source code and verify the name, value and state are specified and correct.</v>
      </c>
      <c r="J33" s="137" t="s">
        <v>167</v>
      </c>
      <c r="K33" s="137" t="s">
        <v>177</v>
      </c>
      <c r="L33" s="55" t="str">
        <f t="shared" si="3"/>
        <v>Not Relevant</v>
      </c>
      <c r="M33" s="196" t="s">
        <v>1027</v>
      </c>
      <c r="N33" s="52"/>
    </row>
    <row r="34" spans="1:14" s="140" customFormat="1" ht="29">
      <c r="A34" s="133">
        <v>31</v>
      </c>
      <c r="B34" s="170" t="str">
        <f t="shared" si="0"/>
        <v>Structure</v>
      </c>
      <c r="C34" s="134" t="s">
        <v>167</v>
      </c>
      <c r="D34" s="134" t="s">
        <v>164</v>
      </c>
      <c r="E34" s="171" t="str">
        <f t="shared" si="1"/>
        <v xml:space="preserve">Follow coding format specifications </v>
      </c>
      <c r="F34" s="53" t="s">
        <v>178</v>
      </c>
      <c r="G34" s="50" t="s">
        <v>179</v>
      </c>
      <c r="H34" s="51"/>
      <c r="I34" s="171" t="str">
        <f t="shared" si="2"/>
        <v>Use the WAT tool for validation or the W3C validation site.</v>
      </c>
      <c r="J34" s="137" t="s">
        <v>167</v>
      </c>
      <c r="K34" s="137" t="s">
        <v>180</v>
      </c>
      <c r="L34" s="55" t="str">
        <f t="shared" si="3"/>
        <v>Not Relevant</v>
      </c>
      <c r="M34" s="196" t="s">
        <v>1028</v>
      </c>
      <c r="N34" s="52"/>
    </row>
    <row r="35" spans="1:14" s="140" customFormat="1" ht="43.5">
      <c r="A35" s="133">
        <v>32</v>
      </c>
      <c r="B35" s="170" t="str">
        <f t="shared" si="0"/>
        <v>Structure</v>
      </c>
      <c r="C35" s="134" t="s">
        <v>167</v>
      </c>
      <c r="D35" s="134" t="s">
        <v>164</v>
      </c>
      <c r="E35" s="171" t="str">
        <f t="shared" si="1"/>
        <v xml:space="preserve">Ensure that page or screen titles clearly present the topic or purpose of the content </v>
      </c>
      <c r="F35" s="53" t="s">
        <v>181</v>
      </c>
      <c r="G35" s="54" t="s">
        <v>182</v>
      </c>
      <c r="H35" s="51"/>
      <c r="I35" s="171" t="str">
        <f t="shared" si="2"/>
        <v>Inspect the HTML source code and verify that the web page has a title relevant to the content.</v>
      </c>
      <c r="J35" s="137" t="s">
        <v>167</v>
      </c>
      <c r="K35" s="137" t="s">
        <v>183</v>
      </c>
      <c r="L35" s="55" t="str">
        <f t="shared" si="3"/>
        <v>Not Relevant</v>
      </c>
      <c r="M35" s="196" t="s">
        <v>1029</v>
      </c>
      <c r="N35" s="52"/>
    </row>
    <row r="36" spans="1:14" s="140" customFormat="1" ht="72.5">
      <c r="A36" s="133">
        <v>33</v>
      </c>
      <c r="B36" s="170" t="str">
        <f t="shared" si="0"/>
        <v>Structure</v>
      </c>
      <c r="C36" s="134" t="s">
        <v>167</v>
      </c>
      <c r="D36" s="134" t="s">
        <v>164</v>
      </c>
      <c r="E36" s="171" t="str">
        <f t="shared" si="1"/>
        <v xml:space="preserve">Allow user to skip past repetitive blocks of content </v>
      </c>
      <c r="F36" s="53" t="s">
        <v>184</v>
      </c>
      <c r="G36" s="50" t="s">
        <v>185</v>
      </c>
      <c r="H36" s="51"/>
      <c r="I36" s="171" t="str">
        <f t="shared" si="2"/>
        <v>Verify that when selected, the skip navigation link moves keyboard focus to an element at or near the beginning of the main content of the page.</v>
      </c>
      <c r="J36" s="137" t="s">
        <v>167</v>
      </c>
      <c r="K36" s="137" t="s">
        <v>186</v>
      </c>
      <c r="L36" s="55" t="str">
        <f t="shared" si="3"/>
        <v>Not Relevant</v>
      </c>
      <c r="M36" s="196" t="s">
        <v>1030</v>
      </c>
      <c r="N36" s="52"/>
    </row>
    <row r="37" spans="1:14" s="140" customFormat="1" ht="58">
      <c r="A37" s="133">
        <v>34</v>
      </c>
      <c r="B37" s="170" t="str">
        <f t="shared" si="0"/>
        <v>Structure</v>
      </c>
      <c r="C37" s="134" t="s">
        <v>167</v>
      </c>
      <c r="D37" s="134" t="s">
        <v>164</v>
      </c>
      <c r="E37" s="171" t="str">
        <f t="shared" si="1"/>
        <v xml:space="preserve">Headings and labels should describe associated content </v>
      </c>
      <c r="F37" s="53" t="s">
        <v>187</v>
      </c>
      <c r="G37" s="54" t="s">
        <v>188</v>
      </c>
      <c r="H37" s="51"/>
      <c r="I37" s="171" t="str">
        <f t="shared" si="2"/>
        <v>Inspect the HTML source code and check that headings exist for each section and are in sequential order.</v>
      </c>
      <c r="J37" s="137" t="s">
        <v>167</v>
      </c>
      <c r="K37" s="137" t="s">
        <v>189</v>
      </c>
      <c r="L37" s="55" t="str">
        <f t="shared" si="3"/>
        <v>Not Relevant</v>
      </c>
      <c r="M37" s="196" t="s">
        <v>1031</v>
      </c>
      <c r="N37" s="52"/>
    </row>
    <row r="38" spans="1:14" s="140" customFormat="1" ht="58">
      <c r="A38" s="133">
        <v>63</v>
      </c>
      <c r="B38" s="170" t="str">
        <f t="shared" si="0"/>
        <v>Structure</v>
      </c>
      <c r="C38" s="134" t="s">
        <v>167</v>
      </c>
      <c r="D38" s="134" t="s">
        <v>164</v>
      </c>
      <c r="E38" s="171" t="str">
        <f t="shared" si="1"/>
        <v xml:space="preserve">Use appropriate structural mark up for the content of the element </v>
      </c>
      <c r="F38" s="53" t="s">
        <v>190</v>
      </c>
      <c r="G38" s="50" t="s">
        <v>191</v>
      </c>
      <c r="H38" s="51"/>
      <c r="I38" s="171" t="str">
        <f t="shared" si="2"/>
        <v>Inspect the HTML source code. If content has a semantic function, verify the correct markup is in place.</v>
      </c>
      <c r="J38" s="137" t="s">
        <v>167</v>
      </c>
      <c r="K38" s="137" t="s">
        <v>192</v>
      </c>
      <c r="L38" s="55" t="str">
        <f t="shared" si="3"/>
        <v>Not Relevant</v>
      </c>
      <c r="M38" s="196" t="s">
        <v>1032</v>
      </c>
      <c r="N38" s="52"/>
    </row>
    <row r="39" spans="1:14" s="142" customFormat="1" ht="58" hidden="1">
      <c r="A39" s="133" t="s">
        <v>193</v>
      </c>
      <c r="B39" s="170" t="str">
        <f t="shared" si="0"/>
        <v>Customer Collateral (Adobe InDesign)</v>
      </c>
      <c r="C39" s="134" t="s">
        <v>194</v>
      </c>
      <c r="D39" s="135" t="s">
        <v>67</v>
      </c>
      <c r="E39" s="171" t="str">
        <f t="shared" si="1"/>
        <v>Ensure Adobe InDesign Documents are accessible or made available in an accessible format.</v>
      </c>
      <c r="F39" s="53" t="s">
        <v>833</v>
      </c>
      <c r="G39" s="53" t="s">
        <v>832</v>
      </c>
      <c r="H39" s="51"/>
      <c r="I39" s="173" t="str">
        <f>HYPERLINK(arcTarget &amp; "fwd.html?src=xlguide&amp;url=" &amp; arcTarget &amp; J39,K39)</f>
        <v>Follow Adobe InDesign Documents Accessible Design Guidelines</v>
      </c>
      <c r="J39" s="53" t="s">
        <v>194</v>
      </c>
      <c r="K39" s="141" t="s">
        <v>195</v>
      </c>
      <c r="L39" s="55" t="str">
        <f t="shared" si="3"/>
        <v>Not Relevant</v>
      </c>
      <c r="M39" s="52"/>
      <c r="N39" s="52"/>
    </row>
    <row r="40" spans="1:14" s="142" customFormat="1" ht="43.5" hidden="1">
      <c r="A40" s="133">
        <v>20</v>
      </c>
      <c r="B40" s="170" t="str">
        <f t="shared" si="0"/>
        <v>Customer Collateral (Adobe InDesign)</v>
      </c>
      <c r="C40" s="134" t="s">
        <v>194</v>
      </c>
      <c r="D40" s="134" t="s">
        <v>67</v>
      </c>
      <c r="E40" s="172" t="str">
        <f>HYPERLINK(arcTarget &amp; "fwd.html?src=xlguide&amp;url=" &amp; arcTarget &amp; F40,G40)</f>
        <v>Make content easily readable and understandable.</v>
      </c>
      <c r="F40" s="53" t="s">
        <v>196</v>
      </c>
      <c r="G40" s="53" t="s">
        <v>197</v>
      </c>
      <c r="H40" s="51"/>
      <c r="I40" s="173" t="str">
        <f>HYPERLINK(arcTarget &amp; "fwd.html?src=xlguide&amp;url=" &amp; arcTarget &amp; J40,K40)</f>
        <v>Use Flesch-Kincaid to measure readability grade level of 9.9 or below.</v>
      </c>
      <c r="J40" s="53" t="s">
        <v>146</v>
      </c>
      <c r="K40" s="137" t="s">
        <v>148</v>
      </c>
      <c r="L40" s="55" t="str">
        <f t="shared" si="3"/>
        <v>Not Relevant</v>
      </c>
      <c r="M40" s="52"/>
      <c r="N40" s="52"/>
    </row>
    <row r="41" spans="1:14" s="142" customFormat="1" ht="72.5" hidden="1">
      <c r="A41" s="133" t="s">
        <v>193</v>
      </c>
      <c r="B41" s="170" t="str">
        <f t="shared" si="0"/>
        <v>Customer Collateral (Adobe InDesign)</v>
      </c>
      <c r="C41" s="134" t="s">
        <v>194</v>
      </c>
      <c r="D41" s="134" t="s">
        <v>67</v>
      </c>
      <c r="E41" s="172" t="str">
        <f>HYPERLINK(arcTarget &amp; "fwd.html?src=xlguide&amp;url=" &amp; arcTarget &amp; F41,G41)</f>
        <v>Always follow AT&amp;T Brand Standards or the Cricket Brand Center in regards to color palette, fonts, imagery, and iconography.</v>
      </c>
      <c r="F41" s="53" t="s">
        <v>833</v>
      </c>
      <c r="G41" s="50" t="s">
        <v>198</v>
      </c>
      <c r="H41" s="51"/>
      <c r="I41" s="173" t="str">
        <f>HYPERLINK(arcTarget &amp; "fwd.html?src=xlguide&amp;url=" &amp; arcTarget &amp; J41,K41)</f>
        <v>Ensure you follow appropriate Brand Standards.</v>
      </c>
      <c r="J41" s="137" t="s">
        <v>199</v>
      </c>
      <c r="K41" s="137" t="s">
        <v>200</v>
      </c>
      <c r="L41" s="55" t="str">
        <f t="shared" si="3"/>
        <v>Not Relevant</v>
      </c>
      <c r="M41" s="52"/>
      <c r="N41" s="52"/>
    </row>
    <row r="42" spans="1:14" s="140" customFormat="1" ht="58" hidden="1">
      <c r="A42" s="133" t="s">
        <v>193</v>
      </c>
      <c r="B42" s="170" t="str">
        <f t="shared" si="0"/>
        <v>Customer Collateral (PDF)</v>
      </c>
      <c r="C42" s="134" t="s">
        <v>823</v>
      </c>
      <c r="D42" s="134" t="s">
        <v>71</v>
      </c>
      <c r="E42" s="171" t="str">
        <f t="shared" si="1"/>
        <v>Follow the requirements outlined in the latest version of PDF Accessibility Testing Methodology.</v>
      </c>
      <c r="F42" s="53" t="s">
        <v>833</v>
      </c>
      <c r="G42" s="54" t="s">
        <v>202</v>
      </c>
      <c r="H42" s="51"/>
      <c r="I42" s="171" t="str">
        <f t="shared" si="2"/>
        <v>Follow the CATO PDF Accessibility Testing Methodology.</v>
      </c>
      <c r="J42" s="53" t="s">
        <v>201</v>
      </c>
      <c r="K42" s="137" t="s">
        <v>203</v>
      </c>
      <c r="L42" s="55" t="str">
        <f t="shared" si="3"/>
        <v>Not Relevant</v>
      </c>
      <c r="M42" s="52"/>
      <c r="N42" s="52"/>
    </row>
    <row r="43" spans="1:14" s="140" customFormat="1" ht="72.5" hidden="1">
      <c r="A43" s="133" t="s">
        <v>193</v>
      </c>
      <c r="B43" s="170" t="str">
        <f t="shared" si="0"/>
        <v>Customer Collateral (PDF)</v>
      </c>
      <c r="C43" s="134" t="s">
        <v>823</v>
      </c>
      <c r="D43" s="134" t="s">
        <v>71</v>
      </c>
      <c r="E43" s="171" t="str">
        <f t="shared" si="1"/>
        <v>Always follow AT&amp;T Brand Standards or the Cricket Brand Center in regards to color palette, fonts, imagery, and iconography.</v>
      </c>
      <c r="F43" s="53" t="s">
        <v>833</v>
      </c>
      <c r="G43" s="50" t="s">
        <v>198</v>
      </c>
      <c r="H43" s="51"/>
      <c r="I43" s="171" t="str">
        <f t="shared" si="2"/>
        <v>Ensure you follow appropriate Brand Standards.</v>
      </c>
      <c r="J43" s="137" t="s">
        <v>199</v>
      </c>
      <c r="K43" s="137" t="s">
        <v>200</v>
      </c>
      <c r="L43" s="55" t="str">
        <f t="shared" si="3"/>
        <v>Not Relevant</v>
      </c>
      <c r="M43" s="52"/>
      <c r="N43" s="52"/>
    </row>
    <row r="44" spans="1:14" s="140" customFormat="1" ht="43.5" hidden="1">
      <c r="A44" s="133" t="s">
        <v>193</v>
      </c>
      <c r="B44" s="170" t="str">
        <f t="shared" si="0"/>
        <v>Customer Collateral (PDF)</v>
      </c>
      <c r="C44" s="134" t="s">
        <v>823</v>
      </c>
      <c r="D44" s="134" t="s">
        <v>71</v>
      </c>
      <c r="E44" s="171" t="str">
        <f t="shared" si="1"/>
        <v>Make content easily readable and understandable</v>
      </c>
      <c r="F44" s="53" t="s">
        <v>833</v>
      </c>
      <c r="G44" s="54" t="s">
        <v>147</v>
      </c>
      <c r="H44" s="51"/>
      <c r="I44" s="171" t="str">
        <f t="shared" si="2"/>
        <v>Use Flesch-Kincaid to measure readability grade level of 9.9 or below.</v>
      </c>
      <c r="J44" s="53" t="s">
        <v>146</v>
      </c>
      <c r="K44" s="137" t="s">
        <v>148</v>
      </c>
      <c r="L44" s="55" t="str">
        <f t="shared" si="3"/>
        <v>Not Relevant</v>
      </c>
      <c r="M44" s="52"/>
      <c r="N44" s="52"/>
    </row>
    <row r="45" spans="1:14" s="140" customFormat="1" ht="43.5" hidden="1">
      <c r="A45" s="133" t="s">
        <v>193</v>
      </c>
      <c r="B45" s="170" t="str">
        <f t="shared" si="0"/>
        <v xml:space="preserve"> Customer Collateral (MS Office)</v>
      </c>
      <c r="C45" s="134" t="s">
        <v>824</v>
      </c>
      <c r="D45" s="134" t="s">
        <v>204</v>
      </c>
      <c r="E45" s="171" t="str">
        <f t="shared" si="1"/>
        <v>Make content easily readable and understandable</v>
      </c>
      <c r="F45" s="53" t="s">
        <v>833</v>
      </c>
      <c r="G45" s="50" t="s">
        <v>147</v>
      </c>
      <c r="H45" s="51"/>
      <c r="I45" s="171" t="str">
        <f t="shared" si="2"/>
        <v>Use Flesch-Kincaid to measure readability grade level of 9.9 or below.</v>
      </c>
      <c r="J45" s="53" t="s">
        <v>146</v>
      </c>
      <c r="K45" s="137" t="s">
        <v>148</v>
      </c>
      <c r="L45" s="55" t="str">
        <f t="shared" si="3"/>
        <v>Not Relevant</v>
      </c>
      <c r="M45" s="52"/>
      <c r="N45" s="52"/>
    </row>
    <row r="46" spans="1:14" s="140" customFormat="1" ht="58" hidden="1">
      <c r="A46" s="133" t="s">
        <v>193</v>
      </c>
      <c r="B46" s="170" t="str">
        <f t="shared" si="0"/>
        <v xml:space="preserve"> Customer Collateral (MS Office)</v>
      </c>
      <c r="C46" s="134" t="s">
        <v>824</v>
      </c>
      <c r="D46" s="134" t="s">
        <v>204</v>
      </c>
      <c r="E46" s="171" t="str">
        <f t="shared" si="1"/>
        <v>All Microsoft Office documents must be provided in an accessible format.</v>
      </c>
      <c r="F46" s="53" t="s">
        <v>833</v>
      </c>
      <c r="G46" s="54" t="s">
        <v>205</v>
      </c>
      <c r="H46" s="51"/>
      <c r="I46" s="171" t="str">
        <f t="shared" si="2"/>
        <v xml:space="preserve">Follow the Microsoft’s Accessibility Guide for Office 2013 and the Accessibility Checker tool. </v>
      </c>
      <c r="J46" s="137" t="s">
        <v>206</v>
      </c>
      <c r="K46" s="137" t="s">
        <v>207</v>
      </c>
      <c r="L46" s="55" t="str">
        <f t="shared" si="3"/>
        <v>Not Relevant</v>
      </c>
      <c r="M46" s="52"/>
      <c r="N46" s="52"/>
    </row>
    <row r="47" spans="1:14" s="140" customFormat="1" ht="72.5" hidden="1">
      <c r="A47" s="133" t="s">
        <v>193</v>
      </c>
      <c r="B47" s="170" t="str">
        <f t="shared" si="0"/>
        <v xml:space="preserve"> Customer Collateral (MS Office)</v>
      </c>
      <c r="C47" s="134" t="s">
        <v>824</v>
      </c>
      <c r="D47" s="134" t="s">
        <v>204</v>
      </c>
      <c r="E47" s="171" t="str">
        <f t="shared" si="1"/>
        <v>Always follow AT&amp;T Brand Standards or the Cricket Brand Center in regards to color palette, fonts, imagery, and iconography.</v>
      </c>
      <c r="F47" s="53" t="s">
        <v>833</v>
      </c>
      <c r="G47" s="50" t="s">
        <v>198</v>
      </c>
      <c r="H47" s="51"/>
      <c r="I47" s="171" t="str">
        <f t="shared" si="2"/>
        <v>Ensure you follow appropriate Brand Standards.</v>
      </c>
      <c r="J47" s="137" t="s">
        <v>199</v>
      </c>
      <c r="K47" s="137" t="s">
        <v>200</v>
      </c>
      <c r="L47" s="55" t="str">
        <f t="shared" si="3"/>
        <v>Not Relevant</v>
      </c>
      <c r="M47" s="52"/>
      <c r="N47" s="52"/>
    </row>
    <row r="48" spans="1:14" ht="43.5" hidden="1">
      <c r="A48" s="133" t="s">
        <v>193</v>
      </c>
      <c r="B48" s="170" t="str">
        <f t="shared" si="0"/>
        <v>Printed Customer Collateral</v>
      </c>
      <c r="C48" s="134" t="s">
        <v>209</v>
      </c>
      <c r="D48" s="135" t="s">
        <v>208</v>
      </c>
      <c r="E48" s="171" t="str">
        <f t="shared" si="1"/>
        <v>Make content easily readable and understandable</v>
      </c>
      <c r="F48" s="53" t="s">
        <v>833</v>
      </c>
      <c r="G48" s="54" t="s">
        <v>147</v>
      </c>
      <c r="H48" s="51"/>
      <c r="I48" s="171" t="str">
        <f t="shared" si="2"/>
        <v>Use Flesch-Kincaid to measure readability grade level of 9.9 or below.</v>
      </c>
      <c r="J48" s="53" t="s">
        <v>146</v>
      </c>
      <c r="K48" s="137" t="s">
        <v>148</v>
      </c>
      <c r="L48" s="55" t="str">
        <f t="shared" si="3"/>
        <v>Not Relevant</v>
      </c>
      <c r="M48" s="52"/>
      <c r="N48" s="52"/>
    </row>
    <row r="49" spans="1:14" ht="72.5" hidden="1">
      <c r="A49" s="133" t="s">
        <v>193</v>
      </c>
      <c r="B49" s="170" t="str">
        <f t="shared" si="0"/>
        <v>Printed Customer Collateral</v>
      </c>
      <c r="C49" s="134" t="s">
        <v>209</v>
      </c>
      <c r="D49" s="134" t="s">
        <v>208</v>
      </c>
      <c r="E49" s="171" t="str">
        <f t="shared" si="1"/>
        <v>Always follow AT&amp;T Brand Standards or the Cricket Brand Center in regards to color palette, fonts, imagery, and iconography.</v>
      </c>
      <c r="F49" s="53" t="s">
        <v>833</v>
      </c>
      <c r="G49" s="50" t="s">
        <v>198</v>
      </c>
      <c r="H49" s="51"/>
      <c r="I49" s="171" t="str">
        <f t="shared" si="2"/>
        <v>Ensure you follow appropriate Brand Standards.</v>
      </c>
      <c r="J49" s="137" t="s">
        <v>199</v>
      </c>
      <c r="K49" s="137" t="s">
        <v>200</v>
      </c>
      <c r="L49" s="55" t="str">
        <f t="shared" si="3"/>
        <v>Not Relevant</v>
      </c>
      <c r="M49" s="52"/>
      <c r="N49" s="52"/>
    </row>
    <row r="50" spans="1:14" ht="58" hidden="1">
      <c r="A50" s="133" t="s">
        <v>193</v>
      </c>
      <c r="B50" s="170" t="str">
        <f t="shared" si="0"/>
        <v>Printed Customer Collateral</v>
      </c>
      <c r="C50" s="134" t="s">
        <v>209</v>
      </c>
      <c r="D50" s="134" t="s">
        <v>208</v>
      </c>
      <c r="E50" s="171" t="str">
        <f t="shared" si="1"/>
        <v>Ensure customers can request an alternative version (Braille or Large Print) of any printed document.</v>
      </c>
      <c r="F50" s="53" t="s">
        <v>833</v>
      </c>
      <c r="G50" s="54" t="s">
        <v>210</v>
      </c>
      <c r="H50" s="51"/>
      <c r="I50" s="171" t="str">
        <f t="shared" si="2"/>
        <v>Verify M&amp;P is in place to provide alternative formats upon request.</v>
      </c>
      <c r="J50" s="137" t="s">
        <v>211</v>
      </c>
      <c r="K50" s="137" t="s">
        <v>212</v>
      </c>
      <c r="L50" s="55" t="str">
        <f t="shared" si="3"/>
        <v>Not Relevant</v>
      </c>
      <c r="M50" s="52"/>
      <c r="N50" s="52"/>
    </row>
    <row r="51" spans="1:14" ht="87" hidden="1">
      <c r="A51" s="133" t="s">
        <v>193</v>
      </c>
      <c r="B51" s="170" t="str">
        <f t="shared" si="0"/>
        <v>Videos</v>
      </c>
      <c r="C51" s="134" t="s">
        <v>213</v>
      </c>
      <c r="D51" s="134" t="s">
        <v>111</v>
      </c>
      <c r="E51" s="171" t="str">
        <f t="shared" si="1"/>
        <v>Visual content illustrating how to operate a product or feature must be explained verbally. Visual elements that do not provide new information need not be described.</v>
      </c>
      <c r="F51" s="53" t="s">
        <v>833</v>
      </c>
      <c r="G51" s="50" t="s">
        <v>214</v>
      </c>
      <c r="H51" s="51"/>
      <c r="I51" s="171" t="str">
        <f t="shared" si="2"/>
        <v xml:space="preserve">Review transcript to ensure that the wording and instructions will be understandable by a person with no vision.   </v>
      </c>
      <c r="J51" s="137" t="s">
        <v>215</v>
      </c>
      <c r="K51" s="137" t="s">
        <v>216</v>
      </c>
      <c r="L51" s="55" t="str">
        <f t="shared" si="3"/>
        <v>Not Relevant</v>
      </c>
      <c r="M51" s="52"/>
      <c r="N51" s="52"/>
    </row>
    <row r="52" spans="1:14" ht="58" hidden="1">
      <c r="A52" s="133" t="s">
        <v>217</v>
      </c>
      <c r="B52" s="170" t="str">
        <f t="shared" si="0"/>
        <v>Videos</v>
      </c>
      <c r="C52" s="134" t="s">
        <v>213</v>
      </c>
      <c r="D52" s="134" t="s">
        <v>111</v>
      </c>
      <c r="E52" s="171" t="str">
        <f t="shared" si="1"/>
        <v>The video must be created using appropriate color contrast, and should not rely on colors alone to show or explain information.</v>
      </c>
      <c r="F52" s="53" t="s">
        <v>441</v>
      </c>
      <c r="G52" s="54" t="s">
        <v>218</v>
      </c>
      <c r="H52" s="51"/>
      <c r="I52" s="171" t="str">
        <f t="shared" si="2"/>
        <v>Test using the Colour Contrast Analyser or the WAT (Web Accessibility Toolbar)</v>
      </c>
      <c r="J52" s="137" t="s">
        <v>215</v>
      </c>
      <c r="K52" s="137" t="s">
        <v>143</v>
      </c>
      <c r="L52" s="55" t="str">
        <f t="shared" si="3"/>
        <v>Not Relevant</v>
      </c>
      <c r="M52" s="52"/>
      <c r="N52" s="52"/>
    </row>
    <row r="53" spans="1:14" ht="58" hidden="1">
      <c r="A53" s="133" t="s">
        <v>219</v>
      </c>
      <c r="B53" s="170" t="str">
        <f t="shared" si="0"/>
        <v>Videos</v>
      </c>
      <c r="C53" s="134" t="s">
        <v>213</v>
      </c>
      <c r="D53" s="134" t="s">
        <v>111</v>
      </c>
      <c r="E53" s="171" t="str">
        <f t="shared" si="1"/>
        <v xml:space="preserve">When produced, the video must not contain excessive text movement, pixel contrast changes, flashes, or flickering. </v>
      </c>
      <c r="F53" s="53" t="s">
        <v>459</v>
      </c>
      <c r="G53" s="50" t="s">
        <v>220</v>
      </c>
      <c r="H53" s="51"/>
      <c r="I53" s="171" t="str">
        <f t="shared" si="2"/>
        <v>Test each version of the video proof with a photosensitivity analyzer.</v>
      </c>
      <c r="J53" s="137" t="s">
        <v>215</v>
      </c>
      <c r="K53" s="137" t="s">
        <v>221</v>
      </c>
      <c r="L53" s="55" t="str">
        <f t="shared" si="3"/>
        <v>Not Relevant</v>
      </c>
      <c r="M53" s="52"/>
      <c r="N53" s="52"/>
    </row>
    <row r="54" spans="1:14" ht="43.5" hidden="1">
      <c r="A54" s="133" t="s">
        <v>222</v>
      </c>
      <c r="B54" s="170" t="str">
        <f t="shared" si="0"/>
        <v>Videos</v>
      </c>
      <c r="C54" s="134" t="s">
        <v>213</v>
      </c>
      <c r="D54" s="134" t="s">
        <v>111</v>
      </c>
      <c r="E54" s="171" t="str">
        <f t="shared" si="1"/>
        <v>Once uploaded, the video shall contain closed captions.</v>
      </c>
      <c r="F54" s="53" t="s">
        <v>445</v>
      </c>
      <c r="G54" s="54" t="s">
        <v>223</v>
      </c>
      <c r="H54" s="51"/>
      <c r="I54" s="171" t="str">
        <f t="shared" si="2"/>
        <v xml:space="preserve">Closed captions must be present and match the transcript </v>
      </c>
      <c r="J54" s="137" t="s">
        <v>215</v>
      </c>
      <c r="K54" s="137" t="s">
        <v>224</v>
      </c>
      <c r="L54" s="55" t="str">
        <f t="shared" si="3"/>
        <v>Not Relevant</v>
      </c>
      <c r="M54" s="52"/>
      <c r="N54" s="52"/>
    </row>
    <row r="55" spans="1:14" ht="58" hidden="1">
      <c r="A55" s="133">
        <v>57</v>
      </c>
      <c r="B55" s="170" t="str">
        <f t="shared" si="0"/>
        <v>Videos</v>
      </c>
      <c r="C55" s="134" t="s">
        <v>213</v>
      </c>
      <c r="D55" s="134" t="s">
        <v>111</v>
      </c>
      <c r="E55" s="171" t="str">
        <f t="shared" si="1"/>
        <v>Once finalized, the video shall contain a transcript of dialog for customers with cognitive disabilities.</v>
      </c>
      <c r="F55" s="53" t="s">
        <v>834</v>
      </c>
      <c r="G55" s="50" t="s">
        <v>225</v>
      </c>
      <c r="H55" s="51"/>
      <c r="I55" s="171" t="str">
        <f t="shared" si="2"/>
        <v>Final transcript must be present and match the video narrative.</v>
      </c>
      <c r="J55" s="137" t="s">
        <v>215</v>
      </c>
      <c r="K55" s="137" t="s">
        <v>226</v>
      </c>
      <c r="L55" s="55" t="str">
        <f t="shared" si="3"/>
        <v>Not Relevant</v>
      </c>
      <c r="M55" s="52"/>
      <c r="N55" s="52"/>
    </row>
    <row r="56" spans="1:14" ht="43.5" hidden="1">
      <c r="A56" s="133">
        <v>9</v>
      </c>
      <c r="B56" s="170" t="str">
        <f t="shared" si="0"/>
        <v>Videos</v>
      </c>
      <c r="C56" s="134" t="s">
        <v>213</v>
      </c>
      <c r="D56" s="134" t="s">
        <v>111</v>
      </c>
      <c r="E56" s="171" t="str">
        <f t="shared" si="1"/>
        <v>Ensure auto-playing audio can be paused or stops within three seconds</v>
      </c>
      <c r="F56" s="53" t="s">
        <v>228</v>
      </c>
      <c r="G56" s="54" t="s">
        <v>227</v>
      </c>
      <c r="H56" s="51"/>
      <c r="I56" s="171" t="str">
        <f t="shared" si="2"/>
        <v>Provide audio controls for any auto playing content that plays for more than 3 seconds.</v>
      </c>
      <c r="J56" s="137" t="s">
        <v>228</v>
      </c>
      <c r="K56" s="137" t="s">
        <v>229</v>
      </c>
      <c r="L56" s="55" t="str">
        <f t="shared" si="3"/>
        <v>Not Relevant</v>
      </c>
      <c r="M56" s="52"/>
      <c r="N56" s="52"/>
    </row>
    <row r="57" spans="1:14" ht="57.65" hidden="1" customHeight="1">
      <c r="A57" s="133" t="s">
        <v>230</v>
      </c>
      <c r="B57" s="170" t="str">
        <f t="shared" si="0"/>
        <v>Advertising &amp; User Research</v>
      </c>
      <c r="C57" s="143" t="s">
        <v>231</v>
      </c>
      <c r="D57" s="143" t="s">
        <v>2</v>
      </c>
      <c r="E57" s="171" t="str">
        <f t="shared" si="1"/>
        <v>Ensure market research conducted for the project, will include individuals with disabilities in that research</v>
      </c>
      <c r="F57" s="53" t="s">
        <v>773</v>
      </c>
      <c r="G57" s="50" t="s">
        <v>913</v>
      </c>
      <c r="H57" s="51"/>
      <c r="I57" s="171" t="str">
        <f t="shared" si="2"/>
        <v>Consider including individuals with disabilities in any market research</v>
      </c>
      <c r="J57" s="137" t="s">
        <v>231</v>
      </c>
      <c r="K57" s="137" t="s">
        <v>912</v>
      </c>
      <c r="L57" s="55" t="str">
        <f t="shared" si="3"/>
        <v>Not Relevant</v>
      </c>
      <c r="M57" s="52"/>
      <c r="N57" s="52"/>
    </row>
    <row r="58" spans="1:14" ht="58" hidden="1">
      <c r="A58" s="144" t="s">
        <v>557</v>
      </c>
      <c r="B58" s="170" t="str">
        <f t="shared" si="0"/>
        <v>Advertising &amp; User Research</v>
      </c>
      <c r="C58" s="143" t="s">
        <v>231</v>
      </c>
      <c r="D58" s="143" t="s">
        <v>2</v>
      </c>
      <c r="E58" s="171" t="str">
        <f t="shared" si="1"/>
        <v>Ensure the marketing plan that identifies specific target populations also includes disability types</v>
      </c>
      <c r="F58" s="60" t="s">
        <v>774</v>
      </c>
      <c r="G58" s="53" t="s">
        <v>775</v>
      </c>
      <c r="H58" s="51"/>
      <c r="I58" s="173" t="str">
        <f>HYPERLINK(arcTarget &amp; "fwd.html?src=xlguide&amp;url=" &amp; arcTarget &amp; J58,K58)</f>
        <v>Consider including disabilities types among target populations identified by marketing plans</v>
      </c>
      <c r="J58" s="137" t="s">
        <v>231</v>
      </c>
      <c r="K58" s="145" t="s">
        <v>910</v>
      </c>
      <c r="L58" s="55" t="str">
        <f t="shared" si="3"/>
        <v>Not Relevant</v>
      </c>
      <c r="M58" s="61"/>
      <c r="N58" s="61"/>
    </row>
    <row r="59" spans="1:14" ht="58" hidden="1">
      <c r="A59" s="144" t="s">
        <v>559</v>
      </c>
      <c r="B59" s="170" t="str">
        <f t="shared" si="0"/>
        <v>Advertising &amp; User Research</v>
      </c>
      <c r="C59" s="143" t="s">
        <v>231</v>
      </c>
      <c r="D59" s="143" t="s">
        <v>2</v>
      </c>
      <c r="E59" s="172" t="str">
        <f>HYPERLINK(arcTarget &amp; "fwd.html?src=xlguide&amp;url=" &amp; arcTarget &amp; F59,G59)</f>
        <v>Ensure advertising created for this product, that include diversity requirements also include people with disabilities</v>
      </c>
      <c r="F59" s="60" t="s">
        <v>776</v>
      </c>
      <c r="G59" s="60" t="s">
        <v>778</v>
      </c>
      <c r="H59" s="51"/>
      <c r="I59" s="173" t="str">
        <f>HYPERLINK(arcTarget &amp; "fwd.html?src=xlguide&amp;url=" &amp; arcTarget &amp; J59,K59)</f>
        <v>Consider including people with disabilities in any advertising created for this product or service</v>
      </c>
      <c r="J59" s="137" t="s">
        <v>231</v>
      </c>
      <c r="K59" s="145" t="s">
        <v>911</v>
      </c>
      <c r="L59" s="55" t="str">
        <f t="shared" si="3"/>
        <v>Not Relevant</v>
      </c>
      <c r="M59" s="61"/>
      <c r="N59" s="61"/>
    </row>
    <row r="60" spans="1:14" ht="58" hidden="1">
      <c r="A60" s="144" t="s">
        <v>558</v>
      </c>
      <c r="B60" s="170" t="str">
        <f t="shared" si="0"/>
        <v>Advertising &amp; User Research</v>
      </c>
      <c r="C60" s="143" t="s">
        <v>231</v>
      </c>
      <c r="D60" s="143" t="s">
        <v>2</v>
      </c>
      <c r="E60" s="172" t="str">
        <f>HYPERLINK(arcTarget &amp; "fwd.html?src=xlguide&amp;url=" &amp; arcTarget &amp; F60,G60)</f>
        <v>Ensure product design research when conducted with users, also includes individuals with disabilities</v>
      </c>
      <c r="F60" s="53" t="s">
        <v>777</v>
      </c>
      <c r="G60" s="60" t="s">
        <v>779</v>
      </c>
      <c r="H60" s="51"/>
      <c r="I60" s="173" t="str">
        <f>HYPERLINK(arcTarget &amp; "fwd.html?src=xlguide&amp;url=" &amp; arcTarget &amp; J60,K60)</f>
        <v>Consider including individuals with disabilities if product design research will be conducted with users</v>
      </c>
      <c r="J60" s="137" t="s">
        <v>231</v>
      </c>
      <c r="K60" s="145" t="s">
        <v>909</v>
      </c>
      <c r="L60" s="55" t="str">
        <f t="shared" si="3"/>
        <v>Not Relevant</v>
      </c>
      <c r="M60" s="61"/>
      <c r="N60" s="61"/>
    </row>
    <row r="61" spans="1:14" ht="58" hidden="1">
      <c r="A61" s="133" t="s">
        <v>152</v>
      </c>
      <c r="B61" s="170" t="str">
        <f t="shared" si="0"/>
        <v>JavaScript Frameworks</v>
      </c>
      <c r="C61" s="135" t="s">
        <v>232</v>
      </c>
      <c r="D61" s="134" t="s">
        <v>49</v>
      </c>
      <c r="E61" s="171" t="str">
        <f t="shared" si="1"/>
        <v xml:space="preserve">JavaScript Frameworks must follow the guidance on JavaScript Library and Framework Accessibility </v>
      </c>
      <c r="F61" s="53" t="s">
        <v>232</v>
      </c>
      <c r="G61" s="54" t="s">
        <v>233</v>
      </c>
      <c r="H61" s="51"/>
      <c r="I61" s="171" t="str">
        <f t="shared" si="2"/>
        <v>See test cases in the Guide to JavaScript Library and Framework Accessibility</v>
      </c>
      <c r="J61" s="137" t="s">
        <v>232</v>
      </c>
      <c r="K61" s="137" t="s">
        <v>234</v>
      </c>
      <c r="L61" s="55" t="str">
        <f t="shared" si="3"/>
        <v>Not Relevant</v>
      </c>
      <c r="M61" s="52"/>
      <c r="N61" s="52"/>
    </row>
    <row r="62" spans="1:14" ht="72.5" hidden="1">
      <c r="A62" s="133">
        <v>30</v>
      </c>
      <c r="B62" s="170" t="str">
        <f t="shared" si="0"/>
        <v>JavaScript Frameworks</v>
      </c>
      <c r="C62" s="135" t="s">
        <v>232</v>
      </c>
      <c r="D62" s="134" t="s">
        <v>49</v>
      </c>
      <c r="E62" s="171" t="str">
        <f t="shared" si="1"/>
        <v>Ensure names, roles, states, properties, and values of user interface components are programmatically set and determined</v>
      </c>
      <c r="F62" s="53" t="s">
        <v>175</v>
      </c>
      <c r="G62" s="50" t="s">
        <v>235</v>
      </c>
      <c r="H62" s="51"/>
      <c r="I62" s="171" t="str">
        <f t="shared" si="2"/>
        <v>See iOS and Android test cases in UID 30 solutions.</v>
      </c>
      <c r="J62" s="137" t="s">
        <v>175</v>
      </c>
      <c r="K62" s="137" t="s">
        <v>236</v>
      </c>
      <c r="L62" s="55" t="str">
        <f t="shared" si="3"/>
        <v>Not Relevant</v>
      </c>
      <c r="M62" s="52"/>
      <c r="N62" s="52"/>
    </row>
    <row r="63" spans="1:14" ht="43.5" hidden="1">
      <c r="A63" s="133" t="s">
        <v>152</v>
      </c>
      <c r="B63" s="170" t="str">
        <f t="shared" si="0"/>
        <v>Chat Fast Pass</v>
      </c>
      <c r="C63" s="53" t="s">
        <v>237</v>
      </c>
      <c r="D63" s="135" t="s">
        <v>908</v>
      </c>
      <c r="E63" s="171" t="str">
        <f t="shared" si="1"/>
        <v>Chat Fast Passes must follow the guidance on Chat Fast Pass Accessibility</v>
      </c>
      <c r="F63" s="53" t="s">
        <v>237</v>
      </c>
      <c r="G63" s="54" t="s">
        <v>238</v>
      </c>
      <c r="H63" s="51"/>
      <c r="I63" s="171" t="str">
        <f t="shared" si="2"/>
        <v>See test cases in the Guide to Chat Fast Pass Accessibility</v>
      </c>
      <c r="J63" s="137" t="s">
        <v>237</v>
      </c>
      <c r="K63" s="137" t="s">
        <v>239</v>
      </c>
      <c r="L63" s="55" t="str">
        <f t="shared" si="3"/>
        <v>Not Relevant</v>
      </c>
      <c r="M63" s="52"/>
      <c r="N63" s="52"/>
    </row>
    <row r="64" spans="1:14" ht="43.5" hidden="1">
      <c r="A64" s="133" t="s">
        <v>240</v>
      </c>
      <c r="B64" s="170" t="str">
        <f t="shared" si="0"/>
        <v>SMS Text Message</v>
      </c>
      <c r="C64" s="134" t="s">
        <v>825</v>
      </c>
      <c r="D64" s="135" t="s">
        <v>241</v>
      </c>
      <c r="E64" s="171" t="str">
        <f t="shared" si="1"/>
        <v>Make content easily readable and understandable.</v>
      </c>
      <c r="F64" s="53" t="s">
        <v>835</v>
      </c>
      <c r="G64" s="50" t="s">
        <v>197</v>
      </c>
      <c r="H64" s="51"/>
      <c r="I64" s="171" t="str">
        <f t="shared" si="2"/>
        <v>Use Flesch-Kincaid to measure and ensure readability grade level of 9.9 or below.</v>
      </c>
      <c r="J64" s="53" t="s">
        <v>146</v>
      </c>
      <c r="K64" s="137" t="s">
        <v>242</v>
      </c>
      <c r="L64" s="55" t="str">
        <f t="shared" si="3"/>
        <v>Not Relevant</v>
      </c>
      <c r="M64" s="52"/>
      <c r="N64" s="52"/>
    </row>
    <row r="65" spans="1:14" ht="58" hidden="1">
      <c r="A65" s="133" t="s">
        <v>243</v>
      </c>
      <c r="B65" s="170" t="str">
        <f t="shared" si="0"/>
        <v>IVR Prompts</v>
      </c>
      <c r="C65" s="146" t="s">
        <v>247</v>
      </c>
      <c r="D65" s="147" t="s">
        <v>87</v>
      </c>
      <c r="E65" s="171" t="str">
        <f t="shared" si="1"/>
        <v xml:space="preserve">The IVR is functional in a way that minimizes the cognitive skills required of the user. _x000D_
</v>
      </c>
      <c r="F65" s="53" t="s">
        <v>836</v>
      </c>
      <c r="G65" s="54" t="s">
        <v>244</v>
      </c>
      <c r="H65" s="51"/>
      <c r="I65" s="171" t="str">
        <f t="shared" si="2"/>
        <v>Use Flesch-Kincaid to measure readability grade level of 6.9 or below.</v>
      </c>
      <c r="J65" s="53" t="s">
        <v>146</v>
      </c>
      <c r="K65" s="137" t="s">
        <v>245</v>
      </c>
      <c r="L65" s="55" t="str">
        <f t="shared" si="3"/>
        <v>Not Relevant</v>
      </c>
      <c r="M65" s="52"/>
      <c r="N65" s="52"/>
    </row>
    <row r="66" spans="1:14" ht="58" hidden="1">
      <c r="A66" s="133" t="s">
        <v>246</v>
      </c>
      <c r="B66" s="170" t="str">
        <f t="shared" si="0"/>
        <v>IVR Prompts</v>
      </c>
      <c r="C66" s="146" t="s">
        <v>247</v>
      </c>
      <c r="D66" s="148" t="s">
        <v>87</v>
      </c>
      <c r="E66" s="171" t="str">
        <f t="shared" si="1"/>
        <v xml:space="preserve">The IVR is functional for users with hearing, but who are hard of hearing._x000D_
</v>
      </c>
      <c r="F66" s="53" t="s">
        <v>836</v>
      </c>
      <c r="G66" s="50" t="s">
        <v>248</v>
      </c>
      <c r="H66" s="51"/>
      <c r="I66" s="171" t="str">
        <f t="shared" si="2"/>
        <v>Messages should be clear, intelligible, and professionally recorded at a recording studio</v>
      </c>
      <c r="J66" s="137" t="s">
        <v>247</v>
      </c>
      <c r="K66" s="137" t="s">
        <v>249</v>
      </c>
      <c r="L66" s="55" t="str">
        <f t="shared" si="3"/>
        <v>Not Relevant</v>
      </c>
      <c r="M66" s="52"/>
      <c r="N66" s="52"/>
    </row>
    <row r="67" spans="1:14" ht="58" hidden="1">
      <c r="A67" s="133" t="s">
        <v>250</v>
      </c>
      <c r="B67" s="170" t="str">
        <f t="shared" si="0"/>
        <v>IVR Timeouts</v>
      </c>
      <c r="C67" s="146" t="s">
        <v>251</v>
      </c>
      <c r="D67" s="146" t="s">
        <v>89</v>
      </c>
      <c r="E67" s="171" t="str">
        <f t="shared" si="1"/>
        <v xml:space="preserve">The IVR does not require a response time or allows response time to be by-passed or adjusted by the user. </v>
      </c>
      <c r="F67" s="53" t="s">
        <v>534</v>
      </c>
      <c r="G67" s="54" t="s">
        <v>252</v>
      </c>
      <c r="H67" s="51"/>
      <c r="I67" s="171" t="str">
        <f t="shared" si="2"/>
        <v xml:space="preserve">Verify that the IVR has extended time out(s), user profile control(s), or bypass functionality. </v>
      </c>
      <c r="J67" s="137" t="s">
        <v>251</v>
      </c>
      <c r="K67" s="137" t="s">
        <v>253</v>
      </c>
      <c r="L67" s="55" t="str">
        <f t="shared" si="3"/>
        <v>Not Relevant</v>
      </c>
      <c r="M67" s="52"/>
      <c r="N67" s="52"/>
    </row>
    <row r="68" spans="1:14" ht="43.5" hidden="1">
      <c r="A68" s="133" t="s">
        <v>254</v>
      </c>
      <c r="B68" s="170" t="str">
        <f t="shared" si="0"/>
        <v>Automated Outbound (AO)</v>
      </c>
      <c r="C68" s="146" t="s">
        <v>255</v>
      </c>
      <c r="D68" s="149" t="s">
        <v>65</v>
      </c>
      <c r="E68" s="171" t="str">
        <f t="shared" si="1"/>
        <v xml:space="preserve">The automated outbound phone message will also play a message in TTY-compatible Baudot tones </v>
      </c>
      <c r="F68" s="53" t="s">
        <v>524</v>
      </c>
      <c r="G68" s="50" t="s">
        <v>256</v>
      </c>
      <c r="H68" s="51"/>
      <c r="I68" s="171" t="str">
        <f t="shared" si="2"/>
        <v>Verify the displayed message on the TTY is identical to the spoken message.</v>
      </c>
      <c r="J68" s="137" t="s">
        <v>255</v>
      </c>
      <c r="K68" s="137" t="s">
        <v>257</v>
      </c>
      <c r="L68" s="55" t="str">
        <f t="shared" si="3"/>
        <v>Not Relevant</v>
      </c>
      <c r="M68" s="52"/>
      <c r="N68" s="52"/>
    </row>
    <row r="69" spans="1:14" ht="43.5" hidden="1">
      <c r="A69" s="133" t="s">
        <v>243</v>
      </c>
      <c r="B69" s="170" t="str">
        <f t="shared" si="0"/>
        <v>Automated Outbound (AO)</v>
      </c>
      <c r="C69" s="146" t="s">
        <v>255</v>
      </c>
      <c r="D69" s="150" t="s">
        <v>65</v>
      </c>
      <c r="E69" s="171" t="str">
        <f t="shared" si="1"/>
        <v>Make content easily understandable.</v>
      </c>
      <c r="F69" s="53" t="s">
        <v>836</v>
      </c>
      <c r="G69" s="54" t="s">
        <v>258</v>
      </c>
      <c r="H69" s="51"/>
      <c r="I69" s="171" t="str">
        <f t="shared" si="2"/>
        <v>Use Flesch-Kincaid to measure readability grade level of 6.9 or below.</v>
      </c>
      <c r="J69" s="53" t="s">
        <v>146</v>
      </c>
      <c r="K69" s="137" t="s">
        <v>245</v>
      </c>
      <c r="L69" s="55" t="str">
        <f t="shared" si="3"/>
        <v>Not Relevant</v>
      </c>
      <c r="M69" s="52"/>
      <c r="N69" s="52"/>
    </row>
    <row r="70" spans="1:14" ht="43.5" hidden="1">
      <c r="A70" s="133" t="s">
        <v>152</v>
      </c>
      <c r="B70" s="170" t="str">
        <f t="shared" si="0"/>
        <v>Forms</v>
      </c>
      <c r="C70" s="146" t="s">
        <v>262</v>
      </c>
      <c r="D70" s="150" t="s">
        <v>259</v>
      </c>
      <c r="E70" s="171" t="str">
        <f t="shared" si="1"/>
        <v>Forms must follow the guidance on the Guide to Web Form Accessibility.</v>
      </c>
      <c r="F70" s="53" t="s">
        <v>260</v>
      </c>
      <c r="G70" s="50" t="s">
        <v>261</v>
      </c>
      <c r="H70" s="51"/>
      <c r="I70" s="171" t="str">
        <f t="shared" si="2"/>
        <v>See the Guide to Web Form Accessibility, Step by Step testing section.</v>
      </c>
      <c r="J70" s="151" t="s">
        <v>262</v>
      </c>
      <c r="K70" s="151" t="s">
        <v>263</v>
      </c>
      <c r="L70" s="55" t="str">
        <f t="shared" si="3"/>
        <v>Not Relevant</v>
      </c>
      <c r="M70" s="52"/>
      <c r="N70" s="52"/>
    </row>
    <row r="71" spans="1:14" ht="87" hidden="1">
      <c r="A71" s="133">
        <v>35</v>
      </c>
      <c r="B71" s="170" t="str">
        <f t="shared" si="0"/>
        <v>Forms</v>
      </c>
      <c r="C71" s="146" t="s">
        <v>262</v>
      </c>
      <c r="D71" s="150" t="s">
        <v>259</v>
      </c>
      <c r="E71" s="171" t="str">
        <f t="shared" si="1"/>
        <v>Whenever possible, validate information entered by our customer. When an error is found, show the customer where it happened and describe the error in text.</v>
      </c>
      <c r="F71" s="53" t="s">
        <v>264</v>
      </c>
      <c r="G71" s="54" t="s">
        <v>265</v>
      </c>
      <c r="H71" s="51"/>
      <c r="I71" s="171" t="str">
        <f t="shared" si="2"/>
        <v>See the Guide to Web Form Accessibility, Step by Step testing section.</v>
      </c>
      <c r="J71" s="151" t="s">
        <v>262</v>
      </c>
      <c r="K71" s="151" t="s">
        <v>263</v>
      </c>
      <c r="L71" s="55" t="str">
        <f t="shared" si="3"/>
        <v>Not Relevant</v>
      </c>
      <c r="M71" s="52"/>
      <c r="N71" s="52"/>
    </row>
    <row r="72" spans="1:14" ht="43.5" hidden="1">
      <c r="A72" s="133">
        <v>36</v>
      </c>
      <c r="B72" s="170" t="str">
        <f t="shared" si="0"/>
        <v>Forms</v>
      </c>
      <c r="C72" s="146" t="s">
        <v>262</v>
      </c>
      <c r="D72" s="150" t="s">
        <v>259</v>
      </c>
      <c r="E72" s="171" t="str">
        <f t="shared" si="1"/>
        <v>Help customers avoid errors whenever they enter information</v>
      </c>
      <c r="F72" s="53" t="s">
        <v>266</v>
      </c>
      <c r="G72" s="50" t="s">
        <v>267</v>
      </c>
      <c r="H72" s="51"/>
      <c r="I72" s="171" t="str">
        <f t="shared" si="2"/>
        <v>See the Guide to Web Form Accessibility, Step by Step testing section.</v>
      </c>
      <c r="J72" s="151" t="s">
        <v>262</v>
      </c>
      <c r="K72" s="151" t="s">
        <v>263</v>
      </c>
      <c r="L72" s="55" t="str">
        <f t="shared" si="3"/>
        <v>Not Relevant</v>
      </c>
      <c r="M72" s="52"/>
      <c r="N72" s="52"/>
    </row>
    <row r="73" spans="1:14" ht="72.5" hidden="1">
      <c r="A73" s="133">
        <v>37</v>
      </c>
      <c r="B73" s="170" t="str">
        <f t="shared" si="0"/>
        <v>Forms</v>
      </c>
      <c r="C73" s="146" t="s">
        <v>262</v>
      </c>
      <c r="D73" s="150" t="s">
        <v>259</v>
      </c>
      <c r="E73" s="171" t="str">
        <f t="shared" si="1"/>
        <v>When content sets a time limit for action, give our customer a way to control that time limit, unless security prevents the possibility of such control</v>
      </c>
      <c r="F73" s="53" t="s">
        <v>268</v>
      </c>
      <c r="G73" s="54" t="s">
        <v>269</v>
      </c>
      <c r="H73" s="51"/>
      <c r="I73" s="171" t="str">
        <f t="shared" si="2"/>
        <v>See the Guide to Web Form Accessibility, Step by Step testing section.</v>
      </c>
      <c r="J73" s="151" t="s">
        <v>262</v>
      </c>
      <c r="K73" s="151" t="s">
        <v>263</v>
      </c>
      <c r="L73" s="55" t="str">
        <f t="shared" si="3"/>
        <v>Not Relevant</v>
      </c>
      <c r="M73" s="52"/>
      <c r="N73" s="52"/>
    </row>
    <row r="74" spans="1:14" ht="43.5" hidden="1">
      <c r="A74" s="133">
        <v>39</v>
      </c>
      <c r="B74" s="170" t="str">
        <f t="shared" si="0"/>
        <v>Forms</v>
      </c>
      <c r="C74" s="146" t="s">
        <v>262</v>
      </c>
      <c r="D74" s="150" t="s">
        <v>259</v>
      </c>
      <c r="E74" s="171" t="str">
        <f t="shared" si="1"/>
        <v>Suggest corrections for form input errors whenever possible</v>
      </c>
      <c r="F74" s="53" t="s">
        <v>270</v>
      </c>
      <c r="G74" s="50" t="s">
        <v>271</v>
      </c>
      <c r="H74" s="51"/>
      <c r="I74" s="171" t="str">
        <f t="shared" si="2"/>
        <v>See the Guide to Web Form Accessibility, Step by Step testing section.</v>
      </c>
      <c r="J74" s="151" t="s">
        <v>262</v>
      </c>
      <c r="K74" s="151" t="s">
        <v>263</v>
      </c>
      <c r="L74" s="55" t="str">
        <f t="shared" si="3"/>
        <v>Not Relevant</v>
      </c>
      <c r="M74" s="52"/>
      <c r="N74" s="52"/>
    </row>
    <row r="75" spans="1:14" ht="43.5" hidden="1">
      <c r="A75" s="133">
        <v>40</v>
      </c>
      <c r="B75" s="170" t="str">
        <f t="shared" si="0"/>
        <v>Forms</v>
      </c>
      <c r="C75" s="146" t="s">
        <v>262</v>
      </c>
      <c r="D75" s="150" t="s">
        <v>259</v>
      </c>
      <c r="E75" s="171" t="str">
        <f t="shared" si="1"/>
        <v>Use labels and instructions to give our customers clear direction for filling out forms</v>
      </c>
      <c r="F75" s="53" t="s">
        <v>272</v>
      </c>
      <c r="G75" s="54" t="s">
        <v>273</v>
      </c>
      <c r="H75" s="51"/>
      <c r="I75" s="171" t="str">
        <f t="shared" si="2"/>
        <v>See the Guide to Web Form Accessibility, Step by Step testing section.</v>
      </c>
      <c r="J75" s="151" t="s">
        <v>262</v>
      </c>
      <c r="K75" s="151" t="s">
        <v>263</v>
      </c>
      <c r="L75" s="55" t="str">
        <f t="shared" si="3"/>
        <v>Not Relevant</v>
      </c>
      <c r="M75" s="52"/>
      <c r="N75" s="52"/>
    </row>
    <row r="76" spans="1:14" ht="43.5" hidden="1">
      <c r="A76" s="133" t="s">
        <v>152</v>
      </c>
      <c r="B76" s="170" t="str">
        <f t="shared" si="0"/>
        <v>CSS</v>
      </c>
      <c r="C76" s="146" t="s">
        <v>274</v>
      </c>
      <c r="D76" s="150" t="s">
        <v>39</v>
      </c>
      <c r="E76" s="171" t="str">
        <f t="shared" si="1"/>
        <v>Cascading style sheets (CSS) work must follow the guidance on the CSS Accessibility Guide.</v>
      </c>
      <c r="F76" s="53" t="s">
        <v>274</v>
      </c>
      <c r="G76" s="50" t="s">
        <v>275</v>
      </c>
      <c r="H76" s="51"/>
      <c r="I76" s="171" t="str">
        <f t="shared" si="2"/>
        <v>See the CSS Accessibility Guide Step by Step testing section.</v>
      </c>
      <c r="J76" s="151" t="s">
        <v>274</v>
      </c>
      <c r="K76" s="151" t="s">
        <v>276</v>
      </c>
      <c r="L76" s="55" t="str">
        <f t="shared" si="3"/>
        <v>Not Relevant</v>
      </c>
      <c r="M76" s="52"/>
      <c r="N76" s="52"/>
    </row>
    <row r="77" spans="1:14" ht="87" hidden="1">
      <c r="A77" s="133">
        <v>1</v>
      </c>
      <c r="B77" s="170" t="str">
        <f t="shared" si="0"/>
        <v>Mobile App Animation</v>
      </c>
      <c r="C77" s="146" t="s">
        <v>279</v>
      </c>
      <c r="D77" s="150" t="s">
        <v>93</v>
      </c>
      <c r="E77" s="171" t="str">
        <f t="shared" si="1"/>
        <v>When the content of the page automatically moves, blinks or scrolls for more than 5 seconds, or if information automatically updates, give the customer a way to control that action.</v>
      </c>
      <c r="F77" s="53" t="s">
        <v>277</v>
      </c>
      <c r="G77" s="54" t="s">
        <v>278</v>
      </c>
      <c r="H77" s="51"/>
      <c r="I77" s="171" t="str">
        <f t="shared" si="2"/>
        <v xml:space="preserve">iOS: the iOS media playback view is used and provides controls._x000D_
Android: Developer provides control elements to pause and start media or animation._x000D_
</v>
      </c>
      <c r="J77" s="151" t="s">
        <v>279</v>
      </c>
      <c r="K77" s="151" t="s">
        <v>280</v>
      </c>
      <c r="L77" s="55" t="str">
        <f t="shared" si="3"/>
        <v>Not Relevant</v>
      </c>
      <c r="M77" s="52"/>
      <c r="N77" s="52"/>
    </row>
    <row r="78" spans="1:14" ht="43.5" hidden="1">
      <c r="A78" s="133">
        <v>3</v>
      </c>
      <c r="B78" s="170" t="str">
        <f t="shared" si="0"/>
        <v>Mobile App Animation</v>
      </c>
      <c r="C78" s="146" t="s">
        <v>279</v>
      </c>
      <c r="D78" s="150" t="s">
        <v>93</v>
      </c>
      <c r="E78" s="171" t="str">
        <f t="shared" si="1"/>
        <v>Ensure that flashing content meets WCAG flash and threshold requirements.</v>
      </c>
      <c r="F78" s="53" t="s">
        <v>281</v>
      </c>
      <c r="G78" s="50" t="s">
        <v>282</v>
      </c>
      <c r="H78" s="51"/>
      <c r="I78" s="171" t="str">
        <f t="shared" si="2"/>
        <v>Elements blink or flash within a safe threshold</v>
      </c>
      <c r="J78" s="151" t="s">
        <v>279</v>
      </c>
      <c r="K78" s="151" t="s">
        <v>283</v>
      </c>
      <c r="L78" s="55" t="str">
        <f t="shared" si="3"/>
        <v>Not Relevant</v>
      </c>
      <c r="M78" s="52"/>
      <c r="N78" s="52"/>
    </row>
    <row r="79" spans="1:14" ht="58" hidden="1">
      <c r="A79" s="133">
        <v>15</v>
      </c>
      <c r="B79" s="170" t="str">
        <f t="shared" si="0"/>
        <v>Mobile App Dynamic Content</v>
      </c>
      <c r="C79" s="146" t="s">
        <v>286</v>
      </c>
      <c r="D79" s="146" t="s">
        <v>95</v>
      </c>
      <c r="E79" s="171" t="str">
        <f t="shared" si="1"/>
        <v>Avoid changes of context without user awareness</v>
      </c>
      <c r="F79" s="53" t="s">
        <v>284</v>
      </c>
      <c r="G79" s="54" t="s">
        <v>285</v>
      </c>
      <c r="H79" s="51"/>
      <c r="I79" s="171" t="str">
        <f t="shared" si="2"/>
        <v xml:space="preserve">iOS: use traits to indicate state._x000D_
Android: use ContentDescription to indicate state._x000D_
</v>
      </c>
      <c r="J79" s="151" t="s">
        <v>286</v>
      </c>
      <c r="K79" s="151" t="s">
        <v>287</v>
      </c>
      <c r="L79" s="55" t="str">
        <f t="shared" si="3"/>
        <v>Not Relevant</v>
      </c>
      <c r="M79" s="52"/>
      <c r="N79" s="52"/>
    </row>
    <row r="80" spans="1:14" ht="87" hidden="1">
      <c r="A80" s="133">
        <v>41</v>
      </c>
      <c r="B80" s="170" t="str">
        <f t="shared" si="0"/>
        <v>Mobile App Images</v>
      </c>
      <c r="C80" s="146" t="s">
        <v>290</v>
      </c>
      <c r="D80" s="146" t="s">
        <v>101</v>
      </c>
      <c r="E80" s="171" t="str">
        <f t="shared" si="1"/>
        <v>Provide textual alternative for all images</v>
      </c>
      <c r="F80" s="53" t="s">
        <v>288</v>
      </c>
      <c r="G80" s="50" t="s">
        <v>289</v>
      </c>
      <c r="H80" s="51"/>
      <c r="I80" s="171" t="str">
        <f t="shared" si="2"/>
        <v xml:space="preserve">iOS: add concise alternatives via the accessibilityLabel attribute._x000D_
Android: add concise alternatives via the contentDescription attribute_x000D_
</v>
      </c>
      <c r="J80" s="151" t="s">
        <v>290</v>
      </c>
      <c r="K80" s="151" t="s">
        <v>291</v>
      </c>
      <c r="L80" s="55" t="str">
        <f t="shared" si="3"/>
        <v>Not Relevant</v>
      </c>
      <c r="M80" s="52"/>
      <c r="N80" s="52"/>
    </row>
    <row r="81" spans="1:14" ht="43.5" hidden="1">
      <c r="A81" s="133">
        <v>43</v>
      </c>
      <c r="B81" s="170" t="str">
        <f t="shared" si="0"/>
        <v>Mobile App Images</v>
      </c>
      <c r="C81" s="146" t="s">
        <v>290</v>
      </c>
      <c r="D81" s="146" t="s">
        <v>101</v>
      </c>
      <c r="E81" s="171" t="str">
        <f t="shared" si="1"/>
        <v>Use live text instead of images where possible.</v>
      </c>
      <c r="F81" s="53" t="s">
        <v>292</v>
      </c>
      <c r="G81" s="54" t="s">
        <v>138</v>
      </c>
      <c r="H81" s="51"/>
      <c r="I81" s="171" t="str">
        <f t="shared" si="2"/>
        <v>iOS &amp; Android: use text label elements rather than images of text.</v>
      </c>
      <c r="J81" s="151" t="s">
        <v>290</v>
      </c>
      <c r="K81" s="151" t="s">
        <v>293</v>
      </c>
      <c r="L81" s="55" t="str">
        <f t="shared" si="3"/>
        <v>Not Relevant</v>
      </c>
      <c r="M81" s="52"/>
      <c r="N81" s="52"/>
    </row>
    <row r="82" spans="1:14" ht="43.5">
      <c r="A82" s="133">
        <v>12</v>
      </c>
      <c r="B82" s="170" t="str">
        <f t="shared" si="0"/>
        <v>Navigation</v>
      </c>
      <c r="C82" s="146" t="s">
        <v>297</v>
      </c>
      <c r="D82" s="146" t="s">
        <v>294</v>
      </c>
      <c r="E82" s="171" t="str">
        <f t="shared" si="1"/>
        <v>Foreground text and background color contrast ratio should be 4.5:1 or greater</v>
      </c>
      <c r="F82" s="53" t="s">
        <v>333</v>
      </c>
      <c r="G82" s="50" t="s">
        <v>142</v>
      </c>
      <c r="H82" s="51"/>
      <c r="I82" s="171" t="str">
        <f t="shared" si="2"/>
        <v>Test using the Colour Contrast Analyser or the WAT (Web Accessibility Toolbar)</v>
      </c>
      <c r="J82" s="137" t="s">
        <v>141</v>
      </c>
      <c r="K82" s="137" t="s">
        <v>143</v>
      </c>
      <c r="L82" s="55" t="str">
        <f t="shared" si="3"/>
        <v>Not Relevant</v>
      </c>
      <c r="M82" s="196" t="s">
        <v>1033</v>
      </c>
      <c r="N82" s="52"/>
    </row>
    <row r="83" spans="1:14" ht="43.5">
      <c r="A83" s="133">
        <v>20</v>
      </c>
      <c r="B83" s="170" t="str">
        <f t="shared" si="0"/>
        <v>Navigation</v>
      </c>
      <c r="C83" s="146" t="s">
        <v>297</v>
      </c>
      <c r="D83" s="146" t="s">
        <v>294</v>
      </c>
      <c r="E83" s="171" t="str">
        <f t="shared" si="1"/>
        <v>Make content easily readable and understandable</v>
      </c>
      <c r="F83" s="53" t="s">
        <v>196</v>
      </c>
      <c r="G83" s="54" t="s">
        <v>147</v>
      </c>
      <c r="H83" s="51"/>
      <c r="I83" s="171" t="str">
        <f t="shared" si="2"/>
        <v>Use Flesch-Kincaid to measure readability grade level of 9.9 or below.</v>
      </c>
      <c r="J83" s="53" t="s">
        <v>146</v>
      </c>
      <c r="K83" s="137" t="s">
        <v>148</v>
      </c>
      <c r="L83" s="55" t="str">
        <f t="shared" si="3"/>
        <v>Not Relevant</v>
      </c>
      <c r="M83" s="196" t="s">
        <v>1034</v>
      </c>
      <c r="N83" s="52"/>
    </row>
    <row r="84" spans="1:14" ht="29">
      <c r="A84" s="133">
        <v>21</v>
      </c>
      <c r="B84" s="170" t="str">
        <f t="shared" ref="B84:B147" si="4">HYPERLINK(arcTarget &amp; "fwd/?src=xlguide&amp;url=" &amp; arcTarget &amp; C84,D84)</f>
        <v>Navigation</v>
      </c>
      <c r="C84" s="146" t="s">
        <v>297</v>
      </c>
      <c r="D84" s="146" t="s">
        <v>294</v>
      </c>
      <c r="E84" s="171" t="str">
        <f t="shared" si="1"/>
        <v>Link text must clearly identify destination or action</v>
      </c>
      <c r="F84" s="53" t="s">
        <v>831</v>
      </c>
      <c r="G84" s="50" t="s">
        <v>150</v>
      </c>
      <c r="H84" s="51"/>
      <c r="I84" s="171" t="str">
        <f t="shared" si="2"/>
        <v>Ensure link text clearly identifies destination or action.</v>
      </c>
      <c r="J84" s="137" t="s">
        <v>149</v>
      </c>
      <c r="K84" s="137" t="s">
        <v>151</v>
      </c>
      <c r="L84" s="55" t="str">
        <f t="shared" si="3"/>
        <v>Not Relevant</v>
      </c>
      <c r="M84" s="196" t="s">
        <v>1035</v>
      </c>
      <c r="N84" s="52"/>
    </row>
    <row r="85" spans="1:14" ht="130.5">
      <c r="A85" s="133">
        <v>50</v>
      </c>
      <c r="B85" s="170" t="str">
        <f t="shared" si="4"/>
        <v>Navigation</v>
      </c>
      <c r="C85" s="146" t="s">
        <v>297</v>
      </c>
      <c r="D85" s="146" t="s">
        <v>294</v>
      </c>
      <c r="E85" s="171" t="str">
        <f t="shared" si="1"/>
        <v>Ensure navigation is logical and easy-to-use</v>
      </c>
      <c r="F85" s="53" t="s">
        <v>295</v>
      </c>
      <c r="G85" s="54" t="s">
        <v>296</v>
      </c>
      <c r="H85" s="51"/>
      <c r="I85" s="171" t="str">
        <f t="shared" si="2"/>
        <v xml:space="preserve">For each component, check that it appears in the same relative order with regard to other repeated components on each Web page where it appears. For each navigational component, verify links or programmatic references are in the same relative order. </v>
      </c>
      <c r="J85" s="151" t="s">
        <v>297</v>
      </c>
      <c r="K85" s="151" t="s">
        <v>298</v>
      </c>
      <c r="L85" s="55" t="str">
        <f t="shared" ref="L85:L148" si="5">IF(OR($H85="Not Relevant",$H85=""), "Not Relevant","")</f>
        <v>Not Relevant</v>
      </c>
      <c r="M85" s="196" t="s">
        <v>1036</v>
      </c>
      <c r="N85" s="52"/>
    </row>
    <row r="86" spans="1:14" ht="43.5" hidden="1">
      <c r="A86" s="133">
        <v>12</v>
      </c>
      <c r="B86" s="170" t="str">
        <f t="shared" si="4"/>
        <v>Email</v>
      </c>
      <c r="C86" s="146" t="s">
        <v>301</v>
      </c>
      <c r="D86" s="146" t="s">
        <v>75</v>
      </c>
      <c r="E86" s="171" t="str">
        <f t="shared" si="1"/>
        <v>Foreground text and background color contrast ratio should be 4.5:1 or greater</v>
      </c>
      <c r="F86" s="53" t="s">
        <v>333</v>
      </c>
      <c r="G86" s="50" t="s">
        <v>142</v>
      </c>
      <c r="H86" s="51"/>
      <c r="I86" s="171" t="str">
        <f t="shared" si="2"/>
        <v>Test using the Colour Contrast Analyser or the WAT (Web Accessibility Toolbar)</v>
      </c>
      <c r="J86" s="137" t="s">
        <v>141</v>
      </c>
      <c r="K86" s="137" t="s">
        <v>143</v>
      </c>
      <c r="L86" s="55" t="str">
        <f t="shared" si="5"/>
        <v>Not Relevant</v>
      </c>
      <c r="M86" s="52"/>
      <c r="N86" s="52"/>
    </row>
    <row r="87" spans="1:14" ht="87" hidden="1">
      <c r="A87" s="133">
        <v>17</v>
      </c>
      <c r="B87" s="170" t="str">
        <f t="shared" si="4"/>
        <v>Email</v>
      </c>
      <c r="C87" s="146" t="s">
        <v>301</v>
      </c>
      <c r="D87" s="146" t="s">
        <v>75</v>
      </c>
      <c r="E87" s="171" t="str">
        <f t="shared" si="1"/>
        <v xml:space="preserve">Properly code headings and important information </v>
      </c>
      <c r="F87" s="53" t="s">
        <v>165</v>
      </c>
      <c r="G87" s="54" t="s">
        <v>166</v>
      </c>
      <c r="H87" s="51"/>
      <c r="I87" s="171" t="str">
        <f t="shared" si="2"/>
        <v>Inspect the HTML source code for the appropriate semantic markup. Verify form elements are visually labelled and announced properly by a screen reader.</v>
      </c>
      <c r="J87" s="137" t="s">
        <v>167</v>
      </c>
      <c r="K87" s="137" t="s">
        <v>168</v>
      </c>
      <c r="L87" s="55" t="str">
        <f t="shared" si="5"/>
        <v>Not Relevant</v>
      </c>
      <c r="M87" s="52"/>
      <c r="N87" s="52"/>
    </row>
    <row r="88" spans="1:14" ht="43.5" hidden="1">
      <c r="A88" s="133">
        <v>18</v>
      </c>
      <c r="B88" s="170" t="str">
        <f t="shared" si="4"/>
        <v>Email</v>
      </c>
      <c r="C88" s="146" t="s">
        <v>301</v>
      </c>
      <c r="D88" s="146" t="s">
        <v>75</v>
      </c>
      <c r="E88" s="171" t="str">
        <f t="shared" si="1"/>
        <v xml:space="preserve">Add correct markup for a page or app’s language </v>
      </c>
      <c r="F88" s="53" t="s">
        <v>169</v>
      </c>
      <c r="G88" s="50" t="s">
        <v>170</v>
      </c>
      <c r="H88" s="51"/>
      <c r="I88" s="171" t="str">
        <f t="shared" si="2"/>
        <v>View the DOM of the page and verify HTML elements contain a valid lang attribute.</v>
      </c>
      <c r="J88" s="137" t="s">
        <v>167</v>
      </c>
      <c r="K88" s="137" t="s">
        <v>171</v>
      </c>
      <c r="L88" s="55" t="str">
        <f t="shared" si="5"/>
        <v>Not Relevant</v>
      </c>
      <c r="M88" s="52"/>
      <c r="N88" s="52"/>
    </row>
    <row r="89" spans="1:14" ht="43.5" hidden="1">
      <c r="A89" s="133">
        <v>20</v>
      </c>
      <c r="B89" s="170" t="str">
        <f t="shared" si="4"/>
        <v>Email</v>
      </c>
      <c r="C89" s="146" t="s">
        <v>301</v>
      </c>
      <c r="D89" s="146" t="s">
        <v>75</v>
      </c>
      <c r="E89" s="171" t="str">
        <f t="shared" si="1"/>
        <v>Make content easily readable and understandable</v>
      </c>
      <c r="F89" s="53" t="s">
        <v>196</v>
      </c>
      <c r="G89" s="54" t="s">
        <v>147</v>
      </c>
      <c r="H89" s="51"/>
      <c r="I89" s="171" t="str">
        <f t="shared" si="2"/>
        <v>Use Flesch-Kincaid to measure readability grade level of 9.9 or below.</v>
      </c>
      <c r="J89" s="53" t="s">
        <v>146</v>
      </c>
      <c r="K89" s="137" t="s">
        <v>148</v>
      </c>
      <c r="L89" s="55" t="str">
        <f t="shared" si="5"/>
        <v>Not Relevant</v>
      </c>
      <c r="M89" s="52"/>
      <c r="N89" s="52"/>
    </row>
    <row r="90" spans="1:14" ht="29" hidden="1">
      <c r="A90" s="133">
        <v>21</v>
      </c>
      <c r="B90" s="170" t="str">
        <f t="shared" si="4"/>
        <v>Email</v>
      </c>
      <c r="C90" s="146" t="s">
        <v>301</v>
      </c>
      <c r="D90" s="146" t="s">
        <v>75</v>
      </c>
      <c r="E90" s="171" t="str">
        <f t="shared" ref="E90:E152" si="6">HYPERLINK(arcTarget &amp; "fwd/?src=xlguide&amp;url=" &amp; arcTarget &amp; F90,G90)</f>
        <v>Link text must clearly identify destination or action</v>
      </c>
      <c r="F90" s="53" t="s">
        <v>831</v>
      </c>
      <c r="G90" s="50" t="s">
        <v>150</v>
      </c>
      <c r="H90" s="51"/>
      <c r="I90" s="171" t="str">
        <f t="shared" ref="I90:I152" si="7">HYPERLINK(arcTarget &amp; "fwd/?src=xlguide&amp;url=" &amp; arcTarget &amp; J90,K90)</f>
        <v>Ensure link text clearly identifies destination or action.</v>
      </c>
      <c r="J90" s="137" t="s">
        <v>149</v>
      </c>
      <c r="K90" s="137" t="s">
        <v>151</v>
      </c>
      <c r="L90" s="55" t="str">
        <f t="shared" si="5"/>
        <v>Not Relevant</v>
      </c>
      <c r="M90" s="52"/>
      <c r="N90" s="52"/>
    </row>
    <row r="91" spans="1:14" ht="72.5" hidden="1">
      <c r="A91" s="133">
        <v>29</v>
      </c>
      <c r="B91" s="170" t="str">
        <f t="shared" si="4"/>
        <v>Email</v>
      </c>
      <c r="C91" s="146" t="s">
        <v>301</v>
      </c>
      <c r="D91" s="146" t="s">
        <v>75</v>
      </c>
      <c r="E91" s="171" t="str">
        <f t="shared" si="6"/>
        <v>Identify inline changes in natural language</v>
      </c>
      <c r="F91" s="53" t="s">
        <v>299</v>
      </c>
      <c r="G91" s="54" t="s">
        <v>300</v>
      </c>
      <c r="H91" s="51"/>
      <c r="I91" s="171" t="str">
        <f t="shared" si="7"/>
        <v>Review the source code and verify the human language of the content of the element is the same as the inherited language for the element.</v>
      </c>
      <c r="J91" s="151" t="s">
        <v>301</v>
      </c>
      <c r="K91" s="151" t="s">
        <v>302</v>
      </c>
      <c r="L91" s="55" t="str">
        <f t="shared" si="5"/>
        <v>Not Relevant</v>
      </c>
      <c r="M91" s="52"/>
      <c r="N91" s="52"/>
    </row>
    <row r="92" spans="1:14" ht="29" hidden="1">
      <c r="A92" s="133">
        <v>31</v>
      </c>
      <c r="B92" s="170" t="str">
        <f t="shared" si="4"/>
        <v>Email</v>
      </c>
      <c r="C92" s="146" t="s">
        <v>301</v>
      </c>
      <c r="D92" s="146" t="s">
        <v>75</v>
      </c>
      <c r="E92" s="171" t="str">
        <f t="shared" si="6"/>
        <v xml:space="preserve">Follow coding format specifications </v>
      </c>
      <c r="F92" s="53" t="s">
        <v>178</v>
      </c>
      <c r="G92" s="50" t="s">
        <v>179</v>
      </c>
      <c r="H92" s="51"/>
      <c r="I92" s="171" t="str">
        <f t="shared" si="7"/>
        <v>Use the WAT tool for validation or the W3C validation site.</v>
      </c>
      <c r="J92" s="137" t="s">
        <v>301</v>
      </c>
      <c r="K92" s="137" t="s">
        <v>180</v>
      </c>
      <c r="L92" s="55" t="str">
        <f t="shared" si="5"/>
        <v>Not Relevant</v>
      </c>
      <c r="M92" s="52"/>
      <c r="N92" s="52"/>
    </row>
    <row r="93" spans="1:14" ht="43.5" hidden="1">
      <c r="A93" s="133">
        <v>32</v>
      </c>
      <c r="B93" s="170" t="str">
        <f t="shared" si="4"/>
        <v>Email</v>
      </c>
      <c r="C93" s="146" t="s">
        <v>301</v>
      </c>
      <c r="D93" s="146" t="s">
        <v>75</v>
      </c>
      <c r="E93" s="171" t="str">
        <f t="shared" si="6"/>
        <v xml:space="preserve">Ensure that page or screen titles clearly present the topic or purpose of the content </v>
      </c>
      <c r="F93" s="53" t="s">
        <v>181</v>
      </c>
      <c r="G93" s="54" t="s">
        <v>182</v>
      </c>
      <c r="H93" s="51"/>
      <c r="I93" s="171" t="str">
        <f t="shared" si="7"/>
        <v>Inspect the HTML source code and verify that the web page has a title relevant to the content.</v>
      </c>
      <c r="J93" s="137" t="s">
        <v>301</v>
      </c>
      <c r="K93" s="137" t="s">
        <v>183</v>
      </c>
      <c r="L93" s="55" t="str">
        <f t="shared" si="5"/>
        <v>Not Relevant</v>
      </c>
      <c r="M93" s="52"/>
      <c r="N93" s="52"/>
    </row>
    <row r="94" spans="1:14" ht="43.5" hidden="1">
      <c r="A94" s="133">
        <v>41</v>
      </c>
      <c r="B94" s="170" t="str">
        <f t="shared" si="4"/>
        <v>Email</v>
      </c>
      <c r="C94" s="146" t="s">
        <v>301</v>
      </c>
      <c r="D94" s="146" t="s">
        <v>75</v>
      </c>
      <c r="E94" s="171" t="str">
        <f t="shared" si="6"/>
        <v>Images that convey important information must have meaningful alternative texts.</v>
      </c>
      <c r="F94" s="53" t="s">
        <v>288</v>
      </c>
      <c r="G94" s="50" t="s">
        <v>136</v>
      </c>
      <c r="H94" s="51"/>
      <c r="I94" s="171" t="str">
        <f t="shared" si="7"/>
        <v>Provide textual alternatives for all images.</v>
      </c>
      <c r="J94" s="137" t="s">
        <v>135</v>
      </c>
      <c r="K94" s="137" t="s">
        <v>137</v>
      </c>
      <c r="L94" s="55" t="str">
        <f t="shared" si="5"/>
        <v>Not Relevant</v>
      </c>
      <c r="M94" s="52"/>
      <c r="N94" s="52"/>
    </row>
    <row r="95" spans="1:14" ht="43.5" hidden="1">
      <c r="A95" s="133">
        <v>43</v>
      </c>
      <c r="B95" s="170" t="str">
        <f t="shared" si="4"/>
        <v>Email</v>
      </c>
      <c r="C95" s="146" t="s">
        <v>301</v>
      </c>
      <c r="D95" s="146" t="s">
        <v>75</v>
      </c>
      <c r="E95" s="171" t="str">
        <f t="shared" si="6"/>
        <v>Use live text instead of images where possible.</v>
      </c>
      <c r="F95" s="53" t="s">
        <v>292</v>
      </c>
      <c r="G95" s="54" t="s">
        <v>138</v>
      </c>
      <c r="H95" s="51"/>
      <c r="I95" s="171" t="str">
        <f t="shared" si="7"/>
        <v xml:space="preserve"> Ensure that text, instead of images of text, is used wherever possible. </v>
      </c>
      <c r="J95" s="137" t="s">
        <v>135</v>
      </c>
      <c r="K95" s="137" t="s">
        <v>303</v>
      </c>
      <c r="L95" s="55" t="str">
        <f t="shared" si="5"/>
        <v>Not Relevant</v>
      </c>
      <c r="M95" s="52"/>
      <c r="N95" s="52"/>
    </row>
    <row r="96" spans="1:14" ht="58" hidden="1">
      <c r="A96" s="133">
        <v>44</v>
      </c>
      <c r="B96" s="170" t="str">
        <f t="shared" si="4"/>
        <v>Email</v>
      </c>
      <c r="C96" s="146" t="s">
        <v>301</v>
      </c>
      <c r="D96" s="146" t="s">
        <v>75</v>
      </c>
      <c r="E96" s="171" t="str">
        <f t="shared" si="6"/>
        <v>Ensure that actionable elements are keyboard accessible.</v>
      </c>
      <c r="F96" s="53" t="s">
        <v>304</v>
      </c>
      <c r="G96" s="50" t="s">
        <v>305</v>
      </c>
      <c r="H96" s="51"/>
      <c r="I96" s="171" t="str">
        <f t="shared" si="7"/>
        <v>Identify all functionality on the content. Check that all functionality can be accessed using only the keyboard.</v>
      </c>
      <c r="J96" s="151" t="s">
        <v>301</v>
      </c>
      <c r="K96" s="151" t="s">
        <v>306</v>
      </c>
      <c r="L96" s="55" t="str">
        <f t="shared" si="5"/>
        <v>Not Relevant</v>
      </c>
      <c r="M96" s="52"/>
      <c r="N96" s="52"/>
    </row>
    <row r="97" spans="1:15" ht="101.5" hidden="1">
      <c r="A97" s="133">
        <v>45</v>
      </c>
      <c r="B97" s="170" t="str">
        <f t="shared" si="4"/>
        <v>Email</v>
      </c>
      <c r="C97" s="146" t="s">
        <v>301</v>
      </c>
      <c r="D97" s="146" t="s">
        <v>75</v>
      </c>
      <c r="E97" s="171" t="str">
        <f t="shared" si="6"/>
        <v>Ensure that keyboard focus is indicated visually</v>
      </c>
      <c r="F97" s="53" t="s">
        <v>307</v>
      </c>
      <c r="G97" s="54" t="s">
        <v>308</v>
      </c>
      <c r="H97" s="51"/>
      <c r="I97" s="171" t="str">
        <f t="shared" si="7"/>
        <v>Using a mouse, hover over the element verifying the background or border changes color. Using a keyboard, tab to the element verifying the background or borer changes color.</v>
      </c>
      <c r="J97" s="151" t="s">
        <v>301</v>
      </c>
      <c r="K97" s="151" t="s">
        <v>309</v>
      </c>
      <c r="L97" s="55" t="str">
        <f t="shared" si="5"/>
        <v>Not Relevant</v>
      </c>
      <c r="M97" s="52"/>
      <c r="N97" s="52"/>
    </row>
    <row r="98" spans="1:15" ht="75" hidden="1" customHeight="1">
      <c r="A98" s="133">
        <v>48</v>
      </c>
      <c r="B98" s="170" t="str">
        <f t="shared" si="4"/>
        <v>Email</v>
      </c>
      <c r="C98" s="146" t="s">
        <v>301</v>
      </c>
      <c r="D98" s="146" t="s">
        <v>75</v>
      </c>
      <c r="E98" s="171" t="str">
        <f t="shared" si="6"/>
        <v>Ensure content does not rely on sensory characteristics</v>
      </c>
      <c r="F98" s="53" t="s">
        <v>310</v>
      </c>
      <c r="G98" s="152" t="s">
        <v>311</v>
      </c>
      <c r="H98" s="51"/>
      <c r="I98" s="171" t="str">
        <f t="shared" si="7"/>
        <v>Check if tabindex is used. If tabindex is used, check that the tab order specified by the tabindex attributes follows relationship in the content.</v>
      </c>
      <c r="J98" s="151" t="s">
        <v>301</v>
      </c>
      <c r="K98" s="151" t="s">
        <v>312</v>
      </c>
      <c r="L98" s="55" t="str">
        <f t="shared" si="5"/>
        <v>Not Relevant</v>
      </c>
      <c r="M98" s="52"/>
      <c r="N98" s="52"/>
    </row>
    <row r="99" spans="1:15" ht="29" hidden="1">
      <c r="A99" s="133">
        <v>52</v>
      </c>
      <c r="B99" s="170" t="str">
        <f t="shared" si="4"/>
        <v>Email</v>
      </c>
      <c r="C99" s="146" t="s">
        <v>301</v>
      </c>
      <c r="D99" s="146" t="s">
        <v>75</v>
      </c>
      <c r="E99" s="171" t="str">
        <f t="shared" si="6"/>
        <v>Ensure that data tables are built to be accessible</v>
      </c>
      <c r="F99" s="53" t="s">
        <v>156</v>
      </c>
      <c r="G99" s="54" t="s">
        <v>157</v>
      </c>
      <c r="H99" s="51"/>
      <c r="I99" s="171" t="str">
        <f t="shared" si="7"/>
        <v>See test cases in the Guide to Accessible Tables.</v>
      </c>
      <c r="J99" s="137" t="s">
        <v>153</v>
      </c>
      <c r="K99" s="137" t="s">
        <v>155</v>
      </c>
      <c r="L99" s="55" t="str">
        <f t="shared" si="5"/>
        <v>Not Relevant</v>
      </c>
      <c r="M99" s="52"/>
      <c r="N99" s="52"/>
    </row>
    <row r="100" spans="1:15" ht="29" hidden="1">
      <c r="A100" s="133">
        <v>56</v>
      </c>
      <c r="B100" s="170" t="str">
        <f t="shared" si="4"/>
        <v>Email</v>
      </c>
      <c r="C100" s="146" t="s">
        <v>301</v>
      </c>
      <c r="D100" s="146" t="s">
        <v>75</v>
      </c>
      <c r="E100" s="171" t="str">
        <f t="shared" si="6"/>
        <v>Avoid using tables for layout</v>
      </c>
      <c r="F100" s="53" t="s">
        <v>158</v>
      </c>
      <c r="G100" s="50" t="s">
        <v>159</v>
      </c>
      <c r="H100" s="51"/>
      <c r="I100" s="171" t="str">
        <f t="shared" si="7"/>
        <v>See test cases in the Guide to Accessible Tables.</v>
      </c>
      <c r="J100" s="137" t="s">
        <v>153</v>
      </c>
      <c r="K100" s="137" t="s">
        <v>155</v>
      </c>
      <c r="L100" s="55" t="str">
        <f t="shared" si="5"/>
        <v>Not Relevant</v>
      </c>
      <c r="M100" s="52"/>
      <c r="N100" s="52"/>
    </row>
    <row r="101" spans="1:15" ht="58" hidden="1">
      <c r="A101" s="133">
        <v>58</v>
      </c>
      <c r="B101" s="170" t="str">
        <f t="shared" si="4"/>
        <v>Email</v>
      </c>
      <c r="C101" s="146" t="s">
        <v>301</v>
      </c>
      <c r="D101" s="146" t="s">
        <v>75</v>
      </c>
      <c r="E101" s="171" t="str">
        <f t="shared" si="6"/>
        <v>Ensure that text is scalable, and remains useable when scaled up to 200%</v>
      </c>
      <c r="F101" s="53" t="s">
        <v>313</v>
      </c>
      <c r="G101" s="54" t="s">
        <v>314</v>
      </c>
      <c r="H101" s="51"/>
      <c r="I101" s="171" t="str">
        <f t="shared" si="7"/>
        <v>View the page in a browser. Use the browser’s zoom tool to scale the page to 200% and verify the content is still useable.</v>
      </c>
      <c r="J101" s="151" t="s">
        <v>301</v>
      </c>
      <c r="K101" s="151" t="s">
        <v>315</v>
      </c>
      <c r="L101" s="55" t="str">
        <f t="shared" si="5"/>
        <v>Not Relevant</v>
      </c>
      <c r="M101" s="52"/>
      <c r="N101" s="52"/>
    </row>
    <row r="102" spans="1:15" ht="43.5" hidden="1">
      <c r="A102" s="133">
        <v>19</v>
      </c>
      <c r="B102" s="170" t="str">
        <f t="shared" si="4"/>
        <v>Modal Window</v>
      </c>
      <c r="C102" s="146" t="s">
        <v>319</v>
      </c>
      <c r="D102" s="146" t="s">
        <v>316</v>
      </c>
      <c r="E102" s="171" t="str">
        <f t="shared" si="6"/>
        <v>Provide proper sequencing of meaningful content</v>
      </c>
      <c r="F102" s="53" t="s">
        <v>317</v>
      </c>
      <c r="G102" s="50" t="s">
        <v>318</v>
      </c>
      <c r="H102" s="51"/>
      <c r="I102" s="171" t="str">
        <f t="shared" si="7"/>
        <v>Order content in a meaningful sequence and ensure access to all items via keyboard.</v>
      </c>
      <c r="J102" s="151" t="s">
        <v>319</v>
      </c>
      <c r="K102" s="151" t="s">
        <v>320</v>
      </c>
      <c r="L102" s="55" t="str">
        <f t="shared" si="5"/>
        <v>Not Relevant</v>
      </c>
      <c r="M102" s="52"/>
      <c r="N102" s="52"/>
      <c r="O102" s="142"/>
    </row>
    <row r="103" spans="1:15" ht="72.5" hidden="1">
      <c r="A103" s="133">
        <v>30</v>
      </c>
      <c r="B103" s="170" t="str">
        <f t="shared" si="4"/>
        <v>Modal Window</v>
      </c>
      <c r="C103" s="146" t="s">
        <v>319</v>
      </c>
      <c r="D103" s="146" t="s">
        <v>316</v>
      </c>
      <c r="E103" s="171" t="str">
        <f t="shared" si="6"/>
        <v xml:space="preserve">Ensure names, roles, states, properties, and values of user interface components are programmatically set and determined </v>
      </c>
      <c r="F103" s="53" t="s">
        <v>175</v>
      </c>
      <c r="G103" s="54" t="s">
        <v>176</v>
      </c>
      <c r="H103" s="51"/>
      <c r="I103" s="171" t="str">
        <f t="shared" si="7"/>
        <v>Inspect the HTML source code and verify the name, value and state are specified and correct.</v>
      </c>
      <c r="J103" s="137" t="s">
        <v>319</v>
      </c>
      <c r="K103" s="137" t="s">
        <v>177</v>
      </c>
      <c r="L103" s="55" t="str">
        <f t="shared" si="5"/>
        <v>Not Relevant</v>
      </c>
      <c r="M103" s="52"/>
      <c r="N103" s="52"/>
      <c r="O103" s="142"/>
    </row>
    <row r="104" spans="1:15" ht="43.5" hidden="1">
      <c r="A104" s="133">
        <v>32</v>
      </c>
      <c r="B104" s="170" t="str">
        <f t="shared" si="4"/>
        <v>Modal Window</v>
      </c>
      <c r="C104" s="146" t="s">
        <v>319</v>
      </c>
      <c r="D104" s="146" t="s">
        <v>316</v>
      </c>
      <c r="E104" s="171" t="str">
        <f t="shared" si="6"/>
        <v xml:space="preserve">Ensure that page or screen titles clearly present the topic or purpose of the content </v>
      </c>
      <c r="F104" s="53" t="s">
        <v>181</v>
      </c>
      <c r="G104" s="50" t="s">
        <v>182</v>
      </c>
      <c r="H104" s="51"/>
      <c r="I104" s="171" t="str">
        <f t="shared" si="7"/>
        <v>Inspect the HTML source code and verify that the web page has a title relevant to the content.</v>
      </c>
      <c r="J104" s="137" t="s">
        <v>319</v>
      </c>
      <c r="K104" s="137" t="s">
        <v>183</v>
      </c>
      <c r="L104" s="55" t="str">
        <f t="shared" si="5"/>
        <v>Not Relevant</v>
      </c>
      <c r="M104" s="52"/>
      <c r="N104" s="52"/>
      <c r="O104" s="142"/>
    </row>
    <row r="105" spans="1:15" ht="58" hidden="1">
      <c r="A105" s="133">
        <v>46</v>
      </c>
      <c r="B105" s="170" t="str">
        <f t="shared" si="4"/>
        <v>Modal Window</v>
      </c>
      <c r="C105" s="146" t="s">
        <v>319</v>
      </c>
      <c r="D105" s="146" t="s">
        <v>316</v>
      </c>
      <c r="E105" s="171" t="str">
        <f t="shared" si="6"/>
        <v>Ensure that keyboard focus can be moved away from keyboard-accessible components</v>
      </c>
      <c r="F105" s="53" t="s">
        <v>321</v>
      </c>
      <c r="G105" s="54" t="s">
        <v>322</v>
      </c>
      <c r="H105" s="51"/>
      <c r="I105" s="171" t="str">
        <f t="shared" si="7"/>
        <v xml:space="preserve">Tab through content from start to finish. Check to see that keyboard focus is no trapped in any of the content. </v>
      </c>
      <c r="J105" s="151" t="s">
        <v>319</v>
      </c>
      <c r="K105" s="151" t="s">
        <v>323</v>
      </c>
      <c r="L105" s="55" t="str">
        <f t="shared" si="5"/>
        <v>Not Relevant</v>
      </c>
      <c r="M105" s="52"/>
      <c r="N105" s="52"/>
      <c r="O105" s="142"/>
    </row>
    <row r="106" spans="1:15" ht="72.5" hidden="1">
      <c r="A106" s="133">
        <v>48</v>
      </c>
      <c r="B106" s="170" t="str">
        <f t="shared" si="4"/>
        <v>Modal Window</v>
      </c>
      <c r="C106" s="146" t="s">
        <v>319</v>
      </c>
      <c r="D106" s="146" t="s">
        <v>316</v>
      </c>
      <c r="E106" s="171" t="str">
        <f t="shared" si="6"/>
        <v>Ensure logical focus order</v>
      </c>
      <c r="F106" s="53" t="s">
        <v>310</v>
      </c>
      <c r="G106" s="50" t="s">
        <v>324</v>
      </c>
      <c r="H106" s="51"/>
      <c r="I106" s="171" t="str">
        <f t="shared" si="7"/>
        <v>Check if tabindex is used. If tabindex is used, check that the tab order specified by the tabindex attributes follows relationship in the content.</v>
      </c>
      <c r="J106" s="151" t="s">
        <v>319</v>
      </c>
      <c r="K106" s="151" t="s">
        <v>312</v>
      </c>
      <c r="L106" s="55" t="str">
        <f t="shared" si="5"/>
        <v>Not Relevant</v>
      </c>
      <c r="M106" s="52"/>
      <c r="N106" s="52"/>
      <c r="O106" s="142"/>
    </row>
    <row r="107" spans="1:15" ht="101.5" hidden="1">
      <c r="A107" s="133">
        <v>61</v>
      </c>
      <c r="B107" s="170" t="str">
        <f t="shared" si="4"/>
        <v>Mobile Apps</v>
      </c>
      <c r="C107" s="146" t="s">
        <v>826</v>
      </c>
      <c r="D107" s="146" t="s">
        <v>325</v>
      </c>
      <c r="E107" s="171" t="str">
        <f t="shared" si="6"/>
        <v xml:space="preserve">Touch Targets/Actionable Items must be large enough (minimum recommended range of 7-10mm), and spaced far enough apart (minimum recommended spacing of 1 pixel), to enable better accessibility. </v>
      </c>
      <c r="F107" s="53" t="s">
        <v>326</v>
      </c>
      <c r="G107" s="54" t="s">
        <v>327</v>
      </c>
      <c r="H107" s="51"/>
      <c r="I107" s="171" t="str">
        <f t="shared" si="7"/>
        <v xml:space="preserve">Touch Targets/Actionable Items must be a minimum 7-10mm and spaced a 1 pixel apart. </v>
      </c>
      <c r="J107" s="56" t="s">
        <v>328</v>
      </c>
      <c r="K107" s="56" t="s">
        <v>329</v>
      </c>
      <c r="L107" s="55" t="str">
        <f t="shared" si="5"/>
        <v>Not Relevant</v>
      </c>
      <c r="M107" s="52"/>
      <c r="N107" s="52"/>
      <c r="O107" s="142"/>
    </row>
    <row r="108" spans="1:15" ht="58" hidden="1">
      <c r="A108" s="133">
        <v>62</v>
      </c>
      <c r="B108" s="170" t="str">
        <f t="shared" si="4"/>
        <v>Mobile Apps</v>
      </c>
      <c r="C108" s="146" t="s">
        <v>826</v>
      </c>
      <c r="D108" s="146" t="s">
        <v>325</v>
      </c>
      <c r="E108" s="171" t="str">
        <f t="shared" si="6"/>
        <v xml:space="preserve">Simple touch events must only be triggered when touch is removed from a control and not when first touched. </v>
      </c>
      <c r="F108" s="53" t="s">
        <v>330</v>
      </c>
      <c r="G108" s="50" t="s">
        <v>331</v>
      </c>
      <c r="H108" s="51"/>
      <c r="I108" s="171" t="str">
        <f t="shared" si="7"/>
        <v>Ensure that simple touch events are only triggered when touch is removed from a control.</v>
      </c>
      <c r="J108" s="151" t="s">
        <v>328</v>
      </c>
      <c r="K108" s="151" t="s">
        <v>332</v>
      </c>
      <c r="L108" s="55" t="str">
        <f t="shared" si="5"/>
        <v>Not Relevant</v>
      </c>
      <c r="M108" s="52"/>
      <c r="N108" s="52"/>
      <c r="O108" s="142"/>
    </row>
    <row r="109" spans="1:15" ht="43.5" hidden="1">
      <c r="A109" s="133">
        <v>12</v>
      </c>
      <c r="B109" s="170" t="str">
        <f t="shared" si="4"/>
        <v>Mobile Apps</v>
      </c>
      <c r="C109" s="146" t="s">
        <v>826</v>
      </c>
      <c r="D109" s="146" t="s">
        <v>325</v>
      </c>
      <c r="E109" s="171" t="str">
        <f t="shared" si="6"/>
        <v>Foreground text and background color contrast ratio should be 4.5:1 or greater</v>
      </c>
      <c r="F109" s="53" t="s">
        <v>333</v>
      </c>
      <c r="G109" s="54" t="s">
        <v>142</v>
      </c>
      <c r="H109" s="51"/>
      <c r="I109" s="171" t="str">
        <f t="shared" si="7"/>
        <v>Test using the Colour Contrast Analyser or the WAT (Web Accessibility Toolbar)</v>
      </c>
      <c r="J109" s="137" t="s">
        <v>334</v>
      </c>
      <c r="K109" s="137" t="s">
        <v>143</v>
      </c>
      <c r="L109" s="55" t="str">
        <f t="shared" si="5"/>
        <v>Not Relevant</v>
      </c>
      <c r="M109" s="52"/>
      <c r="N109" s="52"/>
      <c r="O109" s="142"/>
    </row>
    <row r="110" spans="1:15" ht="116" hidden="1">
      <c r="A110" s="133">
        <v>11</v>
      </c>
      <c r="B110" s="170" t="str">
        <f t="shared" si="4"/>
        <v>Mobile Apps</v>
      </c>
      <c r="C110" s="146" t="s">
        <v>826</v>
      </c>
      <c r="D110" s="146" t="s">
        <v>325</v>
      </c>
      <c r="E110" s="171" t="str">
        <f t="shared" si="6"/>
        <v>Use additional elements besides color to convey relevant information.</v>
      </c>
      <c r="F110" s="53" t="s">
        <v>335</v>
      </c>
      <c r="G110" s="50" t="s">
        <v>144</v>
      </c>
      <c r="H110" s="51"/>
      <c r="I110" s="171" t="str">
        <f t="shared" si="7"/>
        <v xml:space="preserve">Android: add contentDescription and hint attributes. _x000D_
iOS: use accessible traits to convey meaning that is also conveyed visually or use accessible labels to convey meaning that is also conveyed visually. </v>
      </c>
      <c r="J110" s="137" t="s">
        <v>334</v>
      </c>
      <c r="K110" s="137" t="s">
        <v>336</v>
      </c>
      <c r="L110" s="55" t="str">
        <f t="shared" si="5"/>
        <v>Not Relevant</v>
      </c>
      <c r="M110" s="52"/>
      <c r="N110" s="52"/>
      <c r="O110" s="142"/>
    </row>
    <row r="111" spans="1:15" ht="72.5" hidden="1">
      <c r="A111" s="133">
        <v>44</v>
      </c>
      <c r="B111" s="170" t="str">
        <f t="shared" si="4"/>
        <v>Mobile Apps</v>
      </c>
      <c r="C111" s="146" t="s">
        <v>826</v>
      </c>
      <c r="D111" s="150" t="s">
        <v>325</v>
      </c>
      <c r="E111" s="171" t="str">
        <f t="shared" si="6"/>
        <v>Ensure that actionable elements are keyboard accessible.</v>
      </c>
      <c r="F111" s="53" t="s">
        <v>304</v>
      </c>
      <c r="G111" s="54" t="s">
        <v>305</v>
      </c>
      <c r="H111" s="51"/>
      <c r="I111" s="171" t="str">
        <f t="shared" si="7"/>
        <v xml:space="preserve">For Android, make the focusable attribute of all meaningful elements set to true._x000D_
For iOS all meaningful objects have accessibility enabled. </v>
      </c>
      <c r="J111" s="137" t="s">
        <v>337</v>
      </c>
      <c r="K111" s="137" t="s">
        <v>338</v>
      </c>
      <c r="L111" s="55" t="str">
        <f t="shared" si="5"/>
        <v>Not Relevant</v>
      </c>
      <c r="M111" s="52"/>
      <c r="N111" s="52"/>
      <c r="O111" s="142"/>
    </row>
    <row r="112" spans="1:15" ht="116" hidden="1">
      <c r="A112" s="133">
        <v>45</v>
      </c>
      <c r="B112" s="170" t="str">
        <f t="shared" si="4"/>
        <v>Mobile Apps</v>
      </c>
      <c r="C112" s="146" t="s">
        <v>826</v>
      </c>
      <c r="D112" s="150" t="s">
        <v>325</v>
      </c>
      <c r="E112" s="171" t="str">
        <f t="shared" si="6"/>
        <v>Ensure that keyboard focus is indicated visually.</v>
      </c>
      <c r="F112" s="53" t="s">
        <v>307</v>
      </c>
      <c r="G112" s="50" t="s">
        <v>339</v>
      </c>
      <c r="H112" s="51"/>
      <c r="I112" s="171" t="str">
        <f t="shared" si="7"/>
        <v>For Android, custom elements have style set when state_focused="true"._x000D_
For iOS, standard controls are handling focus indication._x000D_
For iOS, the accessibilityFrame property is used to override the elements frame.</v>
      </c>
      <c r="J112" s="137" t="s">
        <v>337</v>
      </c>
      <c r="K112" s="137" t="s">
        <v>340</v>
      </c>
      <c r="L112" s="55" t="str">
        <f t="shared" si="5"/>
        <v>Not Relevant</v>
      </c>
      <c r="M112" s="52"/>
      <c r="N112" s="52"/>
      <c r="O112" s="142"/>
    </row>
    <row r="113" spans="1:15" ht="87" hidden="1">
      <c r="A113" s="133">
        <v>46</v>
      </c>
      <c r="B113" s="170" t="str">
        <f t="shared" si="4"/>
        <v>Mobile Apps</v>
      </c>
      <c r="C113" s="146" t="s">
        <v>826</v>
      </c>
      <c r="D113" s="150" t="s">
        <v>325</v>
      </c>
      <c r="E113" s="171" t="str">
        <f t="shared" si="6"/>
        <v>Ensure that keyboard focus can be moved away from keyboard-accessible components</v>
      </c>
      <c r="F113" s="53" t="s">
        <v>321</v>
      </c>
      <c r="G113" s="54" t="s">
        <v>322</v>
      </c>
      <c r="H113" s="51"/>
      <c r="I113" s="171" t="str">
        <f t="shared" si="7"/>
        <v xml:space="preserve">For android, controls receive focus and allow user to move away._x000D_
For iOS, allow dismissible on-screen keyboard when controls receives focus. </v>
      </c>
      <c r="J113" s="137" t="s">
        <v>337</v>
      </c>
      <c r="K113" s="137" t="s">
        <v>341</v>
      </c>
      <c r="L113" s="55" t="str">
        <f t="shared" si="5"/>
        <v>Not Relevant</v>
      </c>
      <c r="M113" s="52"/>
      <c r="N113" s="52"/>
      <c r="O113" s="142"/>
    </row>
    <row r="114" spans="1:15" ht="58" hidden="1">
      <c r="A114" s="133" t="s">
        <v>152</v>
      </c>
      <c r="B114" s="170" t="str">
        <f t="shared" si="4"/>
        <v>Mobile Apps</v>
      </c>
      <c r="C114" s="146" t="s">
        <v>826</v>
      </c>
      <c r="D114" s="150" t="s">
        <v>325</v>
      </c>
      <c r="E114" s="171" t="str">
        <f t="shared" si="6"/>
        <v>Ensure input devices are compatible with switch control.</v>
      </c>
      <c r="F114" s="53" t="s">
        <v>337</v>
      </c>
      <c r="G114" s="50" t="s">
        <v>342</v>
      </c>
      <c r="H114" s="51"/>
      <c r="I114" s="171" t="str">
        <f t="shared" si="7"/>
        <v>For Android and iOS, please refer to the Guide on Mobile App Input Devices for Switch Control testing</v>
      </c>
      <c r="J114" s="153" t="s">
        <v>337</v>
      </c>
      <c r="K114" s="153" t="s">
        <v>343</v>
      </c>
      <c r="L114" s="55" t="str">
        <f t="shared" si="5"/>
        <v>Not Relevant</v>
      </c>
      <c r="M114" s="52"/>
      <c r="N114" s="52"/>
      <c r="O114" s="142"/>
    </row>
    <row r="115" spans="1:15" ht="58" hidden="1">
      <c r="A115" s="133">
        <v>19</v>
      </c>
      <c r="B115" s="170" t="str">
        <f t="shared" si="4"/>
        <v>Mobile Apps</v>
      </c>
      <c r="C115" s="146" t="s">
        <v>826</v>
      </c>
      <c r="D115" s="150" t="s">
        <v>325</v>
      </c>
      <c r="E115" s="171" t="str">
        <f t="shared" si="6"/>
        <v xml:space="preserve">Provide proper sequencing of meaningful content. </v>
      </c>
      <c r="F115" s="53" t="s">
        <v>317</v>
      </c>
      <c r="G115" s="54" t="s">
        <v>345</v>
      </c>
      <c r="H115" s="51"/>
      <c r="I115" s="171" t="str">
        <f t="shared" si="7"/>
        <v>For Android, ensure content order is logical _x000D_
For iOS, ensure content order is logical.</v>
      </c>
      <c r="J115" s="137" t="s">
        <v>344</v>
      </c>
      <c r="K115" s="137" t="s">
        <v>346</v>
      </c>
      <c r="L115" s="55" t="str">
        <f t="shared" si="5"/>
        <v>Not Relevant</v>
      </c>
      <c r="M115" s="52"/>
      <c r="N115" s="52"/>
      <c r="O115" s="142"/>
    </row>
    <row r="116" spans="1:15" ht="29" hidden="1">
      <c r="A116" s="133">
        <v>21</v>
      </c>
      <c r="B116" s="170" t="str">
        <f t="shared" si="4"/>
        <v>Mobile Apps</v>
      </c>
      <c r="C116" s="146" t="s">
        <v>826</v>
      </c>
      <c r="D116" s="150" t="s">
        <v>325</v>
      </c>
      <c r="E116" s="171" t="str">
        <f t="shared" si="6"/>
        <v xml:space="preserve">Link text must clearly identify destination or action </v>
      </c>
      <c r="F116" s="53" t="s">
        <v>831</v>
      </c>
      <c r="G116" s="50" t="s">
        <v>347</v>
      </c>
      <c r="H116" s="51"/>
      <c r="I116" s="171" t="str">
        <f t="shared" si="7"/>
        <v xml:space="preserve">For iOS, use labels and hints to provide descriptive link text.  </v>
      </c>
      <c r="J116" s="137" t="s">
        <v>344</v>
      </c>
      <c r="K116" s="137" t="s">
        <v>348</v>
      </c>
      <c r="L116" s="55" t="str">
        <f t="shared" si="5"/>
        <v>Not Relevant</v>
      </c>
      <c r="M116" s="52"/>
      <c r="N116" s="52"/>
      <c r="O116" s="142"/>
    </row>
    <row r="117" spans="1:15" ht="101.5" hidden="1">
      <c r="A117" s="133">
        <v>25</v>
      </c>
      <c r="B117" s="170" t="str">
        <f t="shared" si="4"/>
        <v>Mobile Apps</v>
      </c>
      <c r="C117" s="146" t="s">
        <v>826</v>
      </c>
      <c r="D117" s="150" t="s">
        <v>325</v>
      </c>
      <c r="E117" s="171" t="str">
        <f t="shared" si="6"/>
        <v>Ensure content does not rely on sensory characteristics</v>
      </c>
      <c r="F117" s="53" t="s">
        <v>407</v>
      </c>
      <c r="G117" s="54" t="s">
        <v>311</v>
      </c>
      <c r="H117" s="51"/>
      <c r="I117" s="171" t="str">
        <f t="shared" si="7"/>
        <v xml:space="preserve">For Android, provide the same information through the accessible name contentDescription property._x000D_
For iOS, use accessibility traits or labels to convey the same information. </v>
      </c>
      <c r="J117" s="137" t="s">
        <v>344</v>
      </c>
      <c r="K117" s="137" t="s">
        <v>349</v>
      </c>
      <c r="L117" s="55" t="str">
        <f t="shared" si="5"/>
        <v>Not Relevant</v>
      </c>
      <c r="M117" s="52"/>
      <c r="N117" s="52"/>
      <c r="O117" s="142"/>
    </row>
    <row r="118" spans="1:15" ht="43.5" hidden="1">
      <c r="A118" s="133">
        <v>29</v>
      </c>
      <c r="B118" s="170" t="str">
        <f t="shared" si="4"/>
        <v>Mobile Apps</v>
      </c>
      <c r="C118" s="146" t="s">
        <v>826</v>
      </c>
      <c r="D118" s="150" t="s">
        <v>325</v>
      </c>
      <c r="E118" s="171" t="str">
        <f t="shared" si="6"/>
        <v xml:space="preserve">Identify inline changes in natural language  </v>
      </c>
      <c r="F118" s="53" t="s">
        <v>299</v>
      </c>
      <c r="G118" s="50" t="s">
        <v>350</v>
      </c>
      <c r="H118" s="51"/>
      <c r="I118" s="171" t="str">
        <f t="shared" si="7"/>
        <v xml:space="preserve">For Android and iOS, identify changes in natural language. _x000D_
</v>
      </c>
      <c r="J118" s="137" t="s">
        <v>344</v>
      </c>
      <c r="K118" s="137" t="s">
        <v>351</v>
      </c>
      <c r="L118" s="55" t="str">
        <f t="shared" si="5"/>
        <v>Not Relevant</v>
      </c>
      <c r="M118" s="52"/>
      <c r="N118" s="52"/>
      <c r="O118" s="142"/>
    </row>
    <row r="119" spans="1:15" ht="43.5" hidden="1">
      <c r="A119" s="133">
        <v>58</v>
      </c>
      <c r="B119" s="170" t="str">
        <f t="shared" si="4"/>
        <v>Mobile Apps</v>
      </c>
      <c r="C119" s="146" t="s">
        <v>826</v>
      </c>
      <c r="D119" s="150" t="s">
        <v>325</v>
      </c>
      <c r="E119" s="171" t="str">
        <f t="shared" si="6"/>
        <v xml:space="preserve">Ensure that text is scalable, and remains useable when scaled up to 200% </v>
      </c>
      <c r="F119" s="53" t="s">
        <v>313</v>
      </c>
      <c r="G119" s="54" t="s">
        <v>352</v>
      </c>
      <c r="H119" s="51"/>
      <c r="I119" s="171" t="str">
        <f t="shared" si="7"/>
        <v xml:space="preserve">For Android and iOS, allow users to enlarge text and increase system level zoom. </v>
      </c>
      <c r="J119" s="137" t="s">
        <v>344</v>
      </c>
      <c r="K119" s="137" t="s">
        <v>353</v>
      </c>
      <c r="L119" s="55" t="str">
        <f t="shared" si="5"/>
        <v>Not Relevant</v>
      </c>
      <c r="M119" s="52"/>
      <c r="N119" s="52"/>
      <c r="O119" s="142"/>
    </row>
    <row r="120" spans="1:15" ht="101.5" hidden="1">
      <c r="A120" s="133">
        <v>17</v>
      </c>
      <c r="B120" s="170" t="str">
        <f t="shared" si="4"/>
        <v>Mobile App Document Structure</v>
      </c>
      <c r="C120" s="146" t="s">
        <v>354</v>
      </c>
      <c r="D120" s="150" t="s">
        <v>97</v>
      </c>
      <c r="E120" s="171" t="str">
        <f t="shared" si="6"/>
        <v>Properly code heading, and important information to be accessible through assistive technologies.</v>
      </c>
      <c r="F120" s="53" t="s">
        <v>165</v>
      </c>
      <c r="G120" s="50" t="s">
        <v>355</v>
      </c>
      <c r="H120" s="51"/>
      <c r="I120" s="171" t="str">
        <f t="shared" si="7"/>
        <v>For Android, In List Views, provide explicit headers using HeaderViewListAdapter._x000D_
For iOS, Assign UIAccessibilityTraitHeader to explicitly denote a section heading.</v>
      </c>
      <c r="J120" s="137" t="s">
        <v>354</v>
      </c>
      <c r="K120" s="137" t="s">
        <v>356</v>
      </c>
      <c r="L120" s="55" t="str">
        <f t="shared" si="5"/>
        <v>Not Relevant</v>
      </c>
      <c r="M120" s="52"/>
      <c r="N120" s="52"/>
      <c r="O120" s="142"/>
    </row>
    <row r="121" spans="1:15" ht="87" hidden="1">
      <c r="A121" s="133">
        <v>18</v>
      </c>
      <c r="B121" s="170" t="str">
        <f t="shared" si="4"/>
        <v>Mobile App Document Structure</v>
      </c>
      <c r="C121" s="146" t="s">
        <v>354</v>
      </c>
      <c r="D121" s="150" t="s">
        <v>97</v>
      </c>
      <c r="E121" s="171" t="str">
        <f t="shared" si="6"/>
        <v>Add correct markup for a page or app's language.</v>
      </c>
      <c r="F121" s="53" t="s">
        <v>169</v>
      </c>
      <c r="G121" s="54" t="s">
        <v>357</v>
      </c>
      <c r="H121" s="51"/>
      <c r="I121" s="171" t="str">
        <f t="shared" si="7"/>
        <v xml:space="preserve">For Android, Provide proper localization of content._x000D_
For iOS, Localize app content or set the accessibilityLanguage property. _x000D_
</v>
      </c>
      <c r="J121" s="137" t="s">
        <v>354</v>
      </c>
      <c r="K121" s="137" t="s">
        <v>358</v>
      </c>
      <c r="L121" s="55" t="str">
        <f t="shared" si="5"/>
        <v>Not Relevant</v>
      </c>
      <c r="M121" s="52"/>
      <c r="N121" s="52"/>
      <c r="O121" s="142"/>
    </row>
    <row r="122" spans="1:15" ht="116" hidden="1">
      <c r="A122" s="133">
        <v>28</v>
      </c>
      <c r="B122" s="170" t="str">
        <f t="shared" si="4"/>
        <v>Mobile App Document Structure</v>
      </c>
      <c r="C122" s="146" t="s">
        <v>354</v>
      </c>
      <c r="D122" s="150" t="s">
        <v>97</v>
      </c>
      <c r="E122" s="171" t="str">
        <f t="shared" si="6"/>
        <v>Ensure user interface elements with the same functionality are identified consistently across pages/screens.</v>
      </c>
      <c r="F122" s="53" t="s">
        <v>172</v>
      </c>
      <c r="G122" s="50" t="s">
        <v>359</v>
      </c>
      <c r="H122" s="51"/>
      <c r="I122" s="171" t="str">
        <f t="shared" si="7"/>
        <v>For Android, Use common elements consistently for content that has the same functionality in the Android app_x000D_
For iOS, Use common elements consistently for content that has the same functionality in the iOS app.</v>
      </c>
      <c r="J122" s="137" t="s">
        <v>354</v>
      </c>
      <c r="K122" s="137" t="s">
        <v>360</v>
      </c>
      <c r="L122" s="55" t="str">
        <f t="shared" si="5"/>
        <v>Not Relevant</v>
      </c>
      <c r="M122" s="52"/>
      <c r="N122" s="52"/>
      <c r="O122" s="142"/>
    </row>
    <row r="123" spans="1:15" ht="130.5" hidden="1">
      <c r="A123" s="133">
        <v>30</v>
      </c>
      <c r="B123" s="170" t="str">
        <f t="shared" si="4"/>
        <v>Mobile App Document Structure</v>
      </c>
      <c r="C123" s="146" t="s">
        <v>354</v>
      </c>
      <c r="D123" s="150" t="s">
        <v>97</v>
      </c>
      <c r="E123" s="171" t="str">
        <f t="shared" si="6"/>
        <v>Ensure names, roles, states, properties, and values of user interface components are programmatically set and determined.</v>
      </c>
      <c r="F123" s="53" t="s">
        <v>175</v>
      </c>
      <c r="G123" s="54" t="s">
        <v>361</v>
      </c>
      <c r="H123" s="51"/>
      <c r="I123" s="171" t="str">
        <f t="shared" si="7"/>
        <v>For Android, use standard components and extensions to convey the accessibility information through contentDescription. For iOS, use standard components when possible or ensure that appropriate traits and name are provided for custom elements.</v>
      </c>
      <c r="J123" s="137" t="s">
        <v>354</v>
      </c>
      <c r="K123" s="137" t="s">
        <v>362</v>
      </c>
      <c r="L123" s="55" t="str">
        <f t="shared" si="5"/>
        <v>Not Relevant</v>
      </c>
      <c r="M123" s="52"/>
      <c r="N123" s="52"/>
      <c r="O123" s="142"/>
    </row>
    <row r="124" spans="1:15" ht="101.5" hidden="1">
      <c r="A124" s="133">
        <v>32</v>
      </c>
      <c r="B124" s="170" t="str">
        <f t="shared" si="4"/>
        <v>Mobile App Document Structure</v>
      </c>
      <c r="C124" s="146" t="s">
        <v>354</v>
      </c>
      <c r="D124" s="150" t="s">
        <v>97</v>
      </c>
      <c r="E124" s="171" t="str">
        <f t="shared" si="6"/>
        <v>Ensure that page or screen titles clearly present the topic or purpose of the content.</v>
      </c>
      <c r="F124" s="53" t="s">
        <v>181</v>
      </c>
      <c r="G124" s="50" t="s">
        <v>363</v>
      </c>
      <c r="H124" s="51"/>
      <c r="I124" s="171" t="str">
        <f t="shared" si="7"/>
        <v>For Android, Provide concise and descriptive title for each screen using setTitle. _x000D_
For iOS, Provide concise and descriptive title for each screen of the app as UINavigationItem or UIAccessibilityTraitHeader.</v>
      </c>
      <c r="J124" s="137" t="s">
        <v>354</v>
      </c>
      <c r="K124" s="137" t="s">
        <v>364</v>
      </c>
      <c r="L124" s="55" t="str">
        <f t="shared" si="5"/>
        <v>Not Relevant</v>
      </c>
      <c r="M124" s="52"/>
      <c r="N124" s="52"/>
      <c r="O124" s="142"/>
    </row>
    <row r="125" spans="1:15" ht="43.5" hidden="1">
      <c r="A125" s="133">
        <v>34</v>
      </c>
      <c r="B125" s="170" t="str">
        <f t="shared" si="4"/>
        <v>Mobile App Document Structure</v>
      </c>
      <c r="C125" s="146" t="s">
        <v>354</v>
      </c>
      <c r="D125" s="150" t="s">
        <v>97</v>
      </c>
      <c r="E125" s="171" t="str">
        <f t="shared" si="6"/>
        <v>Headings and labels should describe associated content.</v>
      </c>
      <c r="F125" s="53" t="s">
        <v>187</v>
      </c>
      <c r="G125" s="54" t="s">
        <v>365</v>
      </c>
      <c r="H125" s="51"/>
      <c r="I125" s="171" t="str">
        <f t="shared" si="7"/>
        <v>For both Android and iOS, Provide descriptive headings and labels.</v>
      </c>
      <c r="J125" s="137" t="s">
        <v>354</v>
      </c>
      <c r="K125" s="137" t="s">
        <v>366</v>
      </c>
      <c r="L125" s="55" t="str">
        <f t="shared" si="5"/>
        <v>Not Relevant</v>
      </c>
      <c r="M125" s="52"/>
      <c r="N125" s="52"/>
      <c r="O125" s="142"/>
    </row>
    <row r="126" spans="1:15" ht="101.5" hidden="1">
      <c r="A126" s="133">
        <v>35</v>
      </c>
      <c r="B126" s="170" t="str">
        <f t="shared" si="4"/>
        <v>Mobile App Forms</v>
      </c>
      <c r="C126" s="146" t="s">
        <v>260</v>
      </c>
      <c r="D126" s="150" t="s">
        <v>99</v>
      </c>
      <c r="E126" s="171" t="str">
        <f t="shared" si="6"/>
        <v>Whenever possible, validate information entered by our customer. When an error is found, show the customer where it happened and describe the error in text.</v>
      </c>
      <c r="F126" s="53" t="s">
        <v>264</v>
      </c>
      <c r="G126" s="50" t="s">
        <v>265</v>
      </c>
      <c r="H126" s="51"/>
      <c r="I126" s="171" t="str">
        <f t="shared" si="7"/>
        <v xml:space="preserve">For Android, use setError with contentDescription to display errors. For iOS, indicate an error message at form top, show fields in error, and focus the message on form submit or display an alert pop-up. </v>
      </c>
      <c r="J126" s="137" t="s">
        <v>260</v>
      </c>
      <c r="K126" s="137" t="s">
        <v>367</v>
      </c>
      <c r="L126" s="55" t="str">
        <f t="shared" si="5"/>
        <v>Not Relevant</v>
      </c>
      <c r="M126" s="52"/>
      <c r="N126" s="52"/>
      <c r="O126" s="142"/>
    </row>
    <row r="127" spans="1:15" ht="72.5" hidden="1">
      <c r="A127" s="133">
        <v>37</v>
      </c>
      <c r="B127" s="170" t="str">
        <f t="shared" si="4"/>
        <v>Mobile App Forms</v>
      </c>
      <c r="C127" s="146" t="s">
        <v>260</v>
      </c>
      <c r="D127" s="150" t="s">
        <v>99</v>
      </c>
      <c r="E127" s="171" t="str">
        <f t="shared" si="6"/>
        <v>When content sets a time limit for action, give our customer a way to control that time limit, unless security prevents the possibility of such control.</v>
      </c>
      <c r="F127" s="53" t="s">
        <v>268</v>
      </c>
      <c r="G127" s="54" t="s">
        <v>368</v>
      </c>
      <c r="H127" s="51"/>
      <c r="I127" s="171" t="str">
        <f t="shared" si="7"/>
        <v xml:space="preserve">For Android, use AlertDialog to display a message to extend time limits._x000D_
For iOS, use UIAlertController to control time limits. </v>
      </c>
      <c r="J127" s="137" t="s">
        <v>260</v>
      </c>
      <c r="K127" s="137" t="s">
        <v>369</v>
      </c>
      <c r="L127" s="55" t="str">
        <f t="shared" si="5"/>
        <v>Not Relevant</v>
      </c>
      <c r="M127" s="52"/>
      <c r="N127" s="52"/>
      <c r="O127" s="142"/>
    </row>
    <row r="128" spans="1:15" ht="43.5" hidden="1">
      <c r="A128" s="133">
        <v>40</v>
      </c>
      <c r="B128" s="170" t="str">
        <f t="shared" si="4"/>
        <v>Mobile App Forms</v>
      </c>
      <c r="C128" s="146" t="s">
        <v>260</v>
      </c>
      <c r="D128" s="150" t="s">
        <v>99</v>
      </c>
      <c r="E128" s="171" t="str">
        <f t="shared" si="6"/>
        <v xml:space="preserve">Use labels and instructions to give our customers clear direction for filling out forms. </v>
      </c>
      <c r="F128" s="53" t="s">
        <v>272</v>
      </c>
      <c r="G128" s="50" t="s">
        <v>370</v>
      </c>
      <c r="H128" s="51"/>
      <c r="I128" s="171" t="str">
        <f t="shared" si="7"/>
        <v xml:space="preserve">For Android, Provide accessible labels for fields. Use editText to provide explicit labels for fields. </v>
      </c>
      <c r="J128" s="137" t="s">
        <v>260</v>
      </c>
      <c r="K128" s="137" t="s">
        <v>371</v>
      </c>
      <c r="L128" s="55" t="str">
        <f t="shared" si="5"/>
        <v>Not Relevant</v>
      </c>
      <c r="M128" s="52"/>
      <c r="N128" s="52"/>
      <c r="O128" s="142"/>
    </row>
    <row r="129" spans="1:15" ht="43.5" hidden="1">
      <c r="A129" s="133">
        <v>9</v>
      </c>
      <c r="B129" s="170" t="str">
        <f t="shared" si="4"/>
        <v>Mobile App Multimedia</v>
      </c>
      <c r="C129" s="146" t="s">
        <v>372</v>
      </c>
      <c r="D129" s="146" t="s">
        <v>103</v>
      </c>
      <c r="E129" s="171" t="str">
        <f t="shared" si="6"/>
        <v>Ensure auto-playing audio can be paused or stops within three seconds</v>
      </c>
      <c r="F129" s="53" t="s">
        <v>228</v>
      </c>
      <c r="G129" s="54" t="s">
        <v>227</v>
      </c>
      <c r="H129" s="51"/>
      <c r="I129" s="171" t="str">
        <f t="shared" si="7"/>
        <v>Provide audio controls for any auto playing content that plays for more than 3 seconds.</v>
      </c>
      <c r="J129" s="137" t="s">
        <v>372</v>
      </c>
      <c r="K129" s="137" t="s">
        <v>229</v>
      </c>
      <c r="L129" s="55" t="str">
        <f t="shared" si="5"/>
        <v>Not Relevant</v>
      </c>
      <c r="M129" s="52"/>
      <c r="N129" s="52"/>
      <c r="O129" s="142"/>
    </row>
    <row r="130" spans="1:15" ht="87" hidden="1">
      <c r="A130" s="133">
        <v>48</v>
      </c>
      <c r="B130" s="170" t="str">
        <f t="shared" si="4"/>
        <v>Mobile App Navigation</v>
      </c>
      <c r="C130" s="146" t="s">
        <v>373</v>
      </c>
      <c r="D130" s="150" t="s">
        <v>105</v>
      </c>
      <c r="E130" s="171" t="str">
        <f t="shared" si="6"/>
        <v>Ensure logical focus order</v>
      </c>
      <c r="F130" s="53" t="s">
        <v>310</v>
      </c>
      <c r="G130" s="50" t="s">
        <v>324</v>
      </c>
      <c r="H130" s="51"/>
      <c r="I130" s="171" t="str">
        <f t="shared" si="7"/>
        <v xml:space="preserve">iOS: focus order is determined by the next and previous logical first responder._x000D_
Android: ensure focus order is properly controlled._x000D_
</v>
      </c>
      <c r="J130" s="137" t="s">
        <v>373</v>
      </c>
      <c r="K130" s="137" t="s">
        <v>374</v>
      </c>
      <c r="L130" s="55" t="str">
        <f t="shared" si="5"/>
        <v>Not Relevant</v>
      </c>
      <c r="M130" s="52"/>
      <c r="N130" s="52"/>
      <c r="O130" s="142"/>
    </row>
    <row r="131" spans="1:15" ht="72.5" hidden="1">
      <c r="A131" s="133">
        <v>50</v>
      </c>
      <c r="B131" s="170" t="str">
        <f t="shared" si="4"/>
        <v>Mobile App Navigation</v>
      </c>
      <c r="C131" s="146" t="s">
        <v>373</v>
      </c>
      <c r="D131" s="150" t="s">
        <v>105</v>
      </c>
      <c r="E131" s="171" t="str">
        <f t="shared" si="6"/>
        <v>Ensure navigation is logical and easy-to-use</v>
      </c>
      <c r="F131" s="53" t="s">
        <v>295</v>
      </c>
      <c r="G131" s="50" t="s">
        <v>296</v>
      </c>
      <c r="H131" s="51"/>
      <c r="I131" s="171" t="str">
        <f t="shared" si="7"/>
        <v>Present repeated components in the same relative order each time they appear and indicate current location using an item within a navigation feature.</v>
      </c>
      <c r="J131" s="137" t="s">
        <v>373</v>
      </c>
      <c r="K131" s="137" t="s">
        <v>375</v>
      </c>
      <c r="L131" s="55" t="str">
        <f t="shared" si="5"/>
        <v>Not Relevant</v>
      </c>
      <c r="M131" s="52"/>
      <c r="N131" s="52"/>
      <c r="O131" s="142"/>
    </row>
    <row r="132" spans="1:15" ht="87" hidden="1">
      <c r="A132" s="133" t="s">
        <v>376</v>
      </c>
      <c r="B132" s="170" t="str">
        <f t="shared" si="4"/>
        <v>Network</v>
      </c>
      <c r="C132" s="146" t="s">
        <v>379</v>
      </c>
      <c r="D132" s="150" t="s">
        <v>5</v>
      </c>
      <c r="E132" s="171" t="str">
        <f t="shared" si="6"/>
        <v>Ensure that that any additions, removals, reconfigurations, or changes to network features, functions, or capabilities do not impede the accessibility of any service(s) on the network.</v>
      </c>
      <c r="F132" s="53" t="s">
        <v>377</v>
      </c>
      <c r="G132" s="54" t="s">
        <v>378</v>
      </c>
      <c r="H132" s="51"/>
      <c r="I132" s="171" t="str">
        <f t="shared" si="7"/>
        <v>Test network non-impedance requirements</v>
      </c>
      <c r="J132" s="154" t="s">
        <v>379</v>
      </c>
      <c r="K132" s="154" t="s">
        <v>380</v>
      </c>
      <c r="L132" s="55" t="str">
        <f t="shared" si="5"/>
        <v>Not Relevant</v>
      </c>
      <c r="M132" s="52"/>
      <c r="N132" s="52"/>
      <c r="O132" s="142"/>
    </row>
    <row r="133" spans="1:15" ht="116" hidden="1">
      <c r="A133" s="133" t="s">
        <v>381</v>
      </c>
      <c r="B133" s="170" t="str">
        <f t="shared" si="4"/>
        <v>Network</v>
      </c>
      <c r="C133" s="146" t="s">
        <v>379</v>
      </c>
      <c r="D133" s="150" t="s">
        <v>5</v>
      </c>
      <c r="E133" s="171" t="str">
        <f t="shared" si="6"/>
        <v>Ensure that software and network equipment passes through all cross-manufacturer, nonproprietary, industry-standard codes, translation protocols, formats, or other information necessary to provide services in an accessible format.</v>
      </c>
      <c r="F133" s="53" t="s">
        <v>382</v>
      </c>
      <c r="G133" s="50" t="s">
        <v>383</v>
      </c>
      <c r="H133" s="51"/>
      <c r="I133" s="171" t="str">
        <f t="shared" si="7"/>
        <v>Test network pass-through.</v>
      </c>
      <c r="J133" s="154" t="s">
        <v>379</v>
      </c>
      <c r="K133" s="154" t="s">
        <v>384</v>
      </c>
      <c r="L133" s="55" t="str">
        <f t="shared" si="5"/>
        <v>Not Relevant</v>
      </c>
      <c r="M133" s="52"/>
      <c r="N133" s="52"/>
    </row>
    <row r="134" spans="1:15" ht="101.5" hidden="1">
      <c r="A134" s="133" t="s">
        <v>385</v>
      </c>
      <c r="B134" s="170" t="str">
        <f t="shared" si="4"/>
        <v>Network</v>
      </c>
      <c r="C134" s="146" t="s">
        <v>379</v>
      </c>
      <c r="D134" s="150" t="s">
        <v>5</v>
      </c>
      <c r="E134" s="171" t="str">
        <f t="shared" si="6"/>
        <v>Ensure that any signal compression technologies used by this project do not remove information needed to provide accessibility to the services or that the service restore it upon decompression.</v>
      </c>
      <c r="F134" s="53" t="s">
        <v>386</v>
      </c>
      <c r="G134" s="54" t="s">
        <v>387</v>
      </c>
      <c r="H134" s="51"/>
      <c r="I134" s="171" t="str">
        <f t="shared" si="7"/>
        <v>Test network compression.</v>
      </c>
      <c r="J134" s="154" t="s">
        <v>379</v>
      </c>
      <c r="K134" s="154" t="s">
        <v>388</v>
      </c>
      <c r="L134" s="55" t="str">
        <f t="shared" si="5"/>
        <v>Not Relevant</v>
      </c>
      <c r="M134" s="52"/>
      <c r="N134" s="52"/>
    </row>
    <row r="135" spans="1:15" ht="87" hidden="1">
      <c r="A135" s="133" t="s">
        <v>389</v>
      </c>
      <c r="B135" s="170" t="str">
        <f t="shared" si="4"/>
        <v>Network</v>
      </c>
      <c r="C135" s="146" t="s">
        <v>379</v>
      </c>
      <c r="D135" s="150" t="s">
        <v>5</v>
      </c>
      <c r="E135" s="171" t="str">
        <f t="shared" si="6"/>
        <v>Ensure network-based services (e.g., APIs, software-as-a-service, etc.) that are used to provide accessibility solutions are available at all times during use of the product or service.</v>
      </c>
      <c r="F135" s="53" t="s">
        <v>390</v>
      </c>
      <c r="G135" s="50" t="s">
        <v>391</v>
      </c>
      <c r="H135" s="51"/>
      <c r="I135" s="171" t="str">
        <f t="shared" si="7"/>
        <v>Test network availability.</v>
      </c>
      <c r="J135" s="154" t="s">
        <v>379</v>
      </c>
      <c r="K135" s="154" t="s">
        <v>392</v>
      </c>
      <c r="L135" s="55" t="str">
        <f t="shared" si="5"/>
        <v>Not Relevant</v>
      </c>
      <c r="M135" s="52"/>
      <c r="N135" s="52"/>
    </row>
    <row r="136" spans="1:15" ht="43.5" hidden="1">
      <c r="A136" s="133" t="s">
        <v>152</v>
      </c>
      <c r="B136" s="170" t="str">
        <f t="shared" si="4"/>
        <v>Removing Content (Bill)</v>
      </c>
      <c r="C136" s="146" t="s">
        <v>393</v>
      </c>
      <c r="D136" s="150" t="s">
        <v>79</v>
      </c>
      <c r="E136" s="171" t="str">
        <f t="shared" si="6"/>
        <v xml:space="preserve">The project will remain accessible, following the removal of content. </v>
      </c>
      <c r="F136" s="53" t="s">
        <v>393</v>
      </c>
      <c r="G136" s="54" t="s">
        <v>394</v>
      </c>
      <c r="H136" s="51"/>
      <c r="I136" s="171" t="str">
        <f t="shared" si="7"/>
        <v>Verify that only the intended content was removed.</v>
      </c>
      <c r="J136" s="137" t="s">
        <v>393</v>
      </c>
      <c r="K136" s="137" t="s">
        <v>395</v>
      </c>
      <c r="L136" s="55" t="str">
        <f t="shared" si="5"/>
        <v>Not Relevant</v>
      </c>
      <c r="M136" s="52"/>
      <c r="N136" s="52"/>
    </row>
    <row r="137" spans="1:15" ht="43.5" hidden="1">
      <c r="A137" s="133" t="s">
        <v>152</v>
      </c>
      <c r="B137" s="170" t="str">
        <f t="shared" si="4"/>
        <v>Removing Content (Letter)</v>
      </c>
      <c r="C137" s="146" t="s">
        <v>396</v>
      </c>
      <c r="D137" s="150" t="s">
        <v>81</v>
      </c>
      <c r="E137" s="171" t="str">
        <f t="shared" si="6"/>
        <v xml:space="preserve">The project will remain accessible, following the removal of content. </v>
      </c>
      <c r="F137" s="53" t="s">
        <v>396</v>
      </c>
      <c r="G137" s="50" t="s">
        <v>394</v>
      </c>
      <c r="H137" s="51"/>
      <c r="I137" s="171" t="str">
        <f t="shared" si="7"/>
        <v>Verify that only the intended content was removed.</v>
      </c>
      <c r="J137" s="137" t="s">
        <v>396</v>
      </c>
      <c r="K137" s="137" t="s">
        <v>395</v>
      </c>
      <c r="L137" s="55" t="str">
        <f t="shared" si="5"/>
        <v>Not Relevant</v>
      </c>
      <c r="M137" s="52"/>
      <c r="N137" s="52"/>
    </row>
    <row r="138" spans="1:15" ht="43.5" hidden="1">
      <c r="A138" s="133" t="s">
        <v>152</v>
      </c>
      <c r="B138" s="170" t="str">
        <f t="shared" si="4"/>
        <v>Removing Content (Email)</v>
      </c>
      <c r="C138" s="146" t="s">
        <v>301</v>
      </c>
      <c r="D138" s="150" t="s">
        <v>83</v>
      </c>
      <c r="E138" s="171" t="str">
        <f t="shared" si="6"/>
        <v xml:space="preserve">The project will remain accessible, following the removal of content. </v>
      </c>
      <c r="F138" s="53" t="s">
        <v>397</v>
      </c>
      <c r="G138" s="54" t="s">
        <v>394</v>
      </c>
      <c r="H138" s="51"/>
      <c r="I138" s="171" t="str">
        <f t="shared" si="7"/>
        <v>Verify that only the intended content was removed.</v>
      </c>
      <c r="J138" s="137" t="s">
        <v>397</v>
      </c>
      <c r="K138" s="137" t="s">
        <v>395</v>
      </c>
      <c r="L138" s="55" t="str">
        <f t="shared" si="5"/>
        <v>Not Relevant</v>
      </c>
      <c r="M138" s="52"/>
      <c r="N138" s="52"/>
    </row>
    <row r="139" spans="1:15" ht="43.5" hidden="1">
      <c r="A139" s="133" t="s">
        <v>152</v>
      </c>
      <c r="B139" s="170" t="str">
        <f t="shared" si="4"/>
        <v>Removing Content (IVR)</v>
      </c>
      <c r="C139" s="146" t="s">
        <v>398</v>
      </c>
      <c r="D139" s="150" t="s">
        <v>91</v>
      </c>
      <c r="E139" s="171" t="str">
        <f t="shared" si="6"/>
        <v xml:space="preserve">Removing IVR prompts does not require accessibility testing. </v>
      </c>
      <c r="F139" s="53" t="s">
        <v>398</v>
      </c>
      <c r="G139" s="50" t="s">
        <v>399</v>
      </c>
      <c r="H139" s="51"/>
      <c r="I139" s="171" t="str">
        <f t="shared" si="7"/>
        <v xml:space="preserve">Removing IVR prompts does not require accessibility testing. _x000D_
</v>
      </c>
      <c r="J139" s="137" t="s">
        <v>398</v>
      </c>
      <c r="K139" s="137" t="s">
        <v>400</v>
      </c>
      <c r="L139" s="55" t="str">
        <f t="shared" si="5"/>
        <v>Not Relevant</v>
      </c>
      <c r="M139" s="52"/>
      <c r="N139" s="52"/>
    </row>
    <row r="140" spans="1:15" ht="43.5" hidden="1">
      <c r="A140" s="133" t="s">
        <v>152</v>
      </c>
      <c r="B140" s="170" t="str">
        <f t="shared" si="4"/>
        <v>Removing Content (Web Page)</v>
      </c>
      <c r="C140" s="146" t="s">
        <v>401</v>
      </c>
      <c r="D140" s="155" t="s">
        <v>63</v>
      </c>
      <c r="E140" s="171" t="str">
        <f t="shared" si="6"/>
        <v xml:space="preserve">The project will remain accessible, following the removal of content. </v>
      </c>
      <c r="F140" s="53" t="s">
        <v>401</v>
      </c>
      <c r="G140" s="54" t="s">
        <v>394</v>
      </c>
      <c r="H140" s="51"/>
      <c r="I140" s="171" t="str">
        <f t="shared" si="7"/>
        <v>Verify that only the intended content was removed.</v>
      </c>
      <c r="J140" s="137" t="s">
        <v>401</v>
      </c>
      <c r="K140" s="137" t="s">
        <v>395</v>
      </c>
      <c r="L140" s="55" t="str">
        <f t="shared" si="5"/>
        <v>Not Relevant</v>
      </c>
      <c r="M140" s="52"/>
      <c r="N140" s="52"/>
    </row>
    <row r="141" spans="1:15" ht="58" hidden="1">
      <c r="A141" s="133" t="s">
        <v>152</v>
      </c>
      <c r="B141" s="170" t="str">
        <f t="shared" si="4"/>
        <v>Chat</v>
      </c>
      <c r="C141" s="146" t="s">
        <v>402</v>
      </c>
      <c r="D141" s="150" t="s">
        <v>3</v>
      </c>
      <c r="E141" s="171" t="str">
        <f t="shared" si="6"/>
        <v>Chat projects must follow the guidance on Chat Accessibility.</v>
      </c>
      <c r="F141" s="53" t="s">
        <v>402</v>
      </c>
      <c r="G141" s="50" t="s">
        <v>403</v>
      </c>
      <c r="H141" s="51"/>
      <c r="I141" s="171" t="str">
        <f t="shared" si="7"/>
        <v>See the step by step guide to testing on chat accessibility and use the ACAST to serve as test cases for the project.</v>
      </c>
      <c r="J141" s="137" t="s">
        <v>402</v>
      </c>
      <c r="K141" s="137" t="s">
        <v>404</v>
      </c>
      <c r="L141" s="55" t="str">
        <f t="shared" si="5"/>
        <v>Not Relevant</v>
      </c>
      <c r="M141" s="52"/>
      <c r="N141" s="52"/>
    </row>
    <row r="142" spans="1:15" ht="43.5" hidden="1">
      <c r="A142" s="133">
        <v>11</v>
      </c>
      <c r="B142" s="170" t="str">
        <f t="shared" si="4"/>
        <v>Chat</v>
      </c>
      <c r="C142" s="146" t="s">
        <v>402</v>
      </c>
      <c r="D142" s="150" t="s">
        <v>3</v>
      </c>
      <c r="E142" s="171" t="str">
        <f t="shared" si="6"/>
        <v>Use additional elements besides color to convey relevant information.</v>
      </c>
      <c r="F142" s="53" t="s">
        <v>335</v>
      </c>
      <c r="G142" s="54" t="s">
        <v>144</v>
      </c>
      <c r="H142" s="51"/>
      <c r="I142" s="171" t="str">
        <f t="shared" si="7"/>
        <v>Do not use color alone to convey information.</v>
      </c>
      <c r="J142" s="137" t="s">
        <v>141</v>
      </c>
      <c r="K142" s="137" t="s">
        <v>145</v>
      </c>
      <c r="L142" s="55" t="str">
        <f t="shared" si="5"/>
        <v>Not Relevant</v>
      </c>
      <c r="M142" s="52"/>
      <c r="N142" s="52"/>
    </row>
    <row r="143" spans="1:15" ht="43.5" hidden="1">
      <c r="A143" s="133">
        <v>12</v>
      </c>
      <c r="B143" s="170" t="str">
        <f t="shared" si="4"/>
        <v>Chat</v>
      </c>
      <c r="C143" s="146" t="s">
        <v>402</v>
      </c>
      <c r="D143" s="150" t="s">
        <v>3</v>
      </c>
      <c r="E143" s="171" t="str">
        <f t="shared" si="6"/>
        <v>Foreground text and background color contrast ratio should be 4.5:1 or greater.</v>
      </c>
      <c r="F143" s="53" t="s">
        <v>333</v>
      </c>
      <c r="G143" s="50" t="s">
        <v>405</v>
      </c>
      <c r="H143" s="51"/>
      <c r="I143" s="171" t="str">
        <f t="shared" si="7"/>
        <v>Test using the Colour Contrast Analyser or the WAT (Web Accessibility Toolbar)</v>
      </c>
      <c r="J143" s="137" t="s">
        <v>141</v>
      </c>
      <c r="K143" s="137" t="s">
        <v>143</v>
      </c>
      <c r="L143" s="55" t="str">
        <f t="shared" si="5"/>
        <v>Not Relevant</v>
      </c>
      <c r="M143" s="52"/>
      <c r="N143" s="52"/>
    </row>
    <row r="144" spans="1:15" ht="43.5" hidden="1">
      <c r="A144" s="133">
        <v>20</v>
      </c>
      <c r="B144" s="170" t="str">
        <f t="shared" si="4"/>
        <v>Chat</v>
      </c>
      <c r="C144" s="146" t="s">
        <v>402</v>
      </c>
      <c r="D144" s="150" t="s">
        <v>3</v>
      </c>
      <c r="E144" s="171" t="str">
        <f t="shared" si="6"/>
        <v>Make content easily readable and understandable.</v>
      </c>
      <c r="F144" s="53" t="s">
        <v>196</v>
      </c>
      <c r="G144" s="54" t="s">
        <v>197</v>
      </c>
      <c r="H144" s="51"/>
      <c r="I144" s="171" t="str">
        <f t="shared" si="7"/>
        <v>Use Flesch-Kincaid to measure readability grade level of 9.9 or below.</v>
      </c>
      <c r="J144" s="53" t="s">
        <v>146</v>
      </c>
      <c r="K144" s="137" t="s">
        <v>148</v>
      </c>
      <c r="L144" s="55" t="str">
        <f t="shared" si="5"/>
        <v>Not Relevant</v>
      </c>
      <c r="M144" s="52"/>
      <c r="N144" s="52"/>
    </row>
    <row r="145" spans="1:17" ht="29" hidden="1">
      <c r="A145" s="133">
        <v>21</v>
      </c>
      <c r="B145" s="170" t="str">
        <f t="shared" si="4"/>
        <v>Chat</v>
      </c>
      <c r="C145" s="146" t="s">
        <v>402</v>
      </c>
      <c r="D145" s="150" t="s">
        <v>3</v>
      </c>
      <c r="E145" s="171" t="str">
        <f t="shared" si="6"/>
        <v>Link text must clearly identify destination or action.</v>
      </c>
      <c r="F145" s="53" t="s">
        <v>831</v>
      </c>
      <c r="G145" s="50" t="s">
        <v>406</v>
      </c>
      <c r="H145" s="51"/>
      <c r="I145" s="171" t="str">
        <f t="shared" si="7"/>
        <v>Ensure link text clearly identifies destination or action.</v>
      </c>
      <c r="J145" s="137" t="s">
        <v>149</v>
      </c>
      <c r="K145" s="137" t="s">
        <v>151</v>
      </c>
      <c r="L145" s="55" t="str">
        <f t="shared" si="5"/>
        <v>Not Relevant</v>
      </c>
      <c r="M145" s="52"/>
      <c r="N145" s="52"/>
    </row>
    <row r="146" spans="1:17" ht="43.5" hidden="1">
      <c r="A146" s="133">
        <v>41</v>
      </c>
      <c r="B146" s="170" t="str">
        <f t="shared" si="4"/>
        <v>Chat</v>
      </c>
      <c r="C146" s="146" t="s">
        <v>402</v>
      </c>
      <c r="D146" s="150" t="s">
        <v>3</v>
      </c>
      <c r="E146" s="171" t="str">
        <f t="shared" si="6"/>
        <v>Images that convey important information must have meaningful alternative texts.</v>
      </c>
      <c r="F146" s="53" t="s">
        <v>288</v>
      </c>
      <c r="G146" s="54" t="s">
        <v>136</v>
      </c>
      <c r="H146" s="51"/>
      <c r="I146" s="171" t="str">
        <f t="shared" si="7"/>
        <v>Provide textual alternatives for all images.</v>
      </c>
      <c r="J146" s="137" t="s">
        <v>135</v>
      </c>
      <c r="K146" s="137" t="s">
        <v>137</v>
      </c>
      <c r="L146" s="55" t="str">
        <f t="shared" si="5"/>
        <v>Not Relevant</v>
      </c>
      <c r="M146" s="52"/>
      <c r="N146" s="52"/>
    </row>
    <row r="147" spans="1:17" ht="43.5" hidden="1">
      <c r="A147" s="133">
        <v>43</v>
      </c>
      <c r="B147" s="170" t="str">
        <f t="shared" si="4"/>
        <v>Chat</v>
      </c>
      <c r="C147" s="146" t="s">
        <v>402</v>
      </c>
      <c r="D147" s="150" t="s">
        <v>3</v>
      </c>
      <c r="E147" s="171" t="str">
        <f t="shared" si="6"/>
        <v>Use live text instead of images where possible.</v>
      </c>
      <c r="F147" s="53" t="s">
        <v>292</v>
      </c>
      <c r="G147" s="50" t="s">
        <v>138</v>
      </c>
      <c r="H147" s="51"/>
      <c r="I147" s="171" t="str">
        <f t="shared" si="7"/>
        <v xml:space="preserve"> Ensure that text, instead of images of text, is used wherever possible. </v>
      </c>
      <c r="J147" s="137" t="s">
        <v>135</v>
      </c>
      <c r="K147" s="137" t="s">
        <v>303</v>
      </c>
      <c r="L147" s="55" t="str">
        <f t="shared" si="5"/>
        <v>Not Relevant</v>
      </c>
      <c r="M147" s="52"/>
      <c r="N147" s="52"/>
    </row>
    <row r="148" spans="1:17" ht="43.5" hidden="1">
      <c r="A148" s="133">
        <v>18</v>
      </c>
      <c r="B148" s="170" t="str">
        <f t="shared" ref="B148:B211" si="8">HYPERLINK(arcTarget &amp; "fwd/?src=xlguide&amp;url=" &amp; arcTarget &amp; C148,D148)</f>
        <v>Chat</v>
      </c>
      <c r="C148" s="146" t="s">
        <v>402</v>
      </c>
      <c r="D148" s="150" t="s">
        <v>3</v>
      </c>
      <c r="E148" s="171" t="str">
        <f t="shared" si="6"/>
        <v xml:space="preserve">Add correct markup for a page or app’s language </v>
      </c>
      <c r="F148" s="53" t="s">
        <v>169</v>
      </c>
      <c r="G148" s="54" t="s">
        <v>170</v>
      </c>
      <c r="H148" s="51"/>
      <c r="I148" s="171" t="str">
        <f t="shared" si="7"/>
        <v>View the DOM of the page and verify HTML elements contain a valid lang attribute.</v>
      </c>
      <c r="J148" s="137" t="s">
        <v>167</v>
      </c>
      <c r="K148" s="137" t="s">
        <v>171</v>
      </c>
      <c r="L148" s="55" t="str">
        <f t="shared" si="5"/>
        <v>Not Relevant</v>
      </c>
      <c r="M148" s="52"/>
      <c r="N148" s="52"/>
    </row>
    <row r="149" spans="1:17" ht="87" hidden="1">
      <c r="A149" s="133">
        <v>25</v>
      </c>
      <c r="B149" s="170" t="str">
        <f t="shared" si="8"/>
        <v>Chat</v>
      </c>
      <c r="C149" s="146" t="s">
        <v>402</v>
      </c>
      <c r="D149" s="150" t="s">
        <v>3</v>
      </c>
      <c r="E149" s="171" t="str">
        <f t="shared" si="6"/>
        <v>Ensure content does not rely on sensory characteristics</v>
      </c>
      <c r="F149" s="53" t="s">
        <v>407</v>
      </c>
      <c r="G149" s="54" t="s">
        <v>311</v>
      </c>
      <c r="H149" s="51"/>
      <c r="I149" s="171" t="str">
        <f t="shared" si="7"/>
        <v>It is important to convey instructions with textual descriptions to make sure users who cannot see, or cannot hear can still have access to the information.</v>
      </c>
      <c r="J149" s="137" t="s">
        <v>407</v>
      </c>
      <c r="K149" s="137" t="s">
        <v>408</v>
      </c>
      <c r="L149" s="55" t="str">
        <f t="shared" ref="L149:L212" si="9">IF(OR($H149="Not Relevant",$H149=""), "Not Relevant","")</f>
        <v>Not Relevant</v>
      </c>
      <c r="M149" s="52"/>
      <c r="N149" s="52"/>
    </row>
    <row r="150" spans="1:17" ht="72.5" hidden="1">
      <c r="A150" s="133">
        <v>30</v>
      </c>
      <c r="B150" s="170" t="str">
        <f t="shared" si="8"/>
        <v>Chat</v>
      </c>
      <c r="C150" s="146" t="s">
        <v>402</v>
      </c>
      <c r="D150" s="150" t="s">
        <v>3</v>
      </c>
      <c r="E150" s="171" t="str">
        <f t="shared" si="6"/>
        <v xml:space="preserve">Ensure names, roles, states, properties, and values of user interface components are programmatically set and determined </v>
      </c>
      <c r="F150" s="53" t="s">
        <v>175</v>
      </c>
      <c r="G150" s="54" t="s">
        <v>176</v>
      </c>
      <c r="H150" s="51"/>
      <c r="I150" s="171" t="str">
        <f t="shared" si="7"/>
        <v>Inspect the HTML source code and verify the name, value and state are specified and correct.</v>
      </c>
      <c r="J150" s="137" t="s">
        <v>167</v>
      </c>
      <c r="K150" s="137" t="s">
        <v>177</v>
      </c>
      <c r="L150" s="55" t="str">
        <f t="shared" si="9"/>
        <v>Not Relevant</v>
      </c>
      <c r="M150" s="52"/>
      <c r="N150" s="52"/>
    </row>
    <row r="151" spans="1:17" ht="43.5" hidden="1">
      <c r="A151" s="133">
        <v>32</v>
      </c>
      <c r="B151" s="170" t="str">
        <f t="shared" si="8"/>
        <v>Chat</v>
      </c>
      <c r="C151" s="146" t="s">
        <v>402</v>
      </c>
      <c r="D151" s="150" t="s">
        <v>3</v>
      </c>
      <c r="E151" s="171" t="str">
        <f t="shared" si="6"/>
        <v xml:space="preserve">Ensure that page or screen titles clearly present the topic or purpose of the content </v>
      </c>
      <c r="F151" s="53" t="s">
        <v>181</v>
      </c>
      <c r="G151" s="50" t="s">
        <v>182</v>
      </c>
      <c r="H151" s="51"/>
      <c r="I151" s="171" t="str">
        <f t="shared" si="7"/>
        <v>Inspect the HTML source code and verify that the web page has a title relevant to the content.</v>
      </c>
      <c r="J151" s="137" t="s">
        <v>167</v>
      </c>
      <c r="K151" s="137" t="s">
        <v>183</v>
      </c>
      <c r="L151" s="55" t="str">
        <f t="shared" si="9"/>
        <v>Not Relevant</v>
      </c>
      <c r="M151" s="52"/>
      <c r="N151" s="52"/>
    </row>
    <row r="152" spans="1:17" ht="29" hidden="1">
      <c r="A152" s="133">
        <v>58</v>
      </c>
      <c r="B152" s="170" t="str">
        <f t="shared" si="8"/>
        <v>Chat</v>
      </c>
      <c r="C152" s="146" t="s">
        <v>402</v>
      </c>
      <c r="D152" s="150" t="s">
        <v>3</v>
      </c>
      <c r="E152" s="171" t="str">
        <f t="shared" si="6"/>
        <v>Ensure that page text remains useable when scaled up to 200%</v>
      </c>
      <c r="F152" s="53" t="s">
        <v>313</v>
      </c>
      <c r="G152" s="54" t="s">
        <v>409</v>
      </c>
      <c r="H152" s="51"/>
      <c r="I152" s="171" t="str">
        <f t="shared" si="7"/>
        <v>Ensure that zooming and font scaling are not blocked.</v>
      </c>
      <c r="J152" s="137" t="s">
        <v>313</v>
      </c>
      <c r="K152" s="137" t="s">
        <v>410</v>
      </c>
      <c r="L152" s="55" t="str">
        <f t="shared" si="9"/>
        <v>Not Relevant</v>
      </c>
      <c r="M152" s="52"/>
      <c r="N152" s="52"/>
    </row>
    <row r="153" spans="1:17" ht="87" hidden="1">
      <c r="A153" s="133">
        <v>44</v>
      </c>
      <c r="B153" s="170" t="str">
        <f t="shared" si="8"/>
        <v>Chat</v>
      </c>
      <c r="C153" s="146" t="s">
        <v>402</v>
      </c>
      <c r="D153" s="150" t="s">
        <v>3</v>
      </c>
      <c r="E153" s="171" t="str">
        <f t="shared" ref="E153:E216" si="10">HYPERLINK(arcTarget &amp; "fwd/?src=xlguide&amp;url=" &amp; arcTarget &amp; F153,G153)</f>
        <v>Ensure that all active elements receive keyboard focus</v>
      </c>
      <c r="F153" s="53" t="s">
        <v>304</v>
      </c>
      <c r="G153" s="50" t="s">
        <v>411</v>
      </c>
      <c r="H153" s="51"/>
      <c r="I153" s="171" t="str">
        <f t="shared" ref="I153:I216" si="11">HYPERLINK(arcTarget &amp; "fwd/?src=xlguide&amp;url=" &amp; arcTarget &amp; J153,K153)</f>
        <v>All user actionable elements must be accessible with the keyboard. When an element can be triggered via the mouse, the element must also be actionable via the keyboard.</v>
      </c>
      <c r="J153" s="137" t="s">
        <v>304</v>
      </c>
      <c r="K153" s="137" t="s">
        <v>412</v>
      </c>
      <c r="L153" s="55" t="str">
        <f t="shared" si="9"/>
        <v>Not Relevant</v>
      </c>
      <c r="M153" s="52"/>
      <c r="N153" s="52"/>
    </row>
    <row r="154" spans="1:17" ht="72.5" hidden="1">
      <c r="A154" s="133">
        <v>45</v>
      </c>
      <c r="B154" s="170" t="str">
        <f t="shared" si="8"/>
        <v>Chat</v>
      </c>
      <c r="C154" s="146" t="s">
        <v>402</v>
      </c>
      <c r="D154" s="150" t="s">
        <v>3</v>
      </c>
      <c r="E154" s="171" t="str">
        <f t="shared" si="10"/>
        <v>Ensure that keyboard focus is indicated visually</v>
      </c>
      <c r="F154" s="53" t="s">
        <v>307</v>
      </c>
      <c r="G154" s="54" t="s">
        <v>308</v>
      </c>
      <c r="H154" s="51"/>
      <c r="I154" s="171" t="str">
        <f t="shared" si="11"/>
        <v>The focus indicator should be highlighted to provide a clear indication of where keyboard focus is positioned on the screen.</v>
      </c>
      <c r="J154" s="137" t="s">
        <v>307</v>
      </c>
      <c r="K154" s="137" t="s">
        <v>413</v>
      </c>
      <c r="L154" s="55" t="str">
        <f t="shared" si="9"/>
        <v>Not Relevant</v>
      </c>
      <c r="M154" s="52"/>
      <c r="N154" s="52"/>
    </row>
    <row r="155" spans="1:17" ht="101.5" hidden="1">
      <c r="A155" s="133">
        <v>46</v>
      </c>
      <c r="B155" s="170" t="str">
        <f t="shared" si="8"/>
        <v>Chat</v>
      </c>
      <c r="C155" s="146" t="s">
        <v>402</v>
      </c>
      <c r="D155" s="150" t="s">
        <v>3</v>
      </c>
      <c r="E155" s="171" t="str">
        <f t="shared" si="10"/>
        <v>Ensure that keyboard focus can be moved away from keyboard-accessible components</v>
      </c>
      <c r="F155" s="53" t="s">
        <v>321</v>
      </c>
      <c r="G155" s="50" t="s">
        <v>322</v>
      </c>
      <c r="H155" s="51"/>
      <c r="I155" s="171" t="str">
        <f t="shared" si="11"/>
        <v>Avoid a keyboard trap. A keyboard "trap" is a region of a Web page into which a keyboard-only user can move her focus, but she cannot move out of that part of the Web page using just a keyboard.</v>
      </c>
      <c r="J155" s="137" t="s">
        <v>321</v>
      </c>
      <c r="K155" s="137" t="s">
        <v>414</v>
      </c>
      <c r="L155" s="55" t="str">
        <f t="shared" si="9"/>
        <v>Not Relevant</v>
      </c>
      <c r="M155" s="52"/>
      <c r="N155" s="52"/>
    </row>
    <row r="156" spans="1:17" ht="58" hidden="1">
      <c r="A156" s="133">
        <v>48</v>
      </c>
      <c r="B156" s="170" t="str">
        <f t="shared" si="8"/>
        <v>Chat</v>
      </c>
      <c r="C156" s="146" t="s">
        <v>402</v>
      </c>
      <c r="D156" s="150" t="s">
        <v>3</v>
      </c>
      <c r="E156" s="171" t="str">
        <f t="shared" si="10"/>
        <v>Ensure logical focus order</v>
      </c>
      <c r="F156" s="53" t="s">
        <v>310</v>
      </c>
      <c r="G156" s="50" t="s">
        <v>324</v>
      </c>
      <c r="H156" s="51"/>
      <c r="I156" s="171" t="str">
        <f t="shared" si="11"/>
        <v xml:space="preserve">The order of the elements in the DOM: the tabbing order will follow the order based on their placement in the DOM </v>
      </c>
      <c r="J156" s="137" t="s">
        <v>310</v>
      </c>
      <c r="K156" s="137" t="s">
        <v>415</v>
      </c>
      <c r="L156" s="55" t="str">
        <f t="shared" si="9"/>
        <v>Not Relevant</v>
      </c>
      <c r="M156" s="52"/>
      <c r="N156" s="52"/>
    </row>
    <row r="157" spans="1:17" ht="87" hidden="1">
      <c r="A157" s="133" t="s">
        <v>152</v>
      </c>
      <c r="B157" s="170" t="str">
        <f t="shared" si="8"/>
        <v>Desktop (Windows)</v>
      </c>
      <c r="C157" s="146" t="s">
        <v>417</v>
      </c>
      <c r="D157" s="150" t="s">
        <v>416</v>
      </c>
      <c r="E157" s="171" t="str">
        <f t="shared" si="10"/>
        <v>If your application is running on Windows, become acquainted with the Microsoft accessibility overview and Microsoft’s Accessibility testing guidelines.</v>
      </c>
      <c r="F157" s="53" t="s">
        <v>417</v>
      </c>
      <c r="G157" s="50" t="s">
        <v>418</v>
      </c>
      <c r="H157" s="51"/>
      <c r="I157" s="171" t="str">
        <f t="shared" si="11"/>
        <v>The testing guidelines provides detailed specifications for designing and implementing an intuitive, consistent, and aesthetically pleasing user interface.</v>
      </c>
      <c r="J157" s="137" t="s">
        <v>419</v>
      </c>
      <c r="K157" s="137" t="s">
        <v>420</v>
      </c>
      <c r="L157" s="55" t="str">
        <f t="shared" si="9"/>
        <v>Not Relevant</v>
      </c>
      <c r="M157" s="52"/>
      <c r="N157" s="52"/>
    </row>
    <row r="158" spans="1:17" ht="87" hidden="1">
      <c r="A158" s="133" t="s">
        <v>152</v>
      </c>
      <c r="B158" s="170" t="str">
        <f t="shared" si="8"/>
        <v>Desktop (macOS)</v>
      </c>
      <c r="C158" s="146" t="s">
        <v>827</v>
      </c>
      <c r="D158" s="150" t="s">
        <v>421</v>
      </c>
      <c r="E158" s="171" t="str">
        <f t="shared" si="10"/>
        <v>If your application is running on macOS, become acquainted with the macOS Human Interface Guidelines.</v>
      </c>
      <c r="F158" s="53" t="s">
        <v>422</v>
      </c>
      <c r="G158" s="54" t="s">
        <v>423</v>
      </c>
      <c r="H158" s="51"/>
      <c r="I158" s="171" t="str">
        <f t="shared" si="11"/>
        <v>The macOS Human Interface Guidelines provides detailed specifications for designing and implementing an intuitive, consistent, and aesthetically pleasing user interface.</v>
      </c>
      <c r="J158" s="137" t="s">
        <v>424</v>
      </c>
      <c r="K158" s="137" t="s">
        <v>425</v>
      </c>
      <c r="L158" s="55" t="str">
        <f t="shared" si="9"/>
        <v>Not Relevant</v>
      </c>
      <c r="M158" s="52"/>
      <c r="N158" s="52"/>
    </row>
    <row r="159" spans="1:17" ht="43.5" hidden="1">
      <c r="A159" s="133" t="s">
        <v>152</v>
      </c>
      <c r="B159" s="170" t="str">
        <f t="shared" si="8"/>
        <v>Desktop (Windows or macOS)</v>
      </c>
      <c r="C159" s="146" t="s">
        <v>828</v>
      </c>
      <c r="D159" s="150" t="s">
        <v>426</v>
      </c>
      <c r="E159" s="171" t="str">
        <f t="shared" si="10"/>
        <v>Support full keyboard navigation.</v>
      </c>
      <c r="F159" s="53" t="s">
        <v>427</v>
      </c>
      <c r="G159" s="50" t="s">
        <v>428</v>
      </c>
      <c r="H159" s="51"/>
      <c r="I159" s="171" t="str">
        <f t="shared" si="11"/>
        <v>Users should be able to perform all an app’s functions using the keyboard alone.</v>
      </c>
      <c r="J159" s="137" t="s">
        <v>427</v>
      </c>
      <c r="K159" s="137" t="s">
        <v>429</v>
      </c>
      <c r="L159" s="55" t="str">
        <f t="shared" si="9"/>
        <v>Not Relevant</v>
      </c>
      <c r="M159" s="52"/>
      <c r="N159" s="52"/>
      <c r="Q159" s="156"/>
    </row>
    <row r="160" spans="1:17" ht="116" hidden="1">
      <c r="A160" s="133" t="s">
        <v>152</v>
      </c>
      <c r="B160" s="170" t="str">
        <f t="shared" si="8"/>
        <v>Desktop (Windows or macOS)</v>
      </c>
      <c r="C160" s="146" t="s">
        <v>828</v>
      </c>
      <c r="D160" s="150" t="s">
        <v>426</v>
      </c>
      <c r="E160" s="171" t="str">
        <f t="shared" si="10"/>
        <v>Don’t override built-in keyboard shortcuts.</v>
      </c>
      <c r="F160" s="53" t="s">
        <v>427</v>
      </c>
      <c r="G160" s="54" t="s">
        <v>430</v>
      </c>
      <c r="H160" s="51"/>
      <c r="I160" s="171" t="str">
        <f t="shared" si="11"/>
        <v>As a general rule, never override reserved keyboard shortcuts. In particular, be certain to retain accessibility-related keyboard shortcuts, to ensure users who have enabled full keyboard access can work with the app as expected.</v>
      </c>
      <c r="J160" s="137" t="s">
        <v>427</v>
      </c>
      <c r="K160" s="137" t="s">
        <v>431</v>
      </c>
      <c r="L160" s="55" t="str">
        <f t="shared" si="9"/>
        <v>Not Relevant</v>
      </c>
      <c r="M160" s="52"/>
      <c r="N160" s="52"/>
    </row>
    <row r="161" spans="1:14" ht="58" hidden="1">
      <c r="A161" s="133" t="s">
        <v>432</v>
      </c>
      <c r="B161" s="170" t="str">
        <f t="shared" si="8"/>
        <v>Desktop (Windows or macOS)</v>
      </c>
      <c r="C161" s="146" t="s">
        <v>828</v>
      </c>
      <c r="D161" s="150" t="s">
        <v>426</v>
      </c>
      <c r="E161" s="171" t="str">
        <f t="shared" si="10"/>
        <v>Provide alternatives for drag-and-drop operations</v>
      </c>
      <c r="F161" s="53" t="s">
        <v>433</v>
      </c>
      <c r="G161" s="50" t="s">
        <v>434</v>
      </c>
      <c r="H161" s="51"/>
      <c r="I161" s="171" t="str">
        <f t="shared" si="11"/>
        <v>If the app relies on drag-and-drop operations in its workflow, provide alternative ways to accomplish the same tasks.</v>
      </c>
      <c r="J161" s="137" t="s">
        <v>433</v>
      </c>
      <c r="K161" s="137" t="s">
        <v>435</v>
      </c>
      <c r="L161" s="55" t="str">
        <f t="shared" si="9"/>
        <v>Not Relevant</v>
      </c>
      <c r="M161" s="52"/>
      <c r="N161" s="52"/>
    </row>
    <row r="162" spans="1:14" ht="72.5" hidden="1">
      <c r="A162" s="133" t="s">
        <v>436</v>
      </c>
      <c r="B162" s="170" t="str">
        <f t="shared" si="8"/>
        <v>Desktop (Windows or macOS)</v>
      </c>
      <c r="C162" s="146" t="s">
        <v>828</v>
      </c>
      <c r="D162" s="150" t="s">
        <v>426</v>
      </c>
      <c r="E162" s="171" t="str">
        <f t="shared" si="10"/>
        <v>Make sure there’s always a way out of the app’s workflow.</v>
      </c>
      <c r="F162" s="53" t="s">
        <v>437</v>
      </c>
      <c r="G162" s="54" t="s">
        <v>438</v>
      </c>
      <c r="H162" s="51"/>
      <c r="I162" s="171" t="str">
        <f t="shared" si="11"/>
        <v>Having a way out of the app’s workflow is important for all users, of course, but it’s essential for users of assistive technologies.</v>
      </c>
      <c r="J162" s="137" t="s">
        <v>437</v>
      </c>
      <c r="K162" s="137" t="s">
        <v>439</v>
      </c>
      <c r="L162" s="55" t="str">
        <f t="shared" si="9"/>
        <v>Not Relevant</v>
      </c>
      <c r="M162" s="52"/>
      <c r="N162" s="52"/>
    </row>
    <row r="163" spans="1:14" ht="58" hidden="1">
      <c r="A163" s="133" t="s">
        <v>440</v>
      </c>
      <c r="B163" s="170" t="str">
        <f t="shared" si="8"/>
        <v>Desktop (Windows or macOS)</v>
      </c>
      <c r="C163" s="146" t="s">
        <v>828</v>
      </c>
      <c r="D163" s="150" t="s">
        <v>426</v>
      </c>
      <c r="E163" s="171" t="str">
        <f t="shared" si="10"/>
        <v>Although color can greatly enhance a user interface, make sure it is not the only source of information.</v>
      </c>
      <c r="F163" s="53" t="s">
        <v>441</v>
      </c>
      <c r="G163" s="50" t="s">
        <v>442</v>
      </c>
      <c r="H163" s="51"/>
      <c r="I163" s="171" t="str">
        <f t="shared" si="11"/>
        <v xml:space="preserve">A color blind user may not be able to distinguish between two objects that differ only in color. </v>
      </c>
      <c r="J163" s="137" t="s">
        <v>441</v>
      </c>
      <c r="K163" s="137" t="s">
        <v>443</v>
      </c>
      <c r="L163" s="55" t="str">
        <f t="shared" si="9"/>
        <v>Not Relevant</v>
      </c>
      <c r="M163" s="52"/>
      <c r="N163" s="52"/>
    </row>
    <row r="164" spans="1:14" ht="43.5" hidden="1">
      <c r="A164" s="133" t="s">
        <v>444</v>
      </c>
      <c r="B164" s="170" t="str">
        <f t="shared" si="8"/>
        <v>Desktop (Windows or macOS)</v>
      </c>
      <c r="C164" s="146" t="s">
        <v>828</v>
      </c>
      <c r="D164" s="150" t="s">
        <v>426</v>
      </c>
      <c r="E164" s="171" t="str">
        <f t="shared" si="10"/>
        <v>Provide an audio option to all visual cues and feedback.</v>
      </c>
      <c r="F164" s="53" t="s">
        <v>445</v>
      </c>
      <c r="G164" s="54" t="s">
        <v>446</v>
      </c>
      <c r="H164" s="51"/>
      <c r="I164" s="171" t="str">
        <f t="shared" si="11"/>
        <v>The app should make it easy to replace visual communication with audio communication.</v>
      </c>
      <c r="J164" s="137" t="s">
        <v>445</v>
      </c>
      <c r="K164" s="137" t="s">
        <v>447</v>
      </c>
      <c r="L164" s="55" t="str">
        <f t="shared" si="9"/>
        <v>Not Relevant</v>
      </c>
      <c r="M164" s="52"/>
      <c r="N164" s="52"/>
    </row>
    <row r="165" spans="1:14" ht="87" hidden="1">
      <c r="A165" s="133" t="s">
        <v>436</v>
      </c>
      <c r="B165" s="170" t="str">
        <f t="shared" si="8"/>
        <v>Desktop (Windows or macOS)</v>
      </c>
      <c r="C165" s="146" t="s">
        <v>828</v>
      </c>
      <c r="D165" s="150" t="s">
        <v>426</v>
      </c>
      <c r="E165" s="171" t="str">
        <f t="shared" si="10"/>
        <v>Provide an option to present images and animated content in an alternative manner.</v>
      </c>
      <c r="F165" s="53" t="s">
        <v>437</v>
      </c>
      <c r="G165" s="50" t="s">
        <v>448</v>
      </c>
      <c r="H165" s="51"/>
      <c r="I165" s="171" t="str">
        <f t="shared" si="11"/>
        <v>If the app displays an image or animation, consider providing succinct descriptions of these elements so that blind or low-vision users can benefit from the information they convey.</v>
      </c>
      <c r="J165" s="137" t="s">
        <v>437</v>
      </c>
      <c r="K165" s="137" t="s">
        <v>449</v>
      </c>
      <c r="L165" s="55" t="str">
        <f t="shared" si="9"/>
        <v>Not Relevant</v>
      </c>
      <c r="M165" s="52"/>
      <c r="N165" s="52"/>
    </row>
    <row r="166" spans="1:14" ht="58" hidden="1">
      <c r="A166" s="133" t="s">
        <v>450</v>
      </c>
      <c r="B166" s="170" t="str">
        <f t="shared" si="8"/>
        <v>Desktop (Windows or macOS)</v>
      </c>
      <c r="C166" s="146" t="s">
        <v>828</v>
      </c>
      <c r="D166" s="150" t="s">
        <v>426</v>
      </c>
      <c r="E166" s="171" t="str">
        <f t="shared" si="10"/>
        <v xml:space="preserve">The app should not override the audio-output settings the user selects in System Preferences. </v>
      </c>
      <c r="F166" s="53" t="s">
        <v>451</v>
      </c>
      <c r="G166" s="54" t="s">
        <v>452</v>
      </c>
      <c r="H166" s="51"/>
      <c r="I166" s="171" t="str">
        <f t="shared" si="11"/>
        <v xml:space="preserve">Ensure the app does not override the audio-output settings the user selects in System Preferences. </v>
      </c>
      <c r="J166" s="137" t="s">
        <v>451</v>
      </c>
      <c r="K166" s="137" t="s">
        <v>453</v>
      </c>
      <c r="L166" s="55" t="str">
        <f t="shared" si="9"/>
        <v>Not Relevant</v>
      </c>
      <c r="M166" s="52"/>
      <c r="N166" s="52"/>
    </row>
    <row r="167" spans="1:14" ht="87" hidden="1">
      <c r="A167" s="133" t="s">
        <v>454</v>
      </c>
      <c r="B167" s="170" t="str">
        <f t="shared" si="8"/>
        <v>Desktop (Windows or macOS)</v>
      </c>
      <c r="C167" s="146" t="s">
        <v>828</v>
      </c>
      <c r="D167" s="150" t="s">
        <v>426</v>
      </c>
      <c r="E167" s="171" t="str">
        <f t="shared" si="10"/>
        <v>Provide options to adjust the length of expected response times.</v>
      </c>
      <c r="F167" s="53" t="s">
        <v>455</v>
      </c>
      <c r="G167" s="53" t="s">
        <v>456</v>
      </c>
      <c r="H167" s="51"/>
      <c r="I167" s="171" t="str">
        <f t="shared" si="11"/>
        <v>Users who have difficulty with fine motor skills benefit from having extra time to respond to app events. When a timed response is required provide at least one response method.</v>
      </c>
      <c r="J167" s="137" t="s">
        <v>455</v>
      </c>
      <c r="K167" s="137" t="s">
        <v>457</v>
      </c>
      <c r="L167" s="55" t="str">
        <f t="shared" si="9"/>
        <v>Not Relevant</v>
      </c>
      <c r="M167" s="52"/>
      <c r="N167" s="52"/>
    </row>
    <row r="168" spans="1:14" ht="87" hidden="1">
      <c r="A168" s="133" t="s">
        <v>458</v>
      </c>
      <c r="B168" s="170" t="str">
        <f t="shared" si="8"/>
        <v>Desktop (Windows or macOS)</v>
      </c>
      <c r="C168" s="146" t="s">
        <v>828</v>
      </c>
      <c r="D168" s="150" t="s">
        <v>426</v>
      </c>
      <c r="E168" s="171" t="str">
        <f t="shared" si="10"/>
        <v>Avoid using regularly blinking cursors or other objects onscreen.</v>
      </c>
      <c r="F168" s="53" t="s">
        <v>459</v>
      </c>
      <c r="G168" s="54" t="s">
        <v>460</v>
      </c>
      <c r="H168" s="51"/>
      <c r="I168" s="171" t="str">
        <f t="shared" si="11"/>
        <v>The frequency of a blinking object must not be in the range of 2 to 55 Hz, inclusive. Objects that blink in this frequency range can cause medical complications, such as seizures, in some people.</v>
      </c>
      <c r="J168" s="137" t="s">
        <v>459</v>
      </c>
      <c r="K168" s="137" t="s">
        <v>461</v>
      </c>
      <c r="L168" s="55" t="str">
        <f t="shared" si="9"/>
        <v>Not Relevant</v>
      </c>
      <c r="M168" s="52"/>
      <c r="N168" s="52"/>
    </row>
    <row r="169" spans="1:14" ht="87" hidden="1">
      <c r="A169" s="133" t="s">
        <v>152</v>
      </c>
      <c r="B169" s="170" t="str">
        <f t="shared" si="8"/>
        <v>Packaging</v>
      </c>
      <c r="C169" s="146" t="s">
        <v>462</v>
      </c>
      <c r="D169" s="150" t="s">
        <v>6</v>
      </c>
      <c r="E169" s="171" t="str">
        <f t="shared" si="10"/>
        <v xml:space="preserve">The product package opening process does not prevent or hinder a person with a vision impairment, limited strength or motor disabilities from opening the package.  </v>
      </c>
      <c r="F169" s="53" t="s">
        <v>462</v>
      </c>
      <c r="G169" s="50" t="s">
        <v>463</v>
      </c>
      <c r="H169" s="51"/>
      <c r="I169" s="171" t="str">
        <f t="shared" si="11"/>
        <v>Use  AT&amp;T Brand approved colors, font sizes, contrast ratio of 7:1. Use contrast testing tool. The package can be opened and product removed with one hand using common household tools.</v>
      </c>
      <c r="J169" s="157" t="s">
        <v>462</v>
      </c>
      <c r="K169" s="157" t="s">
        <v>464</v>
      </c>
      <c r="L169" s="55" t="str">
        <f t="shared" si="9"/>
        <v>Not Relevant</v>
      </c>
      <c r="M169" s="52"/>
      <c r="N169" s="52"/>
    </row>
    <row r="170" spans="1:14" ht="101.5" hidden="1">
      <c r="A170" s="133">
        <v>1</v>
      </c>
      <c r="B170" s="170" t="str">
        <f t="shared" si="8"/>
        <v>Carousels</v>
      </c>
      <c r="C170" s="146" t="s">
        <v>829</v>
      </c>
      <c r="D170" s="150" t="s">
        <v>33</v>
      </c>
      <c r="E170" s="171" t="str">
        <f t="shared" si="10"/>
        <v>When the content of the page automatically moves, blinks or scrolls for more than 5 seconds, or if information automatically updates, give the customer a way to control that action.</v>
      </c>
      <c r="F170" s="53" t="s">
        <v>277</v>
      </c>
      <c r="G170" s="54" t="s">
        <v>278</v>
      </c>
      <c r="H170" s="51"/>
      <c r="I170" s="171" t="str">
        <f t="shared" si="11"/>
        <v>Check that there is a mechanism to reload page to turn off blinking. Check that reloaded page has no blinking. Check that the reloaded page has all the information and functionality of the original page.</v>
      </c>
      <c r="J170" s="151" t="s">
        <v>465</v>
      </c>
      <c r="K170" s="151" t="s">
        <v>466</v>
      </c>
      <c r="L170" s="55" t="str">
        <f t="shared" si="9"/>
        <v>Not Relevant</v>
      </c>
      <c r="M170" s="52"/>
      <c r="N170" s="52"/>
    </row>
    <row r="171" spans="1:14" ht="43.5" hidden="1">
      <c r="A171" s="133">
        <v>12</v>
      </c>
      <c r="B171" s="170" t="str">
        <f t="shared" si="8"/>
        <v>Carousels</v>
      </c>
      <c r="C171" s="146" t="s">
        <v>829</v>
      </c>
      <c r="D171" s="150" t="s">
        <v>33</v>
      </c>
      <c r="E171" s="171" t="str">
        <f t="shared" si="10"/>
        <v>Foreground text and background color contrast ratio should be 4.5:1 or greater</v>
      </c>
      <c r="F171" s="53" t="s">
        <v>333</v>
      </c>
      <c r="G171" s="50" t="s">
        <v>142</v>
      </c>
      <c r="H171" s="51"/>
      <c r="I171" s="171" t="str">
        <f t="shared" si="11"/>
        <v>Test using the Colour Contrast Analyser or the WAT (Web Accessibility Toolbar)</v>
      </c>
      <c r="J171" s="137" t="s">
        <v>141</v>
      </c>
      <c r="K171" s="137" t="s">
        <v>143</v>
      </c>
      <c r="L171" s="55" t="str">
        <f t="shared" si="9"/>
        <v>Not Relevant</v>
      </c>
      <c r="M171" s="52"/>
      <c r="N171" s="52"/>
    </row>
    <row r="172" spans="1:14" ht="72.5" hidden="1">
      <c r="A172" s="133">
        <v>15</v>
      </c>
      <c r="B172" s="170" t="str">
        <f t="shared" si="8"/>
        <v>Carousels</v>
      </c>
      <c r="C172" s="146" t="s">
        <v>829</v>
      </c>
      <c r="D172" s="150" t="s">
        <v>33</v>
      </c>
      <c r="E172" s="171" t="str">
        <f t="shared" si="10"/>
        <v>Avoid changes of context without user awareness</v>
      </c>
      <c r="F172" s="53" t="s">
        <v>284</v>
      </c>
      <c r="G172" s="54" t="s">
        <v>285</v>
      </c>
      <c r="H172" s="51"/>
      <c r="I172" s="171" t="str">
        <f t="shared" si="11"/>
        <v>Using a keyboard, cycle focus through all content. Check that no changes of context occur when any component receives focus.</v>
      </c>
      <c r="J172" s="151" t="s">
        <v>467</v>
      </c>
      <c r="K172" s="151" t="s">
        <v>468</v>
      </c>
      <c r="L172" s="55" t="str">
        <f t="shared" si="9"/>
        <v>Not Relevant</v>
      </c>
      <c r="M172" s="52"/>
      <c r="N172" s="52"/>
    </row>
    <row r="173" spans="1:14" ht="87" hidden="1">
      <c r="A173" s="133">
        <v>17</v>
      </c>
      <c r="B173" s="170" t="str">
        <f t="shared" si="8"/>
        <v>Carousels</v>
      </c>
      <c r="C173" s="146" t="s">
        <v>829</v>
      </c>
      <c r="D173" s="150" t="s">
        <v>33</v>
      </c>
      <c r="E173" s="171" t="str">
        <f t="shared" si="10"/>
        <v xml:space="preserve">Properly code headings and important information </v>
      </c>
      <c r="F173" s="53" t="s">
        <v>165</v>
      </c>
      <c r="G173" s="50" t="s">
        <v>166</v>
      </c>
      <c r="H173" s="51"/>
      <c r="I173" s="171" t="str">
        <f t="shared" si="11"/>
        <v>Inspect the HTML source code for the appropriate semantic markup. Verify form elements are visually labelled and announced properly by a screen reader.</v>
      </c>
      <c r="J173" s="137" t="s">
        <v>167</v>
      </c>
      <c r="K173" s="137" t="s">
        <v>168</v>
      </c>
      <c r="L173" s="55" t="str">
        <f t="shared" si="9"/>
        <v>Not Relevant</v>
      </c>
      <c r="M173" s="52"/>
      <c r="N173" s="52"/>
    </row>
    <row r="174" spans="1:14" ht="72.5" hidden="1">
      <c r="A174" s="133">
        <v>30</v>
      </c>
      <c r="B174" s="170" t="str">
        <f t="shared" si="8"/>
        <v>Carousels</v>
      </c>
      <c r="C174" s="146" t="s">
        <v>829</v>
      </c>
      <c r="D174" s="150" t="s">
        <v>33</v>
      </c>
      <c r="E174" s="171" t="str">
        <f t="shared" si="10"/>
        <v xml:space="preserve">Ensure names, roles, states, properties, and values of user interface components are programmatically set and determined </v>
      </c>
      <c r="F174" s="53" t="s">
        <v>175</v>
      </c>
      <c r="G174" s="54" t="s">
        <v>176</v>
      </c>
      <c r="H174" s="51"/>
      <c r="I174" s="171" t="str">
        <f t="shared" si="11"/>
        <v>Inspect the HTML source code and verify the name, value and state are specified and correct.</v>
      </c>
      <c r="J174" s="137" t="s">
        <v>167</v>
      </c>
      <c r="K174" s="137" t="s">
        <v>177</v>
      </c>
      <c r="L174" s="55" t="str">
        <f t="shared" si="9"/>
        <v>Not Relevant</v>
      </c>
      <c r="M174" s="52"/>
      <c r="N174" s="52"/>
    </row>
    <row r="175" spans="1:14" ht="58" hidden="1">
      <c r="A175" s="133">
        <v>34</v>
      </c>
      <c r="B175" s="170" t="str">
        <f t="shared" si="8"/>
        <v>Carousels</v>
      </c>
      <c r="C175" s="146" t="s">
        <v>829</v>
      </c>
      <c r="D175" s="150" t="s">
        <v>33</v>
      </c>
      <c r="E175" s="171" t="str">
        <f t="shared" si="10"/>
        <v xml:space="preserve">Headings and labels should describe associated content </v>
      </c>
      <c r="F175" s="53" t="s">
        <v>187</v>
      </c>
      <c r="G175" s="50" t="s">
        <v>188</v>
      </c>
      <c r="H175" s="51"/>
      <c r="I175" s="171" t="str">
        <f t="shared" si="11"/>
        <v>Inspect the HTML source code and check that headings exist for each section and are in sequential order.</v>
      </c>
      <c r="J175" s="137" t="s">
        <v>262</v>
      </c>
      <c r="K175" s="137" t="s">
        <v>189</v>
      </c>
      <c r="L175" s="55" t="str">
        <f t="shared" si="9"/>
        <v>Not Relevant</v>
      </c>
      <c r="M175" s="52"/>
      <c r="N175" s="52"/>
    </row>
    <row r="176" spans="1:14" ht="43.5" hidden="1">
      <c r="A176" s="133">
        <v>41</v>
      </c>
      <c r="B176" s="170" t="str">
        <f t="shared" si="8"/>
        <v>Carousels</v>
      </c>
      <c r="C176" s="146" t="s">
        <v>829</v>
      </c>
      <c r="D176" s="150" t="s">
        <v>33</v>
      </c>
      <c r="E176" s="171" t="str">
        <f t="shared" si="10"/>
        <v>Images that convey important information must have meaningful alternative texts.</v>
      </c>
      <c r="F176" s="53" t="s">
        <v>288</v>
      </c>
      <c r="G176" s="54" t="s">
        <v>136</v>
      </c>
      <c r="H176" s="51"/>
      <c r="I176" s="171" t="str">
        <f t="shared" si="11"/>
        <v>Provide textual alternatives for all images.</v>
      </c>
      <c r="J176" s="137" t="s">
        <v>135</v>
      </c>
      <c r="K176" s="137" t="s">
        <v>137</v>
      </c>
      <c r="L176" s="55" t="str">
        <f t="shared" si="9"/>
        <v>Not Relevant</v>
      </c>
      <c r="M176" s="52"/>
      <c r="N176" s="52"/>
    </row>
    <row r="177" spans="1:14" ht="43.5" hidden="1">
      <c r="A177" s="133">
        <v>43</v>
      </c>
      <c r="B177" s="170" t="str">
        <f t="shared" si="8"/>
        <v>Carousels</v>
      </c>
      <c r="C177" s="146" t="s">
        <v>829</v>
      </c>
      <c r="D177" s="150" t="s">
        <v>33</v>
      </c>
      <c r="E177" s="171" t="str">
        <f t="shared" si="10"/>
        <v>Use live text instead of images where possible.</v>
      </c>
      <c r="F177" s="53" t="s">
        <v>292</v>
      </c>
      <c r="G177" s="50" t="s">
        <v>138</v>
      </c>
      <c r="H177" s="51"/>
      <c r="I177" s="171" t="str">
        <f t="shared" si="11"/>
        <v xml:space="preserve"> Ensure that text, instead of images of text, is used wherever possible. </v>
      </c>
      <c r="J177" s="137" t="s">
        <v>135</v>
      </c>
      <c r="K177" s="137" t="s">
        <v>303</v>
      </c>
      <c r="L177" s="55" t="str">
        <f t="shared" si="9"/>
        <v>Not Relevant</v>
      </c>
      <c r="M177" s="52"/>
      <c r="N177" s="52"/>
    </row>
    <row r="178" spans="1:14" ht="58" hidden="1">
      <c r="A178" s="133">
        <v>44</v>
      </c>
      <c r="B178" s="170" t="str">
        <f t="shared" si="8"/>
        <v>Carousels</v>
      </c>
      <c r="C178" s="146" t="s">
        <v>829</v>
      </c>
      <c r="D178" s="150" t="s">
        <v>33</v>
      </c>
      <c r="E178" s="171" t="str">
        <f t="shared" si="10"/>
        <v>Ensure that actionable elements are keyboard accessible.</v>
      </c>
      <c r="F178" s="53" t="s">
        <v>304</v>
      </c>
      <c r="G178" s="54" t="s">
        <v>305</v>
      </c>
      <c r="H178" s="51"/>
      <c r="I178" s="171" t="str">
        <f t="shared" si="11"/>
        <v>Identify all functionality on the content. Check that all functionality can be accessed using only the keyboard.</v>
      </c>
      <c r="J178" s="151" t="s">
        <v>304</v>
      </c>
      <c r="K178" s="151" t="s">
        <v>306</v>
      </c>
      <c r="L178" s="55" t="str">
        <f t="shared" si="9"/>
        <v>Not Relevant</v>
      </c>
      <c r="M178" s="52"/>
      <c r="N178" s="52"/>
    </row>
    <row r="179" spans="1:14" ht="101.5" hidden="1">
      <c r="A179" s="133">
        <v>45</v>
      </c>
      <c r="B179" s="170" t="str">
        <f t="shared" si="8"/>
        <v>Carousels</v>
      </c>
      <c r="C179" s="146" t="s">
        <v>829</v>
      </c>
      <c r="D179" s="150" t="s">
        <v>33</v>
      </c>
      <c r="E179" s="171" t="str">
        <f t="shared" si="10"/>
        <v>Ensure that keyboard focus is indicated visually</v>
      </c>
      <c r="F179" s="53" t="s">
        <v>307</v>
      </c>
      <c r="G179" s="50" t="s">
        <v>308</v>
      </c>
      <c r="H179" s="51"/>
      <c r="I179" s="171" t="str">
        <f t="shared" si="11"/>
        <v>Using a mouse, hover over the element verifying the background or border changes color. Using a keyboard, tab to the element verifying the background or borer changes color.</v>
      </c>
      <c r="J179" s="151" t="s">
        <v>307</v>
      </c>
      <c r="K179" s="151" t="s">
        <v>309</v>
      </c>
      <c r="L179" s="55" t="str">
        <f t="shared" si="9"/>
        <v>Not Relevant</v>
      </c>
      <c r="M179" s="52"/>
      <c r="N179" s="52"/>
    </row>
    <row r="180" spans="1:14" ht="72.5" hidden="1">
      <c r="A180" s="133">
        <v>48</v>
      </c>
      <c r="B180" s="170" t="str">
        <f t="shared" si="8"/>
        <v>Carousels</v>
      </c>
      <c r="C180" s="146" t="s">
        <v>829</v>
      </c>
      <c r="D180" s="150" t="s">
        <v>33</v>
      </c>
      <c r="E180" s="171" t="str">
        <f t="shared" si="10"/>
        <v>Ensure logical focus order</v>
      </c>
      <c r="F180" s="53" t="s">
        <v>310</v>
      </c>
      <c r="G180" s="50" t="s">
        <v>324</v>
      </c>
      <c r="H180" s="51"/>
      <c r="I180" s="171" t="str">
        <f t="shared" si="11"/>
        <v>Check if tabindex is used. If tabindex is used, check that the tab order specified by the tabindex attributes follows relationship in the content.</v>
      </c>
      <c r="J180" s="151" t="s">
        <v>310</v>
      </c>
      <c r="K180" s="151" t="s">
        <v>312</v>
      </c>
      <c r="L180" s="55" t="str">
        <f t="shared" si="9"/>
        <v>Not Relevant</v>
      </c>
      <c r="M180" s="52"/>
      <c r="N180" s="52"/>
    </row>
    <row r="181" spans="1:14" ht="58" hidden="1">
      <c r="A181" s="133">
        <v>63</v>
      </c>
      <c r="B181" s="170" t="str">
        <f t="shared" si="8"/>
        <v>Carousels</v>
      </c>
      <c r="C181" s="146" t="s">
        <v>829</v>
      </c>
      <c r="D181" s="150" t="s">
        <v>33</v>
      </c>
      <c r="E181" s="171" t="str">
        <f t="shared" si="10"/>
        <v xml:space="preserve">Use appropriate structural mark up for the content of the element </v>
      </c>
      <c r="F181" s="53" t="s">
        <v>190</v>
      </c>
      <c r="G181" s="50" t="s">
        <v>191</v>
      </c>
      <c r="H181" s="51"/>
      <c r="I181" s="171" t="str">
        <f t="shared" si="11"/>
        <v>Inspect the HTML source code. If content has a semantic function, verify the correct markup is in place.</v>
      </c>
      <c r="J181" s="137" t="s">
        <v>190</v>
      </c>
      <c r="K181" s="137" t="s">
        <v>192</v>
      </c>
      <c r="L181" s="55" t="str">
        <f t="shared" si="9"/>
        <v>Not Relevant</v>
      </c>
      <c r="M181" s="52"/>
      <c r="N181" s="52"/>
    </row>
    <row r="182" spans="1:14" ht="43.5" hidden="1">
      <c r="A182" s="133">
        <v>11</v>
      </c>
      <c r="B182" s="170" t="str">
        <f t="shared" si="8"/>
        <v>Custom Web Components</v>
      </c>
      <c r="C182" s="146" t="s">
        <v>830</v>
      </c>
      <c r="D182" s="150" t="s">
        <v>41</v>
      </c>
      <c r="E182" s="171" t="str">
        <f t="shared" si="10"/>
        <v>Use additional elements besides color to convey relevant information.</v>
      </c>
      <c r="F182" s="53" t="s">
        <v>335</v>
      </c>
      <c r="G182" s="54" t="s">
        <v>144</v>
      </c>
      <c r="H182" s="51"/>
      <c r="I182" s="171" t="str">
        <f t="shared" si="11"/>
        <v>Do not use color alone to convey information.</v>
      </c>
      <c r="J182" s="137" t="s">
        <v>141</v>
      </c>
      <c r="K182" s="137" t="s">
        <v>145</v>
      </c>
      <c r="L182" s="55" t="str">
        <f t="shared" si="9"/>
        <v>Not Relevant</v>
      </c>
      <c r="M182" s="52"/>
      <c r="N182" s="52"/>
    </row>
    <row r="183" spans="1:14" ht="43.5" hidden="1">
      <c r="A183" s="133">
        <v>11</v>
      </c>
      <c r="B183" s="170" t="str">
        <f t="shared" si="8"/>
        <v>Custom Web Components</v>
      </c>
      <c r="C183" s="146" t="s">
        <v>830</v>
      </c>
      <c r="D183" s="150" t="s">
        <v>41</v>
      </c>
      <c r="E183" s="171" t="str">
        <f t="shared" si="10"/>
        <v>Foreground text and background color contrast ratio should be 4.5:1 or greater</v>
      </c>
      <c r="F183" s="53" t="s">
        <v>333</v>
      </c>
      <c r="G183" s="50" t="s">
        <v>142</v>
      </c>
      <c r="H183" s="51"/>
      <c r="I183" s="171" t="str">
        <f t="shared" si="11"/>
        <v>Test using the Colour Contrast Analyser or the WAT (Web Accessibility Toolbar)</v>
      </c>
      <c r="J183" s="137" t="s">
        <v>141</v>
      </c>
      <c r="K183" s="137" t="s">
        <v>143</v>
      </c>
      <c r="L183" s="55" t="str">
        <f t="shared" si="9"/>
        <v>Not Relevant</v>
      </c>
      <c r="M183" s="52"/>
      <c r="N183" s="52"/>
    </row>
    <row r="184" spans="1:14" ht="101.5" hidden="1">
      <c r="A184" s="133">
        <v>28</v>
      </c>
      <c r="B184" s="170" t="str">
        <f t="shared" si="8"/>
        <v>Custom Web Components</v>
      </c>
      <c r="C184" s="146" t="s">
        <v>830</v>
      </c>
      <c r="D184" s="150" t="s">
        <v>41</v>
      </c>
      <c r="E184" s="171" t="str">
        <f t="shared" si="10"/>
        <v>Identify user interface elements with the same functionality</v>
      </c>
      <c r="F184" s="53" t="s">
        <v>172</v>
      </c>
      <c r="G184" s="54" t="s">
        <v>173</v>
      </c>
      <c r="H184" s="51"/>
      <c r="I184" s="171" t="str">
        <f t="shared" si="11"/>
        <v>Inspect the HTML source code and verify each component is associated with text that identifies it and that this text is identical for each user interface component with the same function.</v>
      </c>
      <c r="J184" s="137" t="s">
        <v>172</v>
      </c>
      <c r="K184" s="137" t="s">
        <v>174</v>
      </c>
      <c r="L184" s="55" t="str">
        <f t="shared" si="9"/>
        <v>Not Relevant</v>
      </c>
      <c r="M184" s="52"/>
      <c r="N184" s="52"/>
    </row>
    <row r="185" spans="1:14" ht="72.5" hidden="1">
      <c r="A185" s="133">
        <v>30</v>
      </c>
      <c r="B185" s="170" t="str">
        <f t="shared" si="8"/>
        <v>Custom Web Components</v>
      </c>
      <c r="C185" s="146" t="s">
        <v>830</v>
      </c>
      <c r="D185" s="150" t="s">
        <v>41</v>
      </c>
      <c r="E185" s="171" t="str">
        <f t="shared" si="10"/>
        <v xml:space="preserve">Ensure names, roles, states, properties, and values of user interface components are programmatically set and determined </v>
      </c>
      <c r="F185" s="53" t="s">
        <v>175</v>
      </c>
      <c r="G185" s="50" t="s">
        <v>176</v>
      </c>
      <c r="H185" s="51"/>
      <c r="I185" s="171" t="str">
        <f t="shared" si="11"/>
        <v>Inspect the HTML source code and verify the name, value and state are specified and correct.</v>
      </c>
      <c r="J185" s="137" t="s">
        <v>175</v>
      </c>
      <c r="K185" s="137" t="s">
        <v>177</v>
      </c>
      <c r="L185" s="55" t="str">
        <f t="shared" si="9"/>
        <v>Not Relevant</v>
      </c>
      <c r="M185" s="52"/>
      <c r="N185" s="52"/>
    </row>
    <row r="186" spans="1:14" ht="43.5" hidden="1">
      <c r="A186" s="133">
        <v>41</v>
      </c>
      <c r="B186" s="170" t="str">
        <f t="shared" si="8"/>
        <v>Custom Web Components</v>
      </c>
      <c r="C186" s="146" t="s">
        <v>830</v>
      </c>
      <c r="D186" s="150" t="s">
        <v>41</v>
      </c>
      <c r="E186" s="171" t="str">
        <f t="shared" si="10"/>
        <v>Images that convey important information must have meaningful alternative texts.</v>
      </c>
      <c r="F186" s="53" t="s">
        <v>288</v>
      </c>
      <c r="G186" s="54" t="s">
        <v>136</v>
      </c>
      <c r="H186" s="51"/>
      <c r="I186" s="171" t="str">
        <f t="shared" si="11"/>
        <v>Provide textual alternatives for all images.</v>
      </c>
      <c r="J186" s="137" t="s">
        <v>135</v>
      </c>
      <c r="K186" s="137" t="s">
        <v>137</v>
      </c>
      <c r="L186" s="55" t="str">
        <f t="shared" si="9"/>
        <v>Not Relevant</v>
      </c>
      <c r="M186" s="52"/>
      <c r="N186" s="52"/>
    </row>
    <row r="187" spans="1:14" ht="58" hidden="1">
      <c r="A187" s="133">
        <v>44</v>
      </c>
      <c r="B187" s="170" t="str">
        <f t="shared" si="8"/>
        <v>Custom Web Components</v>
      </c>
      <c r="C187" s="146" t="s">
        <v>830</v>
      </c>
      <c r="D187" s="150" t="s">
        <v>41</v>
      </c>
      <c r="E187" s="171" t="str">
        <f t="shared" si="10"/>
        <v>Ensure that actionable elements are keyboard accessible.</v>
      </c>
      <c r="F187" s="53" t="s">
        <v>304</v>
      </c>
      <c r="G187" s="50" t="s">
        <v>305</v>
      </c>
      <c r="H187" s="51"/>
      <c r="I187" s="171" t="str">
        <f t="shared" si="11"/>
        <v>Identify all functionality on the content. Check that all functionality can be accessed using only the keyboard.</v>
      </c>
      <c r="J187" s="151" t="s">
        <v>304</v>
      </c>
      <c r="K187" s="151" t="s">
        <v>306</v>
      </c>
      <c r="L187" s="55" t="str">
        <f t="shared" si="9"/>
        <v>Not Relevant</v>
      </c>
      <c r="M187" s="52"/>
      <c r="N187" s="52"/>
    </row>
    <row r="188" spans="1:14" ht="101.5" hidden="1">
      <c r="A188" s="133">
        <v>1</v>
      </c>
      <c r="B188" s="170" t="str">
        <f t="shared" si="8"/>
        <v>Animation</v>
      </c>
      <c r="C188" s="146" t="s">
        <v>213</v>
      </c>
      <c r="D188" s="150" t="s">
        <v>469</v>
      </c>
      <c r="E188" s="171" t="str">
        <f t="shared" si="10"/>
        <v>When the content of the page automatically moves, blinks or scrolls for more than 5 seconds, or if information automatically updates, give the customer a way to control that action.</v>
      </c>
      <c r="F188" s="53" t="s">
        <v>277</v>
      </c>
      <c r="G188" s="54" t="s">
        <v>278</v>
      </c>
      <c r="H188" s="51"/>
      <c r="I188" s="171" t="str">
        <f t="shared" si="11"/>
        <v>Check that there is a mechanism to reload page to turn off blinking. Check that reloaded page has no blinking. Check that the reloaded page has all the information and functionality of the original page.</v>
      </c>
      <c r="J188" s="151" t="s">
        <v>465</v>
      </c>
      <c r="K188" s="151" t="s">
        <v>466</v>
      </c>
      <c r="L188" s="55" t="str">
        <f t="shared" si="9"/>
        <v>Not Relevant</v>
      </c>
      <c r="M188" s="52"/>
      <c r="N188" s="52"/>
    </row>
    <row r="189" spans="1:14" ht="43.5" hidden="1">
      <c r="A189" s="133">
        <v>3</v>
      </c>
      <c r="B189" s="170" t="str">
        <f t="shared" si="8"/>
        <v>Animation</v>
      </c>
      <c r="C189" s="146" t="s">
        <v>213</v>
      </c>
      <c r="D189" s="150" t="s">
        <v>469</v>
      </c>
      <c r="E189" s="171" t="str">
        <f t="shared" si="10"/>
        <v>Ensure that flashing content meets WCAG flash and threshold requirements.</v>
      </c>
      <c r="F189" s="53" t="s">
        <v>281</v>
      </c>
      <c r="G189" s="50" t="s">
        <v>282</v>
      </c>
      <c r="H189" s="51"/>
      <c r="I189" s="171" t="str">
        <f t="shared" si="11"/>
        <v>Elements blink or flash within a safe threshold</v>
      </c>
      <c r="J189" s="151" t="s">
        <v>281</v>
      </c>
      <c r="K189" s="151" t="s">
        <v>283</v>
      </c>
      <c r="L189" s="55" t="str">
        <f t="shared" si="9"/>
        <v>Not Relevant</v>
      </c>
      <c r="M189" s="52"/>
      <c r="N189" s="52"/>
    </row>
    <row r="190" spans="1:14" ht="58" hidden="1">
      <c r="A190" s="133">
        <v>6</v>
      </c>
      <c r="B190" s="170" t="str">
        <f t="shared" si="8"/>
        <v>Live Video</v>
      </c>
      <c r="C190" s="146" t="s">
        <v>213</v>
      </c>
      <c r="D190" s="150" t="s">
        <v>107</v>
      </c>
      <c r="E190" s="171" t="str">
        <f t="shared" si="10"/>
        <v xml:space="preserve">For live media, provide the content in accessible formats </v>
      </c>
      <c r="F190" s="53" t="s">
        <v>471</v>
      </c>
      <c r="G190" s="54" t="s">
        <v>470</v>
      </c>
      <c r="H190" s="51"/>
      <c r="I190" s="171" t="str">
        <f t="shared" si="11"/>
        <v>Provide audio captioning for live audio or provide a link to a script describing the live or recorded media.</v>
      </c>
      <c r="J190" s="158" t="s">
        <v>471</v>
      </c>
      <c r="K190" s="158" t="s">
        <v>472</v>
      </c>
      <c r="L190" s="55" t="str">
        <f t="shared" si="9"/>
        <v>Not Relevant</v>
      </c>
      <c r="M190" s="52"/>
      <c r="N190" s="52"/>
    </row>
    <row r="191" spans="1:14" ht="58" hidden="1">
      <c r="A191" s="133" t="s">
        <v>152</v>
      </c>
      <c r="B191" s="170" t="str">
        <f t="shared" si="8"/>
        <v>Sunset</v>
      </c>
      <c r="C191" s="146" t="s">
        <v>473</v>
      </c>
      <c r="D191" s="150" t="s">
        <v>7</v>
      </c>
      <c r="E191" s="171" t="str">
        <f t="shared" si="10"/>
        <v>Projects that are sunsetting (i.e., discontinuing) a product or service must complete the CATO ACoE Sunset Evaluation Form.</v>
      </c>
      <c r="F191" s="53" t="s">
        <v>473</v>
      </c>
      <c r="G191" s="50" t="s">
        <v>474</v>
      </c>
      <c r="H191" s="51"/>
      <c r="I191" s="171" t="str">
        <f t="shared" si="11"/>
        <v>Complete the CATO ACoE Sunset Evaluation Form and implement any relevant accessibility remediation.</v>
      </c>
      <c r="J191" s="158" t="s">
        <v>475</v>
      </c>
      <c r="K191" s="158" t="s">
        <v>476</v>
      </c>
      <c r="L191" s="55" t="str">
        <f t="shared" si="9"/>
        <v>Not Relevant</v>
      </c>
      <c r="M191" s="52"/>
      <c r="N191" s="52"/>
    </row>
    <row r="192" spans="1:14" ht="43.5" hidden="1">
      <c r="A192" s="133" t="s">
        <v>477</v>
      </c>
      <c r="B192" s="170" t="str">
        <f t="shared" si="8"/>
        <v>Hardware</v>
      </c>
      <c r="C192" s="146" t="s">
        <v>478</v>
      </c>
      <c r="D192" s="150" t="s">
        <v>4</v>
      </c>
      <c r="E192" s="171" t="str">
        <f t="shared" si="10"/>
        <v xml:space="preserve">Ensure all hardware is operable and usable in a way that does not require user vision </v>
      </c>
      <c r="F192" s="53" t="s">
        <v>837</v>
      </c>
      <c r="G192" s="54" t="s">
        <v>479</v>
      </c>
      <c r="H192" s="51"/>
      <c r="I192" s="171" t="str">
        <f t="shared" si="11"/>
        <v>Tests for ensuring all hardware is operable and usable in a way that does not require user vision</v>
      </c>
      <c r="J192" s="158" t="s">
        <v>478</v>
      </c>
      <c r="K192" s="158" t="s">
        <v>480</v>
      </c>
      <c r="L192" s="55" t="str">
        <f t="shared" si="9"/>
        <v>Not Relevant</v>
      </c>
      <c r="M192" s="52"/>
      <c r="N192" s="52"/>
    </row>
    <row r="193" spans="1:14" ht="58" hidden="1">
      <c r="A193" s="133" t="s">
        <v>481</v>
      </c>
      <c r="B193" s="170" t="str">
        <f t="shared" si="8"/>
        <v>Hardware</v>
      </c>
      <c r="C193" s="146" t="s">
        <v>478</v>
      </c>
      <c r="D193" s="150" t="s">
        <v>4</v>
      </c>
      <c r="E193" s="171" t="str">
        <f t="shared" si="10"/>
        <v>Ensure all hardware is operable and usable for customers with low vision and limited or no hearing</v>
      </c>
      <c r="F193" s="53" t="s">
        <v>849</v>
      </c>
      <c r="G193" s="50" t="s">
        <v>482</v>
      </c>
      <c r="H193" s="51"/>
      <c r="I193" s="171" t="str">
        <f t="shared" si="11"/>
        <v>Tests for ensuring all hardware is operable and usable for customers with low vision and limited or no hearing</v>
      </c>
      <c r="J193" s="158" t="s">
        <v>478</v>
      </c>
      <c r="K193" s="158" t="s">
        <v>483</v>
      </c>
      <c r="L193" s="55" t="str">
        <f t="shared" si="9"/>
        <v>Not Relevant</v>
      </c>
      <c r="M193" s="52"/>
      <c r="N193" s="52"/>
    </row>
    <row r="194" spans="1:14" ht="58" hidden="1">
      <c r="A194" s="133" t="s">
        <v>484</v>
      </c>
      <c r="B194" s="170" t="str">
        <f t="shared" si="8"/>
        <v>Hardware</v>
      </c>
      <c r="C194" s="146" t="s">
        <v>478</v>
      </c>
      <c r="D194" s="150" t="s">
        <v>4</v>
      </c>
      <c r="E194" s="171" t="str">
        <f t="shared" si="10"/>
        <v>Ensure all hardware is operable and usable for customers with little or no color perception</v>
      </c>
      <c r="F194" s="53" t="s">
        <v>848</v>
      </c>
      <c r="G194" s="54" t="s">
        <v>485</v>
      </c>
      <c r="H194" s="51"/>
      <c r="I194" s="171" t="str">
        <f t="shared" si="11"/>
        <v>Tests for ensuring all hardware is operable and usable for customers with little or no color perception</v>
      </c>
      <c r="J194" s="158" t="s">
        <v>478</v>
      </c>
      <c r="K194" s="158" t="s">
        <v>486</v>
      </c>
      <c r="L194" s="55" t="str">
        <f t="shared" si="9"/>
        <v>Not Relevant</v>
      </c>
      <c r="M194" s="52"/>
      <c r="N194" s="52"/>
    </row>
    <row r="195" spans="1:14" ht="43.5" hidden="1">
      <c r="A195" s="133" t="s">
        <v>487</v>
      </c>
      <c r="B195" s="170" t="str">
        <f t="shared" si="8"/>
        <v>Hardware</v>
      </c>
      <c r="C195" s="146" t="s">
        <v>478</v>
      </c>
      <c r="D195" s="150" t="s">
        <v>4</v>
      </c>
      <c r="E195" s="171" t="str">
        <f t="shared" si="10"/>
        <v>Ensure all hardware is operable and usable without hearing</v>
      </c>
      <c r="F195" s="53" t="s">
        <v>847</v>
      </c>
      <c r="G195" s="50" t="s">
        <v>488</v>
      </c>
      <c r="H195" s="51"/>
      <c r="I195" s="171" t="str">
        <f t="shared" si="11"/>
        <v>Tests for ensuring all hardware is operable and usable without hearing</v>
      </c>
      <c r="J195" s="158" t="s">
        <v>478</v>
      </c>
      <c r="K195" s="158" t="s">
        <v>489</v>
      </c>
      <c r="L195" s="55" t="str">
        <f t="shared" si="9"/>
        <v>Not Relevant</v>
      </c>
      <c r="M195" s="52"/>
      <c r="N195" s="52"/>
    </row>
    <row r="196" spans="1:14" ht="58" hidden="1">
      <c r="A196" s="133" t="s">
        <v>490</v>
      </c>
      <c r="B196" s="170" t="str">
        <f t="shared" si="8"/>
        <v>Hardware</v>
      </c>
      <c r="C196" s="146" t="s">
        <v>478</v>
      </c>
      <c r="D196" s="150" t="s">
        <v>4</v>
      </c>
      <c r="E196" s="171" t="str">
        <f t="shared" si="10"/>
        <v>Ensure all hardware is operable and usable for customers who are hard-of-hearing</v>
      </c>
      <c r="F196" s="53" t="s">
        <v>846</v>
      </c>
      <c r="G196" s="54" t="s">
        <v>491</v>
      </c>
      <c r="H196" s="51"/>
      <c r="I196" s="171" t="str">
        <f t="shared" si="11"/>
        <v>Tests for ensuring all hardware is operable and usable for customers who are hard-of-hearing</v>
      </c>
      <c r="J196" s="158" t="s">
        <v>478</v>
      </c>
      <c r="K196" s="158" t="s">
        <v>492</v>
      </c>
      <c r="L196" s="55" t="str">
        <f t="shared" si="9"/>
        <v>Not Relevant</v>
      </c>
      <c r="M196" s="52"/>
      <c r="N196" s="52"/>
    </row>
    <row r="197" spans="1:14" ht="72.5" hidden="1">
      <c r="A197" s="133" t="s">
        <v>493</v>
      </c>
      <c r="B197" s="170" t="str">
        <f t="shared" si="8"/>
        <v>Hardware</v>
      </c>
      <c r="C197" s="146" t="s">
        <v>478</v>
      </c>
      <c r="D197" s="150" t="s">
        <v>4</v>
      </c>
      <c r="E197" s="171" t="str">
        <f t="shared" si="10"/>
        <v>Ensure all hardware is operable and usable in a way that does not require fine dexterity or simultaneous actions by the user</v>
      </c>
      <c r="F197" s="53" t="s">
        <v>845</v>
      </c>
      <c r="G197" s="50" t="s">
        <v>494</v>
      </c>
      <c r="H197" s="51"/>
      <c r="I197" s="171" t="str">
        <f t="shared" si="11"/>
        <v>Tests for ensuring all hardware is operable and usable in a way that does not require fine dexterity or simultaneous actions by the user</v>
      </c>
      <c r="J197" s="158" t="s">
        <v>478</v>
      </c>
      <c r="K197" s="158" t="s">
        <v>495</v>
      </c>
      <c r="L197" s="55" t="str">
        <f t="shared" si="9"/>
        <v>Not Relevant</v>
      </c>
      <c r="M197" s="52"/>
      <c r="N197" s="52"/>
    </row>
    <row r="198" spans="1:14" ht="58" hidden="1">
      <c r="A198" s="133" t="s">
        <v>496</v>
      </c>
      <c r="B198" s="170" t="str">
        <f t="shared" si="8"/>
        <v>Hardware</v>
      </c>
      <c r="C198" s="146" t="s">
        <v>478</v>
      </c>
      <c r="D198" s="150" t="s">
        <v>4</v>
      </c>
      <c r="E198" s="171" t="str">
        <f t="shared" si="10"/>
        <v>Ensure all hardware is operable and usable for customers with limited reach and strength</v>
      </c>
      <c r="F198" s="53" t="s">
        <v>844</v>
      </c>
      <c r="G198" s="54" t="s">
        <v>497</v>
      </c>
      <c r="H198" s="51"/>
      <c r="I198" s="171" t="str">
        <f t="shared" si="11"/>
        <v>Tests for ensuring all hardware is operable and usable for customers with limited reach and strength</v>
      </c>
      <c r="J198" s="158" t="s">
        <v>478</v>
      </c>
      <c r="K198" s="158" t="s">
        <v>498</v>
      </c>
      <c r="L198" s="55" t="str">
        <f t="shared" si="9"/>
        <v>Not Relevant</v>
      </c>
      <c r="M198" s="52"/>
      <c r="N198" s="52"/>
    </row>
    <row r="199" spans="1:14" ht="58" hidden="1">
      <c r="A199" s="133" t="s">
        <v>499</v>
      </c>
      <c r="B199" s="170" t="str">
        <f t="shared" si="8"/>
        <v>Hardware</v>
      </c>
      <c r="C199" s="146" t="s">
        <v>478</v>
      </c>
      <c r="D199" s="150" t="s">
        <v>4</v>
      </c>
      <c r="E199" s="171" t="str">
        <f t="shared" si="10"/>
        <v>Ensure all hardware is operable and usable for customers who use a stylus, stick, or other prosthetic device</v>
      </c>
      <c r="F199" s="53" t="s">
        <v>843</v>
      </c>
      <c r="G199" s="50" t="s">
        <v>500</v>
      </c>
      <c r="H199" s="51"/>
      <c r="I199" s="171" t="str">
        <f t="shared" si="11"/>
        <v>Tests for ensuring all hardware is operable and usable for customers who use a stylus, stick, or other prosthetic device</v>
      </c>
      <c r="J199" s="158" t="s">
        <v>478</v>
      </c>
      <c r="K199" s="158" t="s">
        <v>501</v>
      </c>
      <c r="L199" s="55" t="str">
        <f t="shared" si="9"/>
        <v>Not Relevant</v>
      </c>
      <c r="M199" s="52"/>
      <c r="N199" s="52"/>
    </row>
    <row r="200" spans="1:14" ht="72.5" hidden="1">
      <c r="A200" s="133" t="s">
        <v>502</v>
      </c>
      <c r="B200" s="170" t="str">
        <f t="shared" si="8"/>
        <v>Hardware</v>
      </c>
      <c r="C200" s="146" t="s">
        <v>478</v>
      </c>
      <c r="D200" s="150" t="s">
        <v>4</v>
      </c>
      <c r="E200" s="171" t="str">
        <f t="shared" si="10"/>
        <v>Ensure all hardware is accessible and usable in a way that minimizes the cognitive, memory, language, and learning skills required of the user</v>
      </c>
      <c r="F200" s="53" t="s">
        <v>842</v>
      </c>
      <c r="G200" s="54" t="s">
        <v>503</v>
      </c>
      <c r="H200" s="51"/>
      <c r="I200" s="171" t="str">
        <f t="shared" si="11"/>
        <v>Tests for ensuring all hardware is accessible and usable in a way that minimizes the cognitive, memory, language, and learning skills required of the user</v>
      </c>
      <c r="J200" s="158" t="s">
        <v>478</v>
      </c>
      <c r="K200" s="158" t="s">
        <v>504</v>
      </c>
      <c r="L200" s="55" t="str">
        <f t="shared" si="9"/>
        <v>Not Relevant</v>
      </c>
      <c r="M200" s="52"/>
      <c r="N200" s="52"/>
    </row>
    <row r="201" spans="1:14" ht="58" hidden="1">
      <c r="A201" s="159" t="s">
        <v>505</v>
      </c>
      <c r="B201" s="170" t="str">
        <f t="shared" si="8"/>
        <v>Hardware</v>
      </c>
      <c r="C201" s="146" t="s">
        <v>478</v>
      </c>
      <c r="D201" s="150" t="s">
        <v>4</v>
      </c>
      <c r="E201" s="171" t="str">
        <f t="shared" si="10"/>
        <v>Ensure all hardware that utilizes visual flashes/flickers falls within the general flash and red flash thresholds</v>
      </c>
      <c r="F201" s="53" t="s">
        <v>841</v>
      </c>
      <c r="G201" s="50" t="s">
        <v>506</v>
      </c>
      <c r="H201" s="51"/>
      <c r="I201" s="171" t="str">
        <f t="shared" si="11"/>
        <v>Tests for ensuring all hardware that utilizes visual flashes/flickers falls within the general flash and red flash thresholds</v>
      </c>
      <c r="J201" s="158" t="s">
        <v>478</v>
      </c>
      <c r="K201" s="158" t="s">
        <v>507</v>
      </c>
      <c r="L201" s="55" t="str">
        <f t="shared" si="9"/>
        <v>Not Relevant</v>
      </c>
      <c r="M201" s="52"/>
      <c r="N201" s="52"/>
    </row>
    <row r="202" spans="1:14" ht="87" hidden="1">
      <c r="A202" s="159" t="s">
        <v>508</v>
      </c>
      <c r="B202" s="170" t="str">
        <f t="shared" si="8"/>
        <v>Hardware</v>
      </c>
      <c r="C202" s="146" t="s">
        <v>478</v>
      </c>
      <c r="D202" s="150" t="s">
        <v>4</v>
      </c>
      <c r="E202" s="171" t="str">
        <f t="shared" si="10"/>
        <v>Ensure all hardware that delivers audio through an external speaker also utilizes an industry standard connector for headphones or personal listening devices</v>
      </c>
      <c r="F202" s="53" t="s">
        <v>840</v>
      </c>
      <c r="G202" s="54" t="s">
        <v>509</v>
      </c>
      <c r="H202" s="51"/>
      <c r="I202" s="171" t="str">
        <f t="shared" si="11"/>
        <v>Tests for ensuring all hardware that delivers audio through an external speaker also utilizes an industry standard connector for headphones or personal listening devices</v>
      </c>
      <c r="J202" s="158" t="s">
        <v>478</v>
      </c>
      <c r="K202" s="158" t="s">
        <v>510</v>
      </c>
      <c r="L202" s="55" t="str">
        <f t="shared" si="9"/>
        <v>Not Relevant</v>
      </c>
      <c r="M202" s="52"/>
      <c r="N202" s="52"/>
    </row>
    <row r="203" spans="1:14" ht="72.5" hidden="1">
      <c r="A203" s="159" t="s">
        <v>511</v>
      </c>
      <c r="B203" s="170" t="str">
        <f t="shared" si="8"/>
        <v>Hardware</v>
      </c>
      <c r="C203" s="146" t="s">
        <v>478</v>
      </c>
      <c r="D203" s="150" t="s">
        <v>4</v>
      </c>
      <c r="E203" s="171" t="str">
        <f t="shared" si="10"/>
        <v>Ensure all hardware that delivers audio through an external speaker, headset, or earpiece minimizes interference with hearing aid technologies</v>
      </c>
      <c r="F203" s="53" t="s">
        <v>839</v>
      </c>
      <c r="G203" s="50" t="s">
        <v>512</v>
      </c>
      <c r="H203" s="51"/>
      <c r="I203" s="171" t="str">
        <f t="shared" si="11"/>
        <v>Tests for ensuring all hardware that delivers audio through an external speaker, headset, or earpiece minimizes interference with hearing aid technologies</v>
      </c>
      <c r="J203" s="158" t="s">
        <v>478</v>
      </c>
      <c r="K203" s="158" t="s">
        <v>513</v>
      </c>
      <c r="L203" s="55" t="str">
        <f t="shared" si="9"/>
        <v>Not Relevant</v>
      </c>
      <c r="M203" s="52"/>
      <c r="N203" s="52"/>
    </row>
    <row r="204" spans="1:14" ht="87" hidden="1">
      <c r="A204" s="159" t="s">
        <v>514</v>
      </c>
      <c r="B204" s="170" t="str">
        <f t="shared" si="8"/>
        <v>Hardware</v>
      </c>
      <c r="C204" s="146" t="s">
        <v>478</v>
      </c>
      <c r="D204" s="150" t="s">
        <v>4</v>
      </c>
      <c r="E204" s="171" t="str">
        <f t="shared" si="10"/>
        <v>Ensure all hardware that delivers audio output through a transducer which is normally held up to the ear has an effective means for tele coil coupling</v>
      </c>
      <c r="F204" s="53" t="s">
        <v>838</v>
      </c>
      <c r="G204" s="54" t="s">
        <v>515</v>
      </c>
      <c r="H204" s="51"/>
      <c r="I204" s="171" t="str">
        <f t="shared" si="11"/>
        <v>Tests for ensuring all hardware that delivers audio output through a transducer which is normally held up to the ear has an effective means for tele coil coupling</v>
      </c>
      <c r="J204" s="158" t="s">
        <v>478</v>
      </c>
      <c r="K204" s="158" t="s">
        <v>516</v>
      </c>
      <c r="L204" s="55" t="str">
        <f t="shared" si="9"/>
        <v>Not Relevant</v>
      </c>
      <c r="M204" s="52"/>
      <c r="N204" s="52"/>
    </row>
    <row r="205" spans="1:14" ht="58" hidden="1">
      <c r="A205" s="159" t="s">
        <v>152</v>
      </c>
      <c r="B205" s="170" t="str">
        <f t="shared" si="8"/>
        <v>CMS Templates/ Components</v>
      </c>
      <c r="C205" s="146" t="s">
        <v>518</v>
      </c>
      <c r="D205" s="150" t="s">
        <v>517</v>
      </c>
      <c r="E205" s="171" t="str">
        <f t="shared" si="10"/>
        <v>CMS templates and components must follow the guidance provided on the CMS page of the ACR website</v>
      </c>
      <c r="F205" s="53" t="s">
        <v>518</v>
      </c>
      <c r="G205" s="50" t="s">
        <v>519</v>
      </c>
      <c r="H205" s="51"/>
      <c r="I205" s="171" t="str">
        <f t="shared" si="11"/>
        <v>Follow testing guidance provided for relevant standards.</v>
      </c>
      <c r="J205" s="157" t="s">
        <v>518</v>
      </c>
      <c r="K205" s="157" t="s">
        <v>520</v>
      </c>
      <c r="L205" s="55" t="str">
        <f t="shared" si="9"/>
        <v>Not Relevant</v>
      </c>
      <c r="M205" s="52"/>
      <c r="N205" s="52"/>
    </row>
    <row r="206" spans="1:14" ht="72.5" hidden="1">
      <c r="A206" s="159" t="s">
        <v>152</v>
      </c>
      <c r="B206" s="170" t="str">
        <f t="shared" si="8"/>
        <v>CAPTCHA</v>
      </c>
      <c r="C206" s="146" t="s">
        <v>521</v>
      </c>
      <c r="D206" s="150" t="s">
        <v>31</v>
      </c>
      <c r="E206" s="171" t="str">
        <f t="shared" si="10"/>
        <v>Web page CAPTCHAs must follow the CATO ACoE CAPTCHA Guide page.</v>
      </c>
      <c r="F206" s="53" t="s">
        <v>521</v>
      </c>
      <c r="G206" s="54" t="s">
        <v>522</v>
      </c>
      <c r="H206" s="51"/>
      <c r="I206" s="171" t="str">
        <f t="shared" si="11"/>
        <v>See the Guide to Web Form Accessibility, Step by Step testing section - Test: Accessible form label placement and Automated tests provided by FireEyes II.</v>
      </c>
      <c r="J206" s="157" t="s">
        <v>262</v>
      </c>
      <c r="K206" s="157" t="s">
        <v>523</v>
      </c>
      <c r="L206" s="55" t="str">
        <f t="shared" si="9"/>
        <v>Not Relevant</v>
      </c>
      <c r="M206" s="52"/>
      <c r="N206" s="52"/>
    </row>
    <row r="207" spans="1:14" ht="43.5" hidden="1">
      <c r="A207" s="159" t="s">
        <v>254</v>
      </c>
      <c r="B207" s="170" t="str">
        <f t="shared" si="8"/>
        <v>IVR Application</v>
      </c>
      <c r="C207" s="160" t="s">
        <v>526</v>
      </c>
      <c r="D207" s="150" t="s">
        <v>85</v>
      </c>
      <c r="E207" s="171" t="str">
        <f t="shared" si="10"/>
        <v>Ensure IVR/Speech systems are operable and usable without hearing.</v>
      </c>
      <c r="F207" s="53" t="s">
        <v>524</v>
      </c>
      <c r="G207" s="50" t="s">
        <v>525</v>
      </c>
      <c r="H207" s="51"/>
      <c r="I207" s="171" t="str">
        <f t="shared" si="11"/>
        <v>Verify that the IVR is compatible with TTY or TRS.</v>
      </c>
      <c r="J207" s="137" t="s">
        <v>526</v>
      </c>
      <c r="K207" s="137" t="s">
        <v>527</v>
      </c>
      <c r="L207" s="55" t="str">
        <f t="shared" si="9"/>
        <v>Not Relevant</v>
      </c>
      <c r="M207" s="52"/>
      <c r="N207" s="52"/>
    </row>
    <row r="208" spans="1:14" ht="58" hidden="1">
      <c r="A208" s="159" t="s">
        <v>246</v>
      </c>
      <c r="B208" s="170" t="str">
        <f t="shared" si="8"/>
        <v>IVR Application</v>
      </c>
      <c r="C208" s="146" t="s">
        <v>526</v>
      </c>
      <c r="D208" s="150" t="s">
        <v>85</v>
      </c>
      <c r="E208" s="171" t="str">
        <f t="shared" si="10"/>
        <v>Ensure IVR/Speech systems are operable and usable for a user with hearing, but who is hard of hearing.</v>
      </c>
      <c r="F208" s="53" t="s">
        <v>528</v>
      </c>
      <c r="G208" s="54" t="s">
        <v>529</v>
      </c>
      <c r="H208" s="51"/>
      <c r="I208" s="171" t="str">
        <f t="shared" si="11"/>
        <v>Messages should be clear, intelligible, and professionally recorded at a recording studio</v>
      </c>
      <c r="J208" s="137" t="s">
        <v>247</v>
      </c>
      <c r="K208" s="137" t="s">
        <v>249</v>
      </c>
      <c r="L208" s="55" t="str">
        <f t="shared" si="9"/>
        <v>Not Relevant</v>
      </c>
      <c r="M208" s="52"/>
      <c r="N208" s="52"/>
    </row>
    <row r="209" spans="1:14" ht="72.5" hidden="1">
      <c r="A209" s="159" t="s">
        <v>530</v>
      </c>
      <c r="B209" s="170" t="str">
        <f t="shared" si="8"/>
        <v>IVR Application</v>
      </c>
      <c r="C209" s="146" t="s">
        <v>526</v>
      </c>
      <c r="D209" s="150" t="s">
        <v>85</v>
      </c>
      <c r="E209" s="171" t="str">
        <f t="shared" si="10"/>
        <v>Ensure IVR/Speech systems are operable and usable in a way that does not require fine dexterity or simultaneous actions by the user.</v>
      </c>
      <c r="F209" s="53" t="s">
        <v>531</v>
      </c>
      <c r="G209" s="50" t="s">
        <v>532</v>
      </c>
      <c r="H209" s="51"/>
      <c r="I209" s="171" t="str">
        <f t="shared" si="11"/>
        <v>Verify multi-key presses are not required to operate the IVR.</v>
      </c>
      <c r="J209" s="137" t="s">
        <v>526</v>
      </c>
      <c r="K209" s="137" t="s">
        <v>533</v>
      </c>
      <c r="L209" s="55" t="str">
        <f t="shared" si="9"/>
        <v>Not Relevant</v>
      </c>
      <c r="M209" s="52"/>
      <c r="N209" s="52"/>
    </row>
    <row r="210" spans="1:14" ht="87" hidden="1">
      <c r="A210" s="159" t="s">
        <v>250</v>
      </c>
      <c r="B210" s="170" t="str">
        <f t="shared" si="8"/>
        <v>IVR Application</v>
      </c>
      <c r="C210" s="146" t="s">
        <v>526</v>
      </c>
      <c r="D210" s="150" t="s">
        <v>85</v>
      </c>
      <c r="E210" s="171" t="str">
        <f t="shared" si="10"/>
        <v>Ensure IVR/Speech systems are operable and usable in a way that does not require a response time or allows response time to be by-passed or adjusted by the user over a wide range.</v>
      </c>
      <c r="F210" s="53" t="s">
        <v>534</v>
      </c>
      <c r="G210" s="54" t="s">
        <v>535</v>
      </c>
      <c r="H210" s="51"/>
      <c r="I210" s="171" t="str">
        <f t="shared" si="11"/>
        <v xml:space="preserve">Verify that the IVR has extended time out(s), user profile control(s), or bypass functionality. </v>
      </c>
      <c r="J210" s="137" t="s">
        <v>251</v>
      </c>
      <c r="K210" s="137" t="s">
        <v>253</v>
      </c>
      <c r="L210" s="55" t="str">
        <f t="shared" si="9"/>
        <v>Not Relevant</v>
      </c>
      <c r="M210" s="52"/>
      <c r="N210" s="52"/>
    </row>
    <row r="211" spans="1:14" ht="43.5" hidden="1">
      <c r="A211" s="159" t="s">
        <v>536</v>
      </c>
      <c r="B211" s="170" t="str">
        <f t="shared" si="8"/>
        <v>IVR Application</v>
      </c>
      <c r="C211" s="146" t="s">
        <v>526</v>
      </c>
      <c r="D211" s="150" t="s">
        <v>85</v>
      </c>
      <c r="E211" s="171" t="str">
        <f t="shared" si="10"/>
        <v>Ensure IVR/Speech systems are operable and usable in a way that does not require speech.</v>
      </c>
      <c r="F211" s="53" t="s">
        <v>537</v>
      </c>
      <c r="G211" s="50" t="s">
        <v>538</v>
      </c>
      <c r="H211" s="51"/>
      <c r="I211" s="171" t="str">
        <f t="shared" si="11"/>
        <v>Verify there is touch-tone back up for speech input.</v>
      </c>
      <c r="J211" s="137" t="s">
        <v>526</v>
      </c>
      <c r="K211" s="137" t="s">
        <v>539</v>
      </c>
      <c r="L211" s="55" t="str">
        <f t="shared" si="9"/>
        <v>Not Relevant</v>
      </c>
      <c r="M211" s="52"/>
      <c r="N211" s="52"/>
    </row>
    <row r="212" spans="1:14" ht="72.5" hidden="1">
      <c r="A212" s="159" t="s">
        <v>243</v>
      </c>
      <c r="B212" s="170" t="str">
        <f t="shared" ref="B212:B224" si="12">HYPERLINK(arcTarget &amp; "fwd/?src=xlguide&amp;url=" &amp; arcTarget &amp; C212,D212)</f>
        <v>IVR Application</v>
      </c>
      <c r="C212" s="146" t="s">
        <v>526</v>
      </c>
      <c r="D212" s="150" t="s">
        <v>85</v>
      </c>
      <c r="E212" s="171" t="str">
        <f t="shared" si="10"/>
        <v>Ensure IVR/Speech systems are operable and usable in a way that that minimizes the cognitive, memory, language, and learning skills required of the user.</v>
      </c>
      <c r="F212" s="53" t="s">
        <v>836</v>
      </c>
      <c r="G212" s="54" t="s">
        <v>540</v>
      </c>
      <c r="H212" s="51"/>
      <c r="I212" s="171" t="str">
        <f t="shared" si="11"/>
        <v>Use Flesch-Kincaid to measure readability grade level of 6.9 or below.</v>
      </c>
      <c r="J212" s="53" t="s">
        <v>146</v>
      </c>
      <c r="K212" s="137" t="s">
        <v>245</v>
      </c>
      <c r="L212" s="55" t="str">
        <f t="shared" si="9"/>
        <v>Not Relevant</v>
      </c>
      <c r="M212" s="52"/>
      <c r="N212" s="52"/>
    </row>
    <row r="213" spans="1:14" ht="43.5" hidden="1">
      <c r="A213" s="159" t="s">
        <v>541</v>
      </c>
      <c r="B213" s="170" t="str">
        <f t="shared" si="12"/>
        <v>IVR Application</v>
      </c>
      <c r="C213" s="146" t="s">
        <v>526</v>
      </c>
      <c r="D213" s="150" t="s">
        <v>85</v>
      </c>
      <c r="E213" s="171" t="str">
        <f t="shared" si="10"/>
        <v>Ensure 3rd party solutions for IVR/Speech systems accessibility are available at nominal cost.</v>
      </c>
      <c r="F213" s="53" t="s">
        <v>542</v>
      </c>
      <c r="G213" s="50" t="s">
        <v>543</v>
      </c>
      <c r="H213" s="51"/>
      <c r="I213" s="171" t="str">
        <f t="shared" si="11"/>
        <v>Verify that if a 3rd party solution required is at nominal cost to the user.</v>
      </c>
      <c r="J213" s="137" t="s">
        <v>526</v>
      </c>
      <c r="K213" s="137" t="s">
        <v>544</v>
      </c>
      <c r="L213" s="55" t="str">
        <f t="shared" ref="L213:L224" si="13">IF(OR($H213="Not Relevant",$H213=""), "Not Relevant","")</f>
        <v>Not Relevant</v>
      </c>
      <c r="M213" s="52"/>
      <c r="N213" s="52"/>
    </row>
    <row r="214" spans="1:14" ht="43.5" hidden="1">
      <c r="A214" s="159" t="s">
        <v>545</v>
      </c>
      <c r="B214" s="170" t="str">
        <f t="shared" si="12"/>
        <v>IVR Application</v>
      </c>
      <c r="C214" s="146" t="s">
        <v>526</v>
      </c>
      <c r="D214" s="150" t="s">
        <v>85</v>
      </c>
      <c r="E214" s="171" t="str">
        <f t="shared" si="10"/>
        <v>Ensure IVR/Speech systems are compatible with commonly used CPE and assistive technology.</v>
      </c>
      <c r="F214" s="53" t="s">
        <v>546</v>
      </c>
      <c r="G214" s="54" t="s">
        <v>547</v>
      </c>
      <c r="H214" s="51"/>
      <c r="I214" s="171" t="str">
        <f t="shared" si="11"/>
        <v>Verify the IVR can be used with a TTY and TRS.</v>
      </c>
      <c r="J214" s="137" t="s">
        <v>526</v>
      </c>
      <c r="K214" s="137" t="s">
        <v>548</v>
      </c>
      <c r="L214" s="55" t="str">
        <f t="shared" si="13"/>
        <v>Not Relevant</v>
      </c>
      <c r="M214" s="52"/>
      <c r="N214" s="52"/>
    </row>
    <row r="215" spans="1:14" ht="58" hidden="1">
      <c r="A215" s="133" t="s">
        <v>152</v>
      </c>
      <c r="B215" s="170" t="str">
        <f t="shared" si="12"/>
        <v>DS2 Components and Digital Design Hub</v>
      </c>
      <c r="C215" s="161" t="s">
        <v>549</v>
      </c>
      <c r="D215" s="161" t="s">
        <v>43</v>
      </c>
      <c r="E215" s="171" t="str">
        <f t="shared" si="10"/>
        <v>DS2 Components must follow the guidance in the Guide to the Digital Experience Digital Design Hub and DS2 Features</v>
      </c>
      <c r="F215" s="53" t="s">
        <v>549</v>
      </c>
      <c r="G215" s="50" t="s">
        <v>550</v>
      </c>
      <c r="H215" s="51"/>
      <c r="I215" s="171" t="str">
        <f t="shared" si="11"/>
        <v>Follow guidance in the Step by Step testing section of the Guide to the Digital Experience Digital Design Hub and DS2 Features</v>
      </c>
      <c r="J215" s="137" t="s">
        <v>549</v>
      </c>
      <c r="K215" s="137" t="s">
        <v>551</v>
      </c>
      <c r="L215" s="55" t="str">
        <f t="shared" si="13"/>
        <v>Not Relevant</v>
      </c>
      <c r="M215" s="52"/>
      <c r="N215" s="52"/>
    </row>
    <row r="216" spans="1:14" ht="43.5" hidden="1">
      <c r="A216" s="159" t="s">
        <v>152</v>
      </c>
      <c r="B216" s="170" t="str">
        <f t="shared" si="12"/>
        <v>TV Hardware (Blind)</v>
      </c>
      <c r="C216" s="160" t="s">
        <v>979</v>
      </c>
      <c r="D216" s="155" t="s">
        <v>982</v>
      </c>
      <c r="E216" s="171" t="str">
        <f t="shared" si="10"/>
        <v>Talking Guide requirements for customers who are blind</v>
      </c>
      <c r="F216" s="53" t="s">
        <v>979</v>
      </c>
      <c r="G216" s="54" t="s">
        <v>977</v>
      </c>
      <c r="H216" s="51"/>
      <c r="I216" s="171" t="str">
        <f t="shared" si="11"/>
        <v>See the Step by Step Guide to Testing section of the Guide page.</v>
      </c>
      <c r="J216" s="137" t="s">
        <v>979</v>
      </c>
      <c r="K216" s="137" t="s">
        <v>978</v>
      </c>
      <c r="L216" s="55" t="str">
        <f t="shared" si="13"/>
        <v>Not Relevant</v>
      </c>
      <c r="M216" s="52"/>
      <c r="N216" s="52"/>
    </row>
    <row r="217" spans="1:14" ht="43.5" hidden="1">
      <c r="A217" s="159" t="s">
        <v>152</v>
      </c>
      <c r="B217" s="170" t="str">
        <f t="shared" si="12"/>
        <v>TV Hardware (Deaf)</v>
      </c>
      <c r="C217" s="160" t="s">
        <v>980</v>
      </c>
      <c r="D217" s="155" t="s">
        <v>983</v>
      </c>
      <c r="E217" s="171" t="str">
        <f t="shared" ref="E217:E224" si="14">HYPERLINK(arcTarget &amp; "fwd/?src=xlguide&amp;url=" &amp; arcTarget &amp; F217,G217)</f>
        <v>Accessibility requirements for customers with hearing impairments.</v>
      </c>
      <c r="F217" s="53" t="s">
        <v>980</v>
      </c>
      <c r="G217" s="54" t="s">
        <v>984</v>
      </c>
      <c r="H217" s="51"/>
      <c r="I217" s="171" t="str">
        <f t="shared" ref="I217:I224" si="15">HYPERLINK(arcTarget &amp; "fwd/?src=xlguide&amp;url=" &amp; arcTarget &amp; J217,K217)</f>
        <v>See the Step by Step Guide to Testing section of the Guide page.</v>
      </c>
      <c r="J217" s="137" t="s">
        <v>552</v>
      </c>
      <c r="K217" s="137" t="s">
        <v>978</v>
      </c>
      <c r="L217" s="55" t="str">
        <f t="shared" si="13"/>
        <v>Not Relevant</v>
      </c>
      <c r="M217" s="52"/>
      <c r="N217" s="52"/>
    </row>
    <row r="218" spans="1:14" ht="43.5" hidden="1">
      <c r="A218" s="159" t="s">
        <v>152</v>
      </c>
      <c r="B218" s="170" t="str">
        <f t="shared" si="12"/>
        <v>TV Mobile Apps</v>
      </c>
      <c r="C218" s="160" t="s">
        <v>986</v>
      </c>
      <c r="D218" s="155" t="s">
        <v>985</v>
      </c>
      <c r="E218" s="171" t="str">
        <f t="shared" si="14"/>
        <v>Closed caption and audible emergency information pass-through rules</v>
      </c>
      <c r="F218" s="53" t="s">
        <v>986</v>
      </c>
      <c r="G218" s="50" t="s">
        <v>987</v>
      </c>
      <c r="H218" s="51"/>
      <c r="I218" s="171" t="str">
        <f t="shared" si="15"/>
        <v>See the Step by Step Guide to Testing section of the Guide page.</v>
      </c>
      <c r="J218" s="137" t="s">
        <v>986</v>
      </c>
      <c r="K218" s="137" t="s">
        <v>978</v>
      </c>
      <c r="L218" s="55" t="str">
        <f t="shared" si="13"/>
        <v>Not Relevant</v>
      </c>
      <c r="M218" s="52"/>
      <c r="N218" s="52"/>
    </row>
    <row r="219" spans="1:14" ht="43.5" hidden="1">
      <c r="A219" s="159" t="s">
        <v>152</v>
      </c>
      <c r="B219" s="170" t="str">
        <f t="shared" si="12"/>
        <v>TV Preloading Apps</v>
      </c>
      <c r="C219" s="160" t="s">
        <v>993</v>
      </c>
      <c r="D219" s="155" t="s">
        <v>989</v>
      </c>
      <c r="E219" s="171" t="str">
        <f t="shared" si="14"/>
        <v>Screen reader compatibility for pre-loaded TV apps</v>
      </c>
      <c r="F219" s="179" t="s">
        <v>993</v>
      </c>
      <c r="G219" s="54" t="s">
        <v>988</v>
      </c>
      <c r="H219" s="51"/>
      <c r="I219" s="171" t="str">
        <f t="shared" si="15"/>
        <v>See the Step by Step Guide to Testing section of the Guide page.</v>
      </c>
      <c r="J219" s="137" t="s">
        <v>993</v>
      </c>
      <c r="K219" s="137" t="s">
        <v>978</v>
      </c>
      <c r="L219" s="55" t="str">
        <f t="shared" si="13"/>
        <v>Not Relevant</v>
      </c>
      <c r="M219" s="52"/>
      <c r="N219" s="52"/>
    </row>
    <row r="220" spans="1:14" ht="43.5" hidden="1">
      <c r="A220" s="159" t="s">
        <v>152</v>
      </c>
      <c r="B220" s="170" t="str">
        <f t="shared" si="12"/>
        <v>TV OTT</v>
      </c>
      <c r="C220" s="160" t="s">
        <v>992</v>
      </c>
      <c r="D220" s="155" t="s">
        <v>990</v>
      </c>
      <c r="E220" s="171" t="str">
        <f t="shared" si="14"/>
        <v>Closed Captioning rules for over the top video services</v>
      </c>
      <c r="F220" s="179" t="s">
        <v>992</v>
      </c>
      <c r="G220" s="50" t="s">
        <v>991</v>
      </c>
      <c r="H220" s="51"/>
      <c r="I220" s="171" t="str">
        <f t="shared" si="15"/>
        <v>See the Step by Step Guide to Testing section of the Guide page.</v>
      </c>
      <c r="J220" s="137" t="s">
        <v>992</v>
      </c>
      <c r="K220" s="137" t="s">
        <v>978</v>
      </c>
      <c r="L220" s="55" t="str">
        <f t="shared" si="13"/>
        <v>Not Relevant</v>
      </c>
      <c r="M220" s="52"/>
      <c r="N220" s="52"/>
    </row>
    <row r="221" spans="1:14" ht="43.5" hidden="1">
      <c r="A221" s="159" t="s">
        <v>152</v>
      </c>
      <c r="B221" s="170" t="str">
        <f t="shared" si="12"/>
        <v>TV OTT Preloading</v>
      </c>
      <c r="C221" s="160" t="s">
        <v>995</v>
      </c>
      <c r="D221" s="155" t="s">
        <v>994</v>
      </c>
      <c r="E221" s="171" t="str">
        <f t="shared" si="14"/>
        <v>Screen reader compatibility for preloaded over the top video services</v>
      </c>
      <c r="F221" s="179" t="s">
        <v>995</v>
      </c>
      <c r="G221" s="54" t="s">
        <v>998</v>
      </c>
      <c r="H221" s="51"/>
      <c r="I221" s="171" t="str">
        <f t="shared" si="15"/>
        <v>See the Step by Step Guide to Testing section of the Guide page.</v>
      </c>
      <c r="J221" s="137" t="s">
        <v>995</v>
      </c>
      <c r="K221" s="137" t="s">
        <v>978</v>
      </c>
      <c r="L221" s="55" t="str">
        <f t="shared" si="13"/>
        <v>Not Relevant</v>
      </c>
      <c r="M221" s="52"/>
      <c r="N221" s="52"/>
    </row>
    <row r="222" spans="1:14" ht="58" hidden="1">
      <c r="A222" s="159" t="s">
        <v>152</v>
      </c>
      <c r="B222" s="170" t="str">
        <f t="shared" ref="B222" si="16">HYPERLINK(arcTarget &amp; "fwd/?src=xlguide&amp;url=" &amp; arcTarget &amp; C222,D222)</f>
        <v>TV Digital Apparatus</v>
      </c>
      <c r="C222" s="160" t="s">
        <v>999</v>
      </c>
      <c r="D222" s="155" t="s">
        <v>996</v>
      </c>
      <c r="E222" s="171" t="str">
        <f t="shared" ref="E222" si="17">HYPERLINK(arcTarget &amp; "fwd/?src=xlguide&amp;url=" &amp; arcTarget &amp; F222,G222)</f>
        <v>Closed caption, magnification, and spoken feedback requirements for digital apparatus</v>
      </c>
      <c r="F222" s="53" t="s">
        <v>999</v>
      </c>
      <c r="G222" s="54" t="s">
        <v>997</v>
      </c>
      <c r="H222" s="51"/>
      <c r="I222" s="171" t="str">
        <f t="shared" ref="I222" si="18">HYPERLINK(arcTarget &amp; "fwd/?src=xlguide&amp;url=" &amp; arcTarget &amp; J222,K222)</f>
        <v>See the Step by Step Guide to Testing section of the Guide page.</v>
      </c>
      <c r="J222" s="137" t="s">
        <v>999</v>
      </c>
      <c r="K222" s="137" t="s">
        <v>978</v>
      </c>
      <c r="L222" s="55" t="str">
        <f t="shared" si="13"/>
        <v>Not Relevant</v>
      </c>
      <c r="M222" s="52"/>
      <c r="N222" s="52"/>
    </row>
    <row r="223" spans="1:14" ht="58" hidden="1">
      <c r="A223" s="159" t="s">
        <v>152</v>
      </c>
      <c r="B223" s="170" t="str">
        <f t="shared" si="12"/>
        <v>Vendor</v>
      </c>
      <c r="C223" s="160" t="s">
        <v>553</v>
      </c>
      <c r="D223" s="146" t="s">
        <v>8</v>
      </c>
      <c r="E223" s="171" t="str">
        <f t="shared" si="14"/>
        <v xml:space="preserve">The vendor contract shall have a "compliance with laws" clause in order to meet all relevant accessibility mandates. </v>
      </c>
      <c r="F223" s="53" t="s">
        <v>553</v>
      </c>
      <c r="G223" s="54" t="s">
        <v>554</v>
      </c>
      <c r="H223" s="51"/>
      <c r="I223" s="171" t="str">
        <f t="shared" si="15"/>
        <v>If necessary, provide the Compliance with Laws clause and Accessibility Letter for Suppliers to the vendor.</v>
      </c>
      <c r="J223" s="137" t="s">
        <v>553</v>
      </c>
      <c r="K223" s="137" t="s">
        <v>555</v>
      </c>
      <c r="L223" s="55" t="str">
        <f t="shared" si="13"/>
        <v>Not Relevant</v>
      </c>
      <c r="M223" s="57"/>
      <c r="N223" s="57"/>
    </row>
    <row r="224" spans="1:14" ht="116" hidden="1">
      <c r="A224" s="159" t="s">
        <v>152</v>
      </c>
      <c r="B224" s="170" t="str">
        <f t="shared" si="12"/>
        <v>Vendor</v>
      </c>
      <c r="C224" s="146" t="s">
        <v>553</v>
      </c>
      <c r="D224" s="146" t="s">
        <v>8</v>
      </c>
      <c r="E224" s="171" t="str">
        <f t="shared" si="14"/>
        <v>If an RFI or RFP is used, it shall include accessibility for persons with disabilities as a general requirement and attempt to identify or address specific solutions or features required for meeting relevant accessibility mandates.</v>
      </c>
      <c r="F224" s="53" t="s">
        <v>553</v>
      </c>
      <c r="G224" s="50" t="s">
        <v>556</v>
      </c>
      <c r="H224" s="51"/>
      <c r="I224" s="171" t="str">
        <f t="shared" si="15"/>
        <v>If necessary, provide the Compliance with Laws clause and Accessibility Letter for Suppliers to the vendor.</v>
      </c>
      <c r="J224" s="137" t="s">
        <v>553</v>
      </c>
      <c r="K224" s="137" t="s">
        <v>555</v>
      </c>
      <c r="L224" s="55" t="str">
        <f t="shared" si="13"/>
        <v>Not Relevant</v>
      </c>
      <c r="M224" s="57"/>
      <c r="N224" s="57"/>
    </row>
    <row r="225" spans="1:14">
      <c r="A225" s="159"/>
      <c r="B225" s="146"/>
      <c r="C225" s="146"/>
      <c r="D225" s="146"/>
      <c r="E225" s="133"/>
      <c r="F225" s="58"/>
      <c r="G225" s="58"/>
      <c r="H225" s="58"/>
      <c r="I225" s="139"/>
      <c r="J225" s="137"/>
      <c r="K225" s="137"/>
      <c r="L225" s="137"/>
      <c r="M225" s="162"/>
      <c r="N225" s="163"/>
    </row>
    <row r="226" spans="1:14">
      <c r="A226" s="159"/>
      <c r="B226" s="146"/>
      <c r="C226" s="146"/>
      <c r="D226" s="146"/>
      <c r="E226" s="164"/>
      <c r="F226" s="59"/>
      <c r="G226" s="59"/>
      <c r="H226" s="59"/>
      <c r="I226" s="136"/>
      <c r="J226" s="165"/>
      <c r="K226" s="165"/>
      <c r="L226" s="165"/>
      <c r="M226" s="162"/>
    </row>
    <row r="227" spans="1:14">
      <c r="A227" s="159"/>
    </row>
  </sheetData>
  <sheetProtection sheet="1" objects="1" scenarios="1" formatColumns="0" autoFilter="0"/>
  <dataConsolidate/>
  <mergeCells count="6">
    <mergeCell ref="M6:M10"/>
    <mergeCell ref="E16:M16"/>
    <mergeCell ref="A16:B16"/>
    <mergeCell ref="A17:B17"/>
    <mergeCell ref="L17:N17"/>
    <mergeCell ref="E17:I17"/>
  </mergeCells>
  <conditionalFormatting sqref="I225:I226 H223:H224 H20:H221">
    <cfRule type="containsText" priority="3" operator="containsText" text="N/A">
      <formula>NOT(ISERROR(SEARCH("N/A",H20)))</formula>
    </cfRule>
  </conditionalFormatting>
  <conditionalFormatting sqref="H222">
    <cfRule type="containsText" priority="1" operator="containsText" text="N/A">
      <formula>NOT(ISERROR(SEARCH("N/A",H222)))</formula>
    </cfRule>
  </conditionalFormatting>
  <dataValidations count="4">
    <dataValidation type="list" allowBlank="1" showInputMessage="1" showErrorMessage="1" sqref="N225 M225:M226" xr:uid="{00000000-0002-0000-0200-000000000000}">
      <formula1>"Met, Sev 1 Defect, Sev 2 Defect, Sev 3 Defect"</formula1>
    </dataValidation>
    <dataValidation type="list" allowBlank="1" showInputMessage="1" showErrorMessage="1" sqref="I16 I225:I1048576" xr:uid="{00000000-0002-0000-0200-000001000000}">
      <formula1>"Included"</formula1>
    </dataValidation>
    <dataValidation type="list" allowBlank="1" showInputMessage="1" showErrorMessage="1" sqref="L20:L224" xr:uid="{00000000-0002-0000-0200-000002000000}">
      <formula1>"Met, Regulatory Impact Defect, Best Practices Impact Defect, Not Relevant"</formula1>
    </dataValidation>
    <dataValidation type="list" allowBlank="1" showInputMessage="1" showErrorMessage="1" sqref="H20:H224" xr:uid="{00000000-0002-0000-0200-000003000000}">
      <formula1>" --Select--,Included, Not Relevant"</formula1>
    </dataValidation>
  </dataValidations>
  <hyperlinks>
    <hyperlink ref="M6" r:id="rId1" display="http://wiwauk4coldda06.itservices.sbc.com/accessibility/guide-process/CATO_ACoE_JobAid.docx" xr:uid="{00000000-0004-0000-0200-000000000000}"/>
    <hyperlink ref="B13" r:id="rId2" display="Refer to the Job Aid for further explanation of defect categories." xr:uid="{00000000-0004-0000-0200-000001000000}"/>
    <hyperlink ref="M6:M10" r:id="rId3" display="http://accessibility.web.att.com/guide-process/CATO_ACoE_JobAid.docx" xr:uid="{00000000-0004-0000-0200-000002000000}"/>
  </hyperlinks>
  <pageMargins left="0.25" right="0.25" top="0.75" bottom="0.75" header="0.3" footer="0.3"/>
  <pageSetup scale="76" fitToHeight="0" orientation="landscape"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B050"/>
  </sheetPr>
  <dimension ref="A1:B88"/>
  <sheetViews>
    <sheetView zoomScaleNormal="100" workbookViewId="0">
      <selection activeCell="B21" sqref="B21"/>
    </sheetView>
  </sheetViews>
  <sheetFormatPr defaultColWidth="8.81640625" defaultRowHeight="15"/>
  <cols>
    <col min="1" max="1" width="6.7265625" style="63" customWidth="1"/>
    <col min="2" max="16384" width="8.81640625" style="63"/>
  </cols>
  <sheetData>
    <row r="1" spans="1:2">
      <c r="A1" s="63">
        <v>1</v>
      </c>
      <c r="B1" s="63" t="s">
        <v>560</v>
      </c>
    </row>
    <row r="2" spans="1:2">
      <c r="A2" s="63">
        <v>2</v>
      </c>
      <c r="B2" s="63" t="s">
        <v>561</v>
      </c>
    </row>
    <row r="3" spans="1:2">
      <c r="A3" s="63">
        <v>3</v>
      </c>
      <c r="B3" s="63" t="s">
        <v>562</v>
      </c>
    </row>
    <row r="4" spans="1:2">
      <c r="A4" s="63">
        <v>4</v>
      </c>
      <c r="B4" s="63" t="s">
        <v>563</v>
      </c>
    </row>
    <row r="5" spans="1:2">
      <c r="A5" s="63">
        <v>5</v>
      </c>
      <c r="B5" s="63" t="s">
        <v>564</v>
      </c>
    </row>
    <row r="6" spans="1:2">
      <c r="A6" s="63">
        <v>6</v>
      </c>
      <c r="B6" s="63" t="s">
        <v>565</v>
      </c>
    </row>
    <row r="7" spans="1:2">
      <c r="A7" s="63">
        <v>7</v>
      </c>
      <c r="B7" s="63" t="s">
        <v>566</v>
      </c>
    </row>
    <row r="8" spans="1:2">
      <c r="A8" s="63">
        <v>8</v>
      </c>
      <c r="B8" s="63" t="s">
        <v>567</v>
      </c>
    </row>
    <row r="9" spans="1:2">
      <c r="A9" s="63">
        <v>9</v>
      </c>
      <c r="B9" s="63" t="s">
        <v>568</v>
      </c>
    </row>
    <row r="10" spans="1:2">
      <c r="A10" s="63">
        <v>10</v>
      </c>
      <c r="B10" s="63" t="s">
        <v>569</v>
      </c>
    </row>
    <row r="11" spans="1:2">
      <c r="A11" s="63">
        <v>11</v>
      </c>
      <c r="B11" s="63" t="s">
        <v>570</v>
      </c>
    </row>
    <row r="12" spans="1:2">
      <c r="A12" s="63">
        <v>12</v>
      </c>
      <c r="B12" s="63" t="s">
        <v>142</v>
      </c>
    </row>
    <row r="13" spans="1:2">
      <c r="A13" s="63">
        <v>13</v>
      </c>
      <c r="B13" s="63" t="s">
        <v>571</v>
      </c>
    </row>
    <row r="14" spans="1:2">
      <c r="A14" s="63">
        <v>14</v>
      </c>
      <c r="B14" s="63" t="s">
        <v>572</v>
      </c>
    </row>
    <row r="15" spans="1:2">
      <c r="A15" s="63">
        <v>15</v>
      </c>
      <c r="B15" s="63" t="s">
        <v>573</v>
      </c>
    </row>
    <row r="16" spans="1:2">
      <c r="A16" s="63">
        <v>16</v>
      </c>
      <c r="B16" s="63" t="s">
        <v>574</v>
      </c>
    </row>
    <row r="17" spans="1:2">
      <c r="A17" s="63">
        <v>17</v>
      </c>
      <c r="B17" s="63" t="s">
        <v>575</v>
      </c>
    </row>
    <row r="18" spans="1:2">
      <c r="A18" s="63">
        <v>18</v>
      </c>
      <c r="B18" s="63" t="s">
        <v>576</v>
      </c>
    </row>
    <row r="19" spans="1:2">
      <c r="A19" s="63">
        <v>19</v>
      </c>
      <c r="B19" s="63" t="s">
        <v>318</v>
      </c>
    </row>
    <row r="20" spans="1:2">
      <c r="A20" s="63">
        <v>20</v>
      </c>
      <c r="B20" s="63" t="s">
        <v>147</v>
      </c>
    </row>
    <row r="21" spans="1:2">
      <c r="A21" s="63">
        <v>21</v>
      </c>
      <c r="B21" s="63" t="s">
        <v>150</v>
      </c>
    </row>
    <row r="22" spans="1:2">
      <c r="A22" s="63">
        <v>22</v>
      </c>
      <c r="B22" s="63" t="s">
        <v>577</v>
      </c>
    </row>
    <row r="23" spans="1:2">
      <c r="A23" s="63">
        <v>23</v>
      </c>
      <c r="B23" s="63" t="s">
        <v>578</v>
      </c>
    </row>
    <row r="24" spans="1:2">
      <c r="A24" s="63">
        <v>24</v>
      </c>
      <c r="B24" s="63" t="s">
        <v>579</v>
      </c>
    </row>
    <row r="25" spans="1:2">
      <c r="A25" s="63">
        <v>25</v>
      </c>
      <c r="B25" s="63" t="s">
        <v>580</v>
      </c>
    </row>
    <row r="26" spans="1:2">
      <c r="A26" s="63">
        <v>26</v>
      </c>
      <c r="B26" s="63" t="s">
        <v>581</v>
      </c>
    </row>
    <row r="27" spans="1:2">
      <c r="A27" s="63">
        <v>27</v>
      </c>
      <c r="B27" s="63" t="s">
        <v>582</v>
      </c>
    </row>
    <row r="28" spans="1:2">
      <c r="A28" s="63">
        <v>28</v>
      </c>
      <c r="B28" s="63" t="s">
        <v>359</v>
      </c>
    </row>
    <row r="29" spans="1:2">
      <c r="A29" s="63">
        <v>29</v>
      </c>
      <c r="B29" s="63" t="s">
        <v>300</v>
      </c>
    </row>
    <row r="30" spans="1:2">
      <c r="A30" s="63">
        <v>30</v>
      </c>
      <c r="B30" s="63" t="s">
        <v>235</v>
      </c>
    </row>
    <row r="31" spans="1:2">
      <c r="A31" s="63">
        <v>31</v>
      </c>
      <c r="B31" s="63" t="s">
        <v>583</v>
      </c>
    </row>
    <row r="32" spans="1:2">
      <c r="A32" s="63">
        <v>32</v>
      </c>
      <c r="B32" s="63" t="s">
        <v>584</v>
      </c>
    </row>
    <row r="33" spans="1:2">
      <c r="A33" s="63">
        <v>33</v>
      </c>
      <c r="B33" s="63" t="s">
        <v>585</v>
      </c>
    </row>
    <row r="34" spans="1:2">
      <c r="A34" s="63">
        <v>34</v>
      </c>
      <c r="B34" s="63" t="s">
        <v>586</v>
      </c>
    </row>
    <row r="35" spans="1:2">
      <c r="A35" s="63">
        <v>35</v>
      </c>
      <c r="B35" s="63" t="s">
        <v>265</v>
      </c>
    </row>
    <row r="36" spans="1:2">
      <c r="A36" s="63">
        <v>36</v>
      </c>
      <c r="B36" s="63" t="s">
        <v>267</v>
      </c>
    </row>
    <row r="37" spans="1:2">
      <c r="A37" s="63">
        <v>37</v>
      </c>
      <c r="B37" s="63" t="s">
        <v>269</v>
      </c>
    </row>
    <row r="38" spans="1:2">
      <c r="A38" s="63">
        <v>38</v>
      </c>
      <c r="B38" s="63" t="s">
        <v>587</v>
      </c>
    </row>
    <row r="39" spans="1:2">
      <c r="A39" s="63">
        <v>39</v>
      </c>
      <c r="B39" s="63" t="s">
        <v>271</v>
      </c>
    </row>
    <row r="40" spans="1:2">
      <c r="A40" s="63">
        <v>40</v>
      </c>
      <c r="B40" s="63" t="s">
        <v>273</v>
      </c>
    </row>
    <row r="41" spans="1:2">
      <c r="A41" s="63">
        <v>41</v>
      </c>
      <c r="B41" s="63" t="s">
        <v>289</v>
      </c>
    </row>
    <row r="42" spans="1:2">
      <c r="A42" s="63">
        <v>42</v>
      </c>
      <c r="B42" s="63" t="s">
        <v>588</v>
      </c>
    </row>
    <row r="43" spans="1:2">
      <c r="A43" s="63">
        <v>43</v>
      </c>
      <c r="B43" s="63" t="s">
        <v>589</v>
      </c>
    </row>
    <row r="44" spans="1:2">
      <c r="A44" s="63">
        <v>44</v>
      </c>
      <c r="B44" s="63" t="s">
        <v>590</v>
      </c>
    </row>
    <row r="45" spans="1:2">
      <c r="A45" s="63">
        <v>45</v>
      </c>
      <c r="B45" s="63" t="s">
        <v>308</v>
      </c>
    </row>
    <row r="46" spans="1:2">
      <c r="A46" s="63">
        <v>46</v>
      </c>
      <c r="B46" s="63" t="s">
        <v>322</v>
      </c>
    </row>
    <row r="47" spans="1:2">
      <c r="A47" s="63">
        <v>47</v>
      </c>
      <c r="B47" s="63" t="s">
        <v>591</v>
      </c>
    </row>
    <row r="48" spans="1:2">
      <c r="A48" s="63">
        <v>48</v>
      </c>
      <c r="B48" s="63" t="s">
        <v>592</v>
      </c>
    </row>
    <row r="49" spans="1:2">
      <c r="A49" s="63">
        <v>49</v>
      </c>
      <c r="B49" s="63" t="s">
        <v>593</v>
      </c>
    </row>
    <row r="50" spans="1:2">
      <c r="A50" s="63">
        <v>50</v>
      </c>
      <c r="B50" s="63" t="s">
        <v>594</v>
      </c>
    </row>
    <row r="51" spans="1:2">
      <c r="A51" s="63">
        <v>51</v>
      </c>
      <c r="B51" s="63" t="s">
        <v>595</v>
      </c>
    </row>
    <row r="52" spans="1:2">
      <c r="A52" s="63">
        <v>52</v>
      </c>
      <c r="B52" s="63" t="s">
        <v>157</v>
      </c>
    </row>
    <row r="53" spans="1:2">
      <c r="A53" s="63">
        <v>53</v>
      </c>
      <c r="B53" s="63" t="s">
        <v>596</v>
      </c>
    </row>
    <row r="54" spans="1:2">
      <c r="A54" s="63">
        <v>54</v>
      </c>
      <c r="B54" s="63" t="s">
        <v>597</v>
      </c>
    </row>
    <row r="55" spans="1:2">
      <c r="A55" s="63">
        <v>55</v>
      </c>
      <c r="B55" s="63" t="s">
        <v>598</v>
      </c>
    </row>
    <row r="56" spans="1:2">
      <c r="A56" s="63">
        <v>56</v>
      </c>
      <c r="B56" s="63" t="s">
        <v>159</v>
      </c>
    </row>
    <row r="57" spans="1:2">
      <c r="A57" s="63">
        <v>57</v>
      </c>
      <c r="B57" s="63" t="s">
        <v>599</v>
      </c>
    </row>
    <row r="58" spans="1:2">
      <c r="A58" s="63">
        <v>58</v>
      </c>
      <c r="B58" s="63" t="s">
        <v>314</v>
      </c>
    </row>
    <row r="59" spans="1:2">
      <c r="A59" s="64">
        <v>59</v>
      </c>
      <c r="B59" s="63" t="s">
        <v>600</v>
      </c>
    </row>
    <row r="60" spans="1:2">
      <c r="A60" s="64">
        <v>60</v>
      </c>
      <c r="B60" s="63" t="s">
        <v>601</v>
      </c>
    </row>
    <row r="61" spans="1:2">
      <c r="A61" s="64">
        <v>61</v>
      </c>
      <c r="B61" s="63" t="s">
        <v>602</v>
      </c>
    </row>
    <row r="62" spans="1:2">
      <c r="A62" s="64">
        <v>62</v>
      </c>
      <c r="B62" s="63" t="s">
        <v>603</v>
      </c>
    </row>
    <row r="63" spans="1:2">
      <c r="A63" s="64">
        <v>63</v>
      </c>
      <c r="B63" s="63" t="s">
        <v>604</v>
      </c>
    </row>
    <row r="64" spans="1:2">
      <c r="A64" s="65"/>
    </row>
    <row r="65" spans="1:1">
      <c r="A65" s="65"/>
    </row>
    <row r="66" spans="1:1">
      <c r="A66" s="65"/>
    </row>
    <row r="67" spans="1:1">
      <c r="A67" s="65"/>
    </row>
    <row r="68" spans="1:1">
      <c r="A68" s="65"/>
    </row>
    <row r="69" spans="1:1">
      <c r="A69" s="65"/>
    </row>
    <row r="70" spans="1:1">
      <c r="A70" s="65"/>
    </row>
    <row r="71" spans="1:1">
      <c r="A71" s="65"/>
    </row>
    <row r="72" spans="1:1">
      <c r="A72" s="65"/>
    </row>
    <row r="73" spans="1:1">
      <c r="A73" s="65"/>
    </row>
    <row r="74" spans="1:1">
      <c r="A74" s="65"/>
    </row>
    <row r="75" spans="1:1">
      <c r="A75" s="65"/>
    </row>
    <row r="76" spans="1:1">
      <c r="A76" s="65"/>
    </row>
    <row r="77" spans="1:1">
      <c r="A77" s="65"/>
    </row>
    <row r="78" spans="1:1">
      <c r="A78" s="65"/>
    </row>
    <row r="79" spans="1:1">
      <c r="A79" s="65"/>
    </row>
    <row r="80" spans="1:1">
      <c r="A80" s="65"/>
    </row>
    <row r="81" spans="1:1">
      <c r="A81" s="65"/>
    </row>
    <row r="82" spans="1:1">
      <c r="A82" s="65"/>
    </row>
    <row r="83" spans="1:1">
      <c r="A83" s="65"/>
    </row>
    <row r="84" spans="1:1">
      <c r="A84" s="65"/>
    </row>
    <row r="85" spans="1:1">
      <c r="A85" s="65"/>
    </row>
    <row r="86" spans="1:1">
      <c r="A86" s="65"/>
    </row>
    <row r="87" spans="1:1">
      <c r="A87" s="65"/>
    </row>
    <row r="88" spans="1:1">
      <c r="A88" s="6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H58"/>
  <sheetViews>
    <sheetView topLeftCell="C1" zoomScaleNormal="100" workbookViewId="0">
      <selection activeCell="D11" sqref="D11"/>
    </sheetView>
  </sheetViews>
  <sheetFormatPr defaultColWidth="5.81640625" defaultRowHeight="15"/>
  <cols>
    <col min="1" max="1" width="5.81640625" style="63"/>
    <col min="2" max="2" width="121" style="63" customWidth="1"/>
    <col min="3" max="3" width="36" style="63" customWidth="1"/>
    <col min="4" max="4" width="45.1796875" style="63" customWidth="1"/>
    <col min="5" max="16384" width="5.81640625" style="63"/>
  </cols>
  <sheetData>
    <row r="1" spans="1:6">
      <c r="A1" s="63">
        <v>1</v>
      </c>
      <c r="B1" s="63" t="s">
        <v>605</v>
      </c>
      <c r="C1" s="63">
        <v>2</v>
      </c>
      <c r="D1" s="63" t="s">
        <v>606</v>
      </c>
      <c r="E1" s="63">
        <v>3</v>
      </c>
      <c r="F1" s="63" t="s">
        <v>607</v>
      </c>
    </row>
    <row r="2" spans="1:6">
      <c r="A2" s="63">
        <v>4</v>
      </c>
      <c r="B2" s="63" t="s">
        <v>608</v>
      </c>
      <c r="C2" s="63">
        <v>5</v>
      </c>
      <c r="D2" s="63" t="s">
        <v>609</v>
      </c>
    </row>
    <row r="3" spans="1:6">
      <c r="A3" s="63">
        <v>6</v>
      </c>
      <c r="B3" s="63" t="s">
        <v>610</v>
      </c>
    </row>
    <row r="4" spans="1:6">
      <c r="A4" s="63">
        <v>9</v>
      </c>
      <c r="B4" s="63" t="s">
        <v>611</v>
      </c>
    </row>
    <row r="5" spans="1:6">
      <c r="A5" s="63">
        <v>10</v>
      </c>
      <c r="B5" s="63" t="s">
        <v>612</v>
      </c>
    </row>
    <row r="6" spans="1:6">
      <c r="A6" s="63">
        <v>11</v>
      </c>
      <c r="B6" s="63" t="s">
        <v>613</v>
      </c>
      <c r="C6" s="63">
        <v>12</v>
      </c>
      <c r="D6" s="63" t="s">
        <v>614</v>
      </c>
      <c r="E6" s="63">
        <v>13</v>
      </c>
      <c r="F6" s="63" t="s">
        <v>615</v>
      </c>
    </row>
    <row r="7" spans="1:6">
      <c r="A7" s="63">
        <v>14</v>
      </c>
      <c r="B7" s="63" t="s">
        <v>616</v>
      </c>
    </row>
    <row r="8" spans="1:6">
      <c r="A8" s="63">
        <v>15</v>
      </c>
      <c r="B8" s="63" t="s">
        <v>617</v>
      </c>
      <c r="C8" s="63">
        <v>16</v>
      </c>
      <c r="D8" s="63" t="s">
        <v>618</v>
      </c>
    </row>
    <row r="9" spans="1:6">
      <c r="A9" s="63">
        <v>17</v>
      </c>
      <c r="B9" s="63" t="s">
        <v>619</v>
      </c>
      <c r="C9" s="63">
        <v>18</v>
      </c>
      <c r="D9" s="63" t="s">
        <v>620</v>
      </c>
    </row>
    <row r="10" spans="1:6">
      <c r="A10" s="63">
        <v>19</v>
      </c>
      <c r="B10" s="63" t="s">
        <v>621</v>
      </c>
    </row>
    <row r="11" spans="1:6">
      <c r="A11" s="63">
        <v>20</v>
      </c>
      <c r="B11" s="63" t="s">
        <v>622</v>
      </c>
      <c r="C11" s="63">
        <v>21</v>
      </c>
      <c r="D11" s="63" t="s">
        <v>623</v>
      </c>
      <c r="E11" s="63">
        <v>22</v>
      </c>
      <c r="F11" s="63" t="s">
        <v>624</v>
      </c>
    </row>
    <row r="12" spans="1:6">
      <c r="A12" s="63">
        <v>23</v>
      </c>
      <c r="B12" s="63" t="s">
        <v>625</v>
      </c>
      <c r="C12" s="63">
        <v>24</v>
      </c>
      <c r="D12" s="63" t="s">
        <v>626</v>
      </c>
      <c r="E12" s="63">
        <v>25</v>
      </c>
      <c r="F12" s="63" t="s">
        <v>627</v>
      </c>
    </row>
    <row r="13" spans="1:6">
      <c r="A13" s="63">
        <v>26</v>
      </c>
      <c r="B13" s="63" t="s">
        <v>628</v>
      </c>
    </row>
    <row r="14" spans="1:6">
      <c r="A14" s="63">
        <v>27</v>
      </c>
      <c r="B14" s="63" t="s">
        <v>629</v>
      </c>
      <c r="C14" s="63">
        <v>28</v>
      </c>
      <c r="D14" s="63" t="s">
        <v>630</v>
      </c>
      <c r="E14" s="63">
        <v>29</v>
      </c>
      <c r="F14" s="63" t="s">
        <v>631</v>
      </c>
    </row>
    <row r="15" spans="1:6">
      <c r="A15" s="63">
        <v>30</v>
      </c>
      <c r="B15" s="63" t="s">
        <v>632</v>
      </c>
    </row>
    <row r="16" spans="1:6">
      <c r="A16" s="63">
        <v>31</v>
      </c>
      <c r="B16" s="63" t="s">
        <v>633</v>
      </c>
      <c r="C16" s="63">
        <v>32</v>
      </c>
      <c r="D16" s="63" t="s">
        <v>634</v>
      </c>
    </row>
    <row r="17" spans="1:8">
      <c r="A17" s="63">
        <v>33</v>
      </c>
      <c r="B17" s="63" t="s">
        <v>635</v>
      </c>
      <c r="C17" s="63">
        <v>34</v>
      </c>
      <c r="D17" s="63" t="s">
        <v>636</v>
      </c>
      <c r="E17" s="63">
        <v>35</v>
      </c>
      <c r="F17" s="63" t="s">
        <v>637</v>
      </c>
    </row>
    <row r="18" spans="1:8">
      <c r="A18" s="63">
        <v>36</v>
      </c>
      <c r="B18" s="63" t="s">
        <v>638</v>
      </c>
    </row>
    <row r="19" spans="1:8">
      <c r="A19" s="63">
        <v>37</v>
      </c>
      <c r="B19" s="63" t="s">
        <v>639</v>
      </c>
      <c r="C19" s="63">
        <v>38</v>
      </c>
      <c r="D19" s="63" t="s">
        <v>640</v>
      </c>
      <c r="E19" s="63">
        <v>39</v>
      </c>
      <c r="F19" s="63" t="s">
        <v>641</v>
      </c>
    </row>
    <row r="20" spans="1:8">
      <c r="A20" s="63">
        <v>40</v>
      </c>
      <c r="B20" s="63" t="s">
        <v>642</v>
      </c>
      <c r="C20" s="63">
        <v>41</v>
      </c>
      <c r="D20" s="63" t="s">
        <v>643</v>
      </c>
      <c r="E20" s="63">
        <v>42</v>
      </c>
      <c r="F20" s="63" t="s">
        <v>644</v>
      </c>
    </row>
    <row r="21" spans="1:8">
      <c r="A21" s="63">
        <v>43</v>
      </c>
      <c r="B21" s="63" t="s">
        <v>645</v>
      </c>
      <c r="C21" s="63">
        <v>44</v>
      </c>
      <c r="D21" s="63" t="s">
        <v>646</v>
      </c>
      <c r="E21" s="63">
        <v>45</v>
      </c>
      <c r="F21" s="63" t="s">
        <v>647</v>
      </c>
    </row>
    <row r="22" spans="1:8">
      <c r="A22" s="63">
        <v>46</v>
      </c>
      <c r="B22" s="63" t="s">
        <v>648</v>
      </c>
      <c r="C22" s="63">
        <v>47</v>
      </c>
      <c r="D22" s="63" t="s">
        <v>649</v>
      </c>
      <c r="E22" s="63">
        <v>48</v>
      </c>
      <c r="F22" s="63" t="s">
        <v>650</v>
      </c>
    </row>
    <row r="23" spans="1:8">
      <c r="A23" s="63">
        <v>128</v>
      </c>
      <c r="B23" s="63" t="s">
        <v>651</v>
      </c>
      <c r="C23" s="63">
        <v>49</v>
      </c>
      <c r="D23" s="63" t="s">
        <v>652</v>
      </c>
      <c r="E23" s="63">
        <v>50</v>
      </c>
      <c r="F23" s="63" t="s">
        <v>653</v>
      </c>
      <c r="G23" s="63">
        <v>51</v>
      </c>
      <c r="H23" s="63" t="s">
        <v>654</v>
      </c>
    </row>
    <row r="24" spans="1:8">
      <c r="A24" s="63">
        <v>52</v>
      </c>
      <c r="B24" s="63" t="s">
        <v>655</v>
      </c>
      <c r="C24" s="63">
        <v>53</v>
      </c>
      <c r="D24" s="63" t="s">
        <v>656</v>
      </c>
      <c r="E24" s="63">
        <v>54</v>
      </c>
      <c r="F24" s="63" t="s">
        <v>657</v>
      </c>
    </row>
    <row r="25" spans="1:8">
      <c r="A25" s="63">
        <v>55</v>
      </c>
      <c r="B25" s="63" t="s">
        <v>658</v>
      </c>
    </row>
    <row r="26" spans="1:8">
      <c r="A26" s="63">
        <v>56</v>
      </c>
      <c r="B26" s="63" t="s">
        <v>643</v>
      </c>
      <c r="C26" s="63">
        <v>57</v>
      </c>
      <c r="D26" s="63" t="s">
        <v>659</v>
      </c>
    </row>
    <row r="27" spans="1:8">
      <c r="A27" s="63">
        <v>58</v>
      </c>
      <c r="B27" s="63" t="s">
        <v>660</v>
      </c>
    </row>
    <row r="28" spans="1:8">
      <c r="A28" s="63">
        <v>59</v>
      </c>
      <c r="B28" s="63" t="s">
        <v>661</v>
      </c>
    </row>
    <row r="29" spans="1:8">
      <c r="A29" s="63">
        <v>60</v>
      </c>
      <c r="B29" s="63" t="s">
        <v>662</v>
      </c>
    </row>
    <row r="30" spans="1:8">
      <c r="A30" s="63">
        <v>61</v>
      </c>
      <c r="B30" s="63" t="s">
        <v>663</v>
      </c>
      <c r="C30" s="63">
        <v>62</v>
      </c>
      <c r="D30" s="63" t="s">
        <v>664</v>
      </c>
    </row>
    <row r="31" spans="1:8">
      <c r="A31" s="63">
        <v>63</v>
      </c>
      <c r="B31" s="63" t="s">
        <v>665</v>
      </c>
      <c r="C31" s="63">
        <v>129</v>
      </c>
      <c r="D31" s="63" t="s">
        <v>666</v>
      </c>
      <c r="E31" s="63">
        <v>130</v>
      </c>
      <c r="F31" s="63" t="s">
        <v>667</v>
      </c>
    </row>
    <row r="32" spans="1:8">
      <c r="A32" s="63">
        <v>64</v>
      </c>
      <c r="B32" s="63" t="s">
        <v>668</v>
      </c>
      <c r="C32" s="63">
        <v>65</v>
      </c>
      <c r="D32" s="63" t="s">
        <v>669</v>
      </c>
    </row>
    <row r="33" spans="1:6">
      <c r="A33" s="63">
        <v>66</v>
      </c>
      <c r="B33" s="63" t="s">
        <v>670</v>
      </c>
      <c r="C33" s="63">
        <v>67</v>
      </c>
      <c r="D33" s="63" t="s">
        <v>671</v>
      </c>
      <c r="E33" s="63">
        <v>68</v>
      </c>
      <c r="F33" s="63" t="s">
        <v>672</v>
      </c>
    </row>
    <row r="34" spans="1:6">
      <c r="A34" s="63">
        <v>69</v>
      </c>
      <c r="B34" s="63" t="s">
        <v>673</v>
      </c>
      <c r="C34" s="63">
        <v>70</v>
      </c>
      <c r="D34" s="63" t="s">
        <v>674</v>
      </c>
    </row>
    <row r="35" spans="1:6">
      <c r="A35" s="63">
        <v>71</v>
      </c>
      <c r="B35" s="63" t="s">
        <v>675</v>
      </c>
      <c r="C35" s="63">
        <v>72</v>
      </c>
      <c r="D35" s="63" t="s">
        <v>676</v>
      </c>
      <c r="E35" s="63">
        <v>73</v>
      </c>
      <c r="F35" s="63" t="s">
        <v>677</v>
      </c>
    </row>
    <row r="36" spans="1:6">
      <c r="A36" s="63">
        <v>74</v>
      </c>
      <c r="B36" s="63" t="s">
        <v>678</v>
      </c>
      <c r="C36" s="63">
        <v>75</v>
      </c>
      <c r="D36" s="63" t="s">
        <v>679</v>
      </c>
      <c r="E36" s="63">
        <v>76</v>
      </c>
      <c r="F36" s="63" t="s">
        <v>680</v>
      </c>
    </row>
    <row r="37" spans="1:6">
      <c r="A37" s="63">
        <v>77</v>
      </c>
      <c r="B37" s="63" t="s">
        <v>681</v>
      </c>
      <c r="C37" s="63">
        <v>78</v>
      </c>
      <c r="D37" s="63" t="s">
        <v>682</v>
      </c>
      <c r="E37" s="63">
        <v>79</v>
      </c>
      <c r="F37" s="63" t="s">
        <v>683</v>
      </c>
    </row>
    <row r="38" spans="1:6">
      <c r="A38" s="63">
        <v>80</v>
      </c>
      <c r="B38" s="63" t="s">
        <v>684</v>
      </c>
      <c r="C38" s="63">
        <v>81</v>
      </c>
      <c r="D38" s="63" t="s">
        <v>678</v>
      </c>
      <c r="E38" s="63">
        <v>82</v>
      </c>
      <c r="F38" s="63" t="s">
        <v>685</v>
      </c>
    </row>
    <row r="39" spans="1:6">
      <c r="A39" s="63">
        <v>83</v>
      </c>
      <c r="B39" s="63" t="s">
        <v>686</v>
      </c>
      <c r="C39" s="63">
        <v>84</v>
      </c>
      <c r="D39" s="63" t="s">
        <v>687</v>
      </c>
      <c r="E39" s="63">
        <v>85</v>
      </c>
      <c r="F39" s="63" t="s">
        <v>688</v>
      </c>
    </row>
    <row r="40" spans="1:6">
      <c r="A40" s="63">
        <v>86</v>
      </c>
      <c r="B40" s="63" t="s">
        <v>689</v>
      </c>
      <c r="C40" s="63">
        <v>87</v>
      </c>
      <c r="D40" s="63" t="s">
        <v>690</v>
      </c>
      <c r="E40" s="63">
        <v>88</v>
      </c>
      <c r="F40" s="63" t="s">
        <v>691</v>
      </c>
    </row>
    <row r="41" spans="1:6">
      <c r="A41" s="63">
        <v>89</v>
      </c>
      <c r="B41" s="63" t="s">
        <v>692</v>
      </c>
    </row>
    <row r="42" spans="1:6">
      <c r="A42" s="63">
        <v>90</v>
      </c>
      <c r="B42" s="63" t="s">
        <v>693</v>
      </c>
      <c r="C42" s="63">
        <v>91</v>
      </c>
      <c r="D42" s="63" t="s">
        <v>694</v>
      </c>
    </row>
    <row r="43" spans="1:6">
      <c r="A43" s="63">
        <v>92</v>
      </c>
      <c r="B43" s="63" t="s">
        <v>695</v>
      </c>
      <c r="C43" s="63">
        <v>93</v>
      </c>
      <c r="D43" s="63" t="s">
        <v>696</v>
      </c>
    </row>
    <row r="44" spans="1:6">
      <c r="A44" s="63">
        <v>94</v>
      </c>
      <c r="B44" s="63" t="s">
        <v>697</v>
      </c>
      <c r="C44" s="63">
        <v>95</v>
      </c>
      <c r="D44" s="63" t="s">
        <v>698</v>
      </c>
      <c r="E44" s="63">
        <v>96</v>
      </c>
      <c r="F44" s="63" t="s">
        <v>699</v>
      </c>
    </row>
    <row r="45" spans="1:6">
      <c r="A45" s="63">
        <v>97</v>
      </c>
      <c r="B45" s="63" t="s">
        <v>700</v>
      </c>
      <c r="C45" s="63">
        <v>98</v>
      </c>
      <c r="D45" s="63" t="s">
        <v>701</v>
      </c>
      <c r="E45" s="63">
        <v>99</v>
      </c>
      <c r="F45" s="63" t="s">
        <v>702</v>
      </c>
    </row>
    <row r="46" spans="1:6">
      <c r="A46" s="63">
        <v>100</v>
      </c>
      <c r="B46" s="63" t="s">
        <v>703</v>
      </c>
    </row>
    <row r="47" spans="1:6">
      <c r="A47" s="63">
        <v>101</v>
      </c>
      <c r="B47" s="63" t="s">
        <v>704</v>
      </c>
      <c r="C47" s="63">
        <v>102</v>
      </c>
      <c r="D47" s="63" t="s">
        <v>705</v>
      </c>
    </row>
    <row r="48" spans="1:6">
      <c r="A48" s="63">
        <v>103</v>
      </c>
      <c r="B48" s="63" t="s">
        <v>706</v>
      </c>
      <c r="C48" s="63">
        <v>104</v>
      </c>
      <c r="D48" s="63" t="s">
        <v>641</v>
      </c>
      <c r="E48" s="63">
        <v>105</v>
      </c>
      <c r="F48" s="63" t="s">
        <v>707</v>
      </c>
    </row>
    <row r="49" spans="1:6">
      <c r="A49" s="63">
        <v>106</v>
      </c>
      <c r="B49" s="63" t="s">
        <v>708</v>
      </c>
      <c r="C49" s="63">
        <v>107</v>
      </c>
      <c r="D49" s="63" t="s">
        <v>709</v>
      </c>
    </row>
    <row r="50" spans="1:6">
      <c r="A50" s="63">
        <v>108</v>
      </c>
      <c r="B50" s="63" t="s">
        <v>710</v>
      </c>
    </row>
    <row r="51" spans="1:6">
      <c r="A51" s="63">
        <v>109</v>
      </c>
      <c r="B51" s="63" t="s">
        <v>711</v>
      </c>
      <c r="C51" s="63">
        <v>110</v>
      </c>
      <c r="D51" s="63" t="s">
        <v>712</v>
      </c>
    </row>
    <row r="54" spans="1:6">
      <c r="A54" s="63">
        <v>117</v>
      </c>
      <c r="B54" s="63" t="s">
        <v>713</v>
      </c>
      <c r="C54" s="63">
        <v>118</v>
      </c>
      <c r="D54" s="63" t="s">
        <v>714</v>
      </c>
    </row>
    <row r="55" spans="1:6">
      <c r="A55" s="63">
        <v>119</v>
      </c>
      <c r="B55" s="63" t="s">
        <v>715</v>
      </c>
      <c r="C55" s="63">
        <v>120</v>
      </c>
      <c r="D55" s="63" t="s">
        <v>716</v>
      </c>
    </row>
    <row r="57" spans="1:6">
      <c r="A57" s="63">
        <v>124</v>
      </c>
      <c r="B57" s="63" t="s">
        <v>717</v>
      </c>
      <c r="C57" s="63">
        <v>125</v>
      </c>
      <c r="D57" s="63" t="s">
        <v>718</v>
      </c>
      <c r="E57" s="63">
        <v>126</v>
      </c>
      <c r="F57" s="63" t="s">
        <v>719</v>
      </c>
    </row>
    <row r="58" spans="1:6">
      <c r="A58" s="63">
        <v>127</v>
      </c>
      <c r="B58" s="63" t="s">
        <v>720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B3"/>
  <sheetViews>
    <sheetView topLeftCell="A7" workbookViewId="0">
      <selection activeCell="B3" sqref="B3"/>
    </sheetView>
  </sheetViews>
  <sheetFormatPr defaultColWidth="8.81640625" defaultRowHeight="15"/>
  <cols>
    <col min="1" max="1" width="27.1796875" style="63" customWidth="1"/>
    <col min="2" max="2" width="99.1796875" style="63" customWidth="1"/>
    <col min="3" max="16384" width="8.81640625" style="63"/>
  </cols>
  <sheetData>
    <row r="1" spans="1:2">
      <c r="A1" s="66" t="s">
        <v>721</v>
      </c>
      <c r="B1" s="66" t="s">
        <v>722</v>
      </c>
    </row>
    <row r="2" spans="1:2">
      <c r="A2" s="63" t="s">
        <v>966</v>
      </c>
      <c r="B2" s="62" t="s">
        <v>974</v>
      </c>
    </row>
    <row r="3" spans="1:2">
      <c r="A3" s="63" t="s">
        <v>966</v>
      </c>
      <c r="B3" s="62" t="s">
        <v>968</v>
      </c>
    </row>
  </sheetData>
  <hyperlinks>
    <hyperlink ref="B2" r:id="rId1" xr:uid="{00000000-0004-0000-0500-000000000000}"/>
    <hyperlink ref="B3" r:id="rId2" xr:uid="{00000000-0004-0000-0500-000001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48"/>
  <sheetViews>
    <sheetView workbookViewId="0">
      <selection activeCell="B10" sqref="B10"/>
    </sheetView>
  </sheetViews>
  <sheetFormatPr defaultColWidth="12.7265625" defaultRowHeight="15.5"/>
  <cols>
    <col min="1" max="1" width="39.7265625" style="96" bestFit="1" customWidth="1"/>
    <col min="2" max="2" width="89.26953125" style="96" customWidth="1"/>
    <col min="3" max="16384" width="12.7265625" style="96"/>
  </cols>
  <sheetData>
    <row r="1" spans="1:2" ht="16" thickBot="1">
      <c r="A1" s="95" t="s">
        <v>914</v>
      </c>
      <c r="B1" s="95" t="s">
        <v>915</v>
      </c>
    </row>
    <row r="2" spans="1:2" ht="31">
      <c r="A2" s="97" t="s">
        <v>2</v>
      </c>
      <c r="B2" s="98" t="s">
        <v>916</v>
      </c>
    </row>
    <row r="3" spans="1:2" ht="31">
      <c r="A3" s="99" t="s">
        <v>469</v>
      </c>
      <c r="B3" s="100" t="s">
        <v>917</v>
      </c>
    </row>
    <row r="4" spans="1:2">
      <c r="A4" s="99" t="s">
        <v>65</v>
      </c>
      <c r="B4" s="100" t="s">
        <v>918</v>
      </c>
    </row>
    <row r="5" spans="1:2" ht="62">
      <c r="A5" s="99" t="s">
        <v>31</v>
      </c>
      <c r="B5" s="100" t="s">
        <v>919</v>
      </c>
    </row>
    <row r="6" spans="1:2" ht="31">
      <c r="A6" s="99" t="s">
        <v>33</v>
      </c>
      <c r="B6" s="100" t="s">
        <v>920</v>
      </c>
    </row>
    <row r="7" spans="1:2">
      <c r="A7" s="99" t="s">
        <v>3</v>
      </c>
      <c r="B7" s="100" t="s">
        <v>921</v>
      </c>
    </row>
    <row r="8" spans="1:2">
      <c r="A8" s="99" t="s">
        <v>908</v>
      </c>
      <c r="B8" s="100" t="s">
        <v>922</v>
      </c>
    </row>
    <row r="9" spans="1:2" ht="46.5">
      <c r="A9" s="99" t="s">
        <v>140</v>
      </c>
      <c r="B9" s="100" t="s">
        <v>923</v>
      </c>
    </row>
    <row r="10" spans="1:2" ht="31">
      <c r="A10" s="99" t="s">
        <v>37</v>
      </c>
      <c r="B10" s="100" t="s">
        <v>924</v>
      </c>
    </row>
    <row r="11" spans="1:2" ht="31">
      <c r="A11" s="99" t="s">
        <v>39</v>
      </c>
      <c r="B11" s="100" t="s">
        <v>925</v>
      </c>
    </row>
    <row r="12" spans="1:2" ht="62">
      <c r="A12" s="99" t="s">
        <v>41</v>
      </c>
      <c r="B12" s="100" t="s">
        <v>926</v>
      </c>
    </row>
    <row r="13" spans="1:2" ht="46.5">
      <c r="A13" s="99" t="s">
        <v>69</v>
      </c>
      <c r="B13" s="100" t="s">
        <v>927</v>
      </c>
    </row>
    <row r="14" spans="1:2" ht="62">
      <c r="A14" s="99" t="s">
        <v>71</v>
      </c>
      <c r="B14" s="100" t="s">
        <v>928</v>
      </c>
    </row>
    <row r="15" spans="1:2" ht="46.5">
      <c r="A15" s="99" t="s">
        <v>73</v>
      </c>
      <c r="B15" s="101" t="s">
        <v>929</v>
      </c>
    </row>
    <row r="16" spans="1:2" ht="31">
      <c r="A16" s="99" t="s">
        <v>930</v>
      </c>
      <c r="B16" s="100" t="s">
        <v>931</v>
      </c>
    </row>
    <row r="17" spans="1:2" ht="62">
      <c r="A17" s="99" t="s">
        <v>43</v>
      </c>
      <c r="B17" s="100" t="s">
        <v>932</v>
      </c>
    </row>
    <row r="18" spans="1:2">
      <c r="A18" s="99" t="s">
        <v>75</v>
      </c>
      <c r="B18" s="100" t="s">
        <v>933</v>
      </c>
    </row>
    <row r="19" spans="1:2" ht="31">
      <c r="A19" s="99" t="s">
        <v>259</v>
      </c>
      <c r="B19" s="100" t="s">
        <v>934</v>
      </c>
    </row>
    <row r="20" spans="1:2" ht="46.5">
      <c r="A20" s="99" t="s">
        <v>4</v>
      </c>
      <c r="B20" s="100" t="s">
        <v>935</v>
      </c>
    </row>
    <row r="21" spans="1:2" ht="31">
      <c r="A21" s="102" t="s">
        <v>936</v>
      </c>
      <c r="B21" s="100" t="s">
        <v>937</v>
      </c>
    </row>
    <row r="22" spans="1:2" ht="77.5">
      <c r="A22" s="99" t="s">
        <v>85</v>
      </c>
      <c r="B22" s="100" t="s">
        <v>938</v>
      </c>
    </row>
    <row r="23" spans="1:2" ht="62">
      <c r="A23" s="102" t="s">
        <v>87</v>
      </c>
      <c r="B23" s="100" t="s">
        <v>939</v>
      </c>
    </row>
    <row r="24" spans="1:2" ht="62">
      <c r="A24" s="102" t="s">
        <v>89</v>
      </c>
      <c r="B24" s="100" t="s">
        <v>940</v>
      </c>
    </row>
    <row r="25" spans="1:2" ht="46.5">
      <c r="A25" s="99" t="s">
        <v>49</v>
      </c>
      <c r="B25" s="100" t="s">
        <v>941</v>
      </c>
    </row>
    <row r="26" spans="1:2">
      <c r="A26" s="99" t="s">
        <v>51</v>
      </c>
      <c r="B26" s="100" t="s">
        <v>942</v>
      </c>
    </row>
    <row r="27" spans="1:2" ht="31">
      <c r="A27" s="99" t="s">
        <v>107</v>
      </c>
      <c r="B27" s="100" t="s">
        <v>943</v>
      </c>
    </row>
    <row r="28" spans="1:2" ht="80.25" customHeight="1">
      <c r="A28" s="99" t="s">
        <v>53</v>
      </c>
      <c r="B28" s="101" t="s">
        <v>944</v>
      </c>
    </row>
    <row r="29" spans="1:2" ht="46.5">
      <c r="A29" s="99" t="s">
        <v>325</v>
      </c>
      <c r="B29" s="100" t="s">
        <v>945</v>
      </c>
    </row>
    <row r="30" spans="1:2" ht="46.5">
      <c r="A30" s="99" t="s">
        <v>93</v>
      </c>
      <c r="B30" s="100" t="s">
        <v>946</v>
      </c>
    </row>
    <row r="31" spans="1:2" ht="46.5">
      <c r="A31" s="99" t="s">
        <v>95</v>
      </c>
      <c r="B31" s="100" t="s">
        <v>947</v>
      </c>
    </row>
    <row r="32" spans="1:2" ht="46.5">
      <c r="A32" s="99" t="s">
        <v>97</v>
      </c>
      <c r="B32" s="100" t="s">
        <v>948</v>
      </c>
    </row>
    <row r="33" spans="1:2" ht="31">
      <c r="A33" s="99" t="s">
        <v>99</v>
      </c>
      <c r="B33" s="100" t="s">
        <v>949</v>
      </c>
    </row>
    <row r="34" spans="1:2" ht="46.5">
      <c r="A34" s="99" t="s">
        <v>101</v>
      </c>
      <c r="B34" s="100" t="s">
        <v>950</v>
      </c>
    </row>
    <row r="35" spans="1:2" ht="46.5">
      <c r="A35" s="99" t="s">
        <v>103</v>
      </c>
      <c r="B35" s="100" t="s">
        <v>951</v>
      </c>
    </row>
    <row r="36" spans="1:2" ht="62">
      <c r="A36" s="99" t="s">
        <v>105</v>
      </c>
      <c r="B36" s="100" t="s">
        <v>952</v>
      </c>
    </row>
    <row r="37" spans="1:2" ht="46.5">
      <c r="A37" s="99" t="s">
        <v>294</v>
      </c>
      <c r="B37" s="100" t="s">
        <v>953</v>
      </c>
    </row>
    <row r="38" spans="1:2" ht="31">
      <c r="A38" s="99" t="s">
        <v>5</v>
      </c>
      <c r="B38" s="100" t="s">
        <v>954</v>
      </c>
    </row>
    <row r="39" spans="1:2" ht="31">
      <c r="A39" s="99" t="s">
        <v>160</v>
      </c>
      <c r="B39" s="100" t="s">
        <v>955</v>
      </c>
    </row>
    <row r="40" spans="1:2" ht="31">
      <c r="A40" s="99" t="s">
        <v>6</v>
      </c>
      <c r="B40" s="100" t="s">
        <v>956</v>
      </c>
    </row>
    <row r="41" spans="1:2" ht="31">
      <c r="A41" s="102" t="s">
        <v>77</v>
      </c>
      <c r="B41" s="100" t="s">
        <v>957</v>
      </c>
    </row>
    <row r="42" spans="1:2">
      <c r="A42" s="102" t="s">
        <v>7</v>
      </c>
      <c r="B42" s="100" t="s">
        <v>958</v>
      </c>
    </row>
    <row r="43" spans="1:2" ht="31">
      <c r="A43" s="99" t="s">
        <v>57</v>
      </c>
      <c r="B43" s="100" t="s">
        <v>959</v>
      </c>
    </row>
    <row r="44" spans="1:2" ht="46.5">
      <c r="A44" s="99" t="s">
        <v>109</v>
      </c>
      <c r="B44" s="100" t="s">
        <v>960</v>
      </c>
    </row>
    <row r="45" spans="1:2">
      <c r="A45" s="99" t="s">
        <v>59</v>
      </c>
      <c r="B45" s="100" t="s">
        <v>961</v>
      </c>
    </row>
    <row r="46" spans="1:2" ht="31">
      <c r="A46" s="99" t="s">
        <v>8</v>
      </c>
      <c r="B46" s="100" t="s">
        <v>962</v>
      </c>
    </row>
    <row r="47" spans="1:2">
      <c r="A47" s="99" t="s">
        <v>111</v>
      </c>
      <c r="B47" s="100" t="s">
        <v>963</v>
      </c>
    </row>
    <row r="48" spans="1:2" ht="47" thickBot="1">
      <c r="A48" s="103" t="s">
        <v>61</v>
      </c>
      <c r="B48" s="104" t="s">
        <v>964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24"/>
  <sheetViews>
    <sheetView zoomScaleNormal="100" workbookViewId="0">
      <selection activeCell="B1" sqref="B1"/>
    </sheetView>
  </sheetViews>
  <sheetFormatPr defaultColWidth="12.7265625" defaultRowHeight="14.5"/>
  <cols>
    <col min="1" max="1" width="14.81640625" style="72" customWidth="1"/>
    <col min="2" max="2" width="25.1796875" style="72" customWidth="1"/>
    <col min="3" max="3" width="95.26953125" style="71" customWidth="1"/>
    <col min="4" max="16384" width="12.7265625" style="70"/>
  </cols>
  <sheetData>
    <row r="1" spans="1:3">
      <c r="A1" s="72" t="s">
        <v>821</v>
      </c>
      <c r="B1" s="93" t="s">
        <v>1015</v>
      </c>
    </row>
    <row r="2" spans="1:3" ht="30" customHeight="1">
      <c r="A2" s="79" t="s">
        <v>820</v>
      </c>
      <c r="B2" s="79" t="s">
        <v>819</v>
      </c>
      <c r="C2" s="78" t="s">
        <v>818</v>
      </c>
    </row>
    <row r="3" spans="1:3">
      <c r="A3" s="77">
        <v>1</v>
      </c>
      <c r="B3" s="74">
        <v>42531</v>
      </c>
      <c r="C3" s="73" t="s">
        <v>817</v>
      </c>
    </row>
    <row r="4" spans="1:3" ht="43.5">
      <c r="A4" s="75">
        <v>1.1000000000000001</v>
      </c>
      <c r="B4" s="74">
        <v>42625</v>
      </c>
      <c r="C4" s="73" t="s">
        <v>816</v>
      </c>
    </row>
    <row r="5" spans="1:3">
      <c r="A5" s="75">
        <v>1.2</v>
      </c>
      <c r="B5" s="74">
        <v>42655</v>
      </c>
      <c r="C5" s="73" t="s">
        <v>815</v>
      </c>
    </row>
    <row r="6" spans="1:3">
      <c r="A6" s="75">
        <v>1.3</v>
      </c>
      <c r="B6" s="74">
        <v>42689</v>
      </c>
      <c r="C6" s="73" t="s">
        <v>814</v>
      </c>
    </row>
    <row r="7" spans="1:3">
      <c r="A7" s="75">
        <v>1.4</v>
      </c>
      <c r="B7" s="74">
        <v>42719</v>
      </c>
      <c r="C7" s="73" t="s">
        <v>813</v>
      </c>
    </row>
    <row r="8" spans="1:3">
      <c r="A8" s="75">
        <v>1.5</v>
      </c>
      <c r="B8" s="74">
        <v>42774</v>
      </c>
      <c r="C8" s="73" t="s">
        <v>812</v>
      </c>
    </row>
    <row r="9" spans="1:3">
      <c r="A9" s="75">
        <v>1.6</v>
      </c>
      <c r="B9" s="74">
        <v>42780</v>
      </c>
      <c r="C9" s="73" t="s">
        <v>811</v>
      </c>
    </row>
    <row r="10" spans="1:3">
      <c r="A10" s="75">
        <v>1.7</v>
      </c>
      <c r="B10" s="74">
        <v>42788</v>
      </c>
      <c r="C10" s="73" t="s">
        <v>810</v>
      </c>
    </row>
    <row r="11" spans="1:3">
      <c r="A11" s="75">
        <v>1.8</v>
      </c>
      <c r="B11" s="74">
        <v>42801</v>
      </c>
      <c r="C11" s="76" t="s">
        <v>809</v>
      </c>
    </row>
    <row r="12" spans="1:3">
      <c r="A12" s="75">
        <v>1.9</v>
      </c>
      <c r="B12" s="74">
        <v>42828</v>
      </c>
      <c r="C12" s="73" t="s">
        <v>808</v>
      </c>
    </row>
    <row r="13" spans="1:3">
      <c r="A13" s="75">
        <v>2</v>
      </c>
      <c r="B13" s="74">
        <v>42857</v>
      </c>
      <c r="C13" s="73" t="s">
        <v>807</v>
      </c>
    </row>
    <row r="14" spans="1:3">
      <c r="A14" s="75">
        <v>2.1</v>
      </c>
      <c r="B14" s="74">
        <v>42871</v>
      </c>
      <c r="C14" s="73" t="s">
        <v>806</v>
      </c>
    </row>
    <row r="15" spans="1:3">
      <c r="A15" s="75">
        <v>2.2000000000000002</v>
      </c>
      <c r="B15" s="74">
        <v>42880</v>
      </c>
      <c r="C15" s="73" t="s">
        <v>805</v>
      </c>
    </row>
    <row r="16" spans="1:3">
      <c r="A16" s="75">
        <v>2.2999999999999998</v>
      </c>
      <c r="B16" s="74">
        <v>42906</v>
      </c>
      <c r="C16" s="73" t="s">
        <v>804</v>
      </c>
    </row>
    <row r="17" spans="1:3" ht="29">
      <c r="A17" s="75">
        <v>2.4</v>
      </c>
      <c r="B17" s="74">
        <v>42927</v>
      </c>
      <c r="C17" s="73" t="s">
        <v>803</v>
      </c>
    </row>
    <row r="18" spans="1:3">
      <c r="A18" s="75">
        <v>2.5</v>
      </c>
      <c r="B18" s="74">
        <v>42955</v>
      </c>
      <c r="C18" s="73" t="s">
        <v>802</v>
      </c>
    </row>
    <row r="19" spans="1:3">
      <c r="A19" s="75">
        <v>2.6</v>
      </c>
      <c r="B19" s="74">
        <v>42963</v>
      </c>
      <c r="C19" s="73" t="s">
        <v>801</v>
      </c>
    </row>
    <row r="20" spans="1:3">
      <c r="A20" s="75">
        <v>2.7</v>
      </c>
      <c r="B20" s="74">
        <v>42998</v>
      </c>
      <c r="C20" s="73" t="s">
        <v>800</v>
      </c>
    </row>
    <row r="21" spans="1:3" ht="29">
      <c r="A21" s="75">
        <v>2.8</v>
      </c>
      <c r="B21" s="74">
        <v>43021</v>
      </c>
      <c r="C21" s="73" t="s">
        <v>799</v>
      </c>
    </row>
    <row r="22" spans="1:3" ht="58">
      <c r="A22" s="75">
        <v>2.9</v>
      </c>
      <c r="B22" s="74">
        <v>43033</v>
      </c>
      <c r="C22" s="73" t="s">
        <v>798</v>
      </c>
    </row>
    <row r="23" spans="1:3">
      <c r="A23" s="75">
        <v>3</v>
      </c>
      <c r="B23" s="74">
        <v>43056</v>
      </c>
      <c r="C23" s="92" t="s">
        <v>859</v>
      </c>
    </row>
    <row r="24" spans="1:3">
      <c r="A24" s="72">
        <v>3.1</v>
      </c>
      <c r="B24" s="180">
        <v>42759</v>
      </c>
      <c r="C24" s="181" t="s">
        <v>1014</v>
      </c>
    </row>
  </sheetData>
  <hyperlinks>
    <hyperlink ref="C11" r:id="rId1" xr:uid="{00000000-0004-0000-0700-000000000000}"/>
  </hyperlinks>
  <pageMargins left="0.25" right="0.25" top="0.75" bottom="0.75" header="0.3" footer="0.3"/>
  <pageSetup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52"/>
  <sheetViews>
    <sheetView workbookViewId="0">
      <selection activeCell="A15" sqref="A15"/>
    </sheetView>
  </sheetViews>
  <sheetFormatPr defaultColWidth="8.81640625" defaultRowHeight="15"/>
  <cols>
    <col min="1" max="1" width="57.7265625" style="63" customWidth="1"/>
    <col min="2" max="16384" width="8.81640625" style="63"/>
  </cols>
  <sheetData>
    <row r="1" spans="1:1">
      <c r="A1" s="66" t="s">
        <v>723</v>
      </c>
    </row>
    <row r="2" spans="1:1">
      <c r="A2" s="63" t="s">
        <v>724</v>
      </c>
    </row>
    <row r="3" spans="1:1">
      <c r="A3" s="63" t="s">
        <v>725</v>
      </c>
    </row>
    <row r="4" spans="1:1">
      <c r="A4" s="63" t="s">
        <v>726</v>
      </c>
    </row>
    <row r="5" spans="1:1">
      <c r="A5" s="63" t="s">
        <v>727</v>
      </c>
    </row>
    <row r="6" spans="1:1">
      <c r="A6" s="63" t="s">
        <v>728</v>
      </c>
    </row>
    <row r="7" spans="1:1">
      <c r="A7" s="63" t="s">
        <v>729</v>
      </c>
    </row>
    <row r="8" spans="1:1">
      <c r="A8" s="63" t="s">
        <v>730</v>
      </c>
    </row>
    <row r="9" spans="1:1">
      <c r="A9" s="63" t="s">
        <v>731</v>
      </c>
    </row>
    <row r="10" spans="1:1">
      <c r="A10" s="63" t="s">
        <v>732</v>
      </c>
    </row>
    <row r="11" spans="1:1">
      <c r="A11" s="63" t="s">
        <v>733</v>
      </c>
    </row>
    <row r="12" spans="1:1">
      <c r="A12" s="63" t="s">
        <v>734</v>
      </c>
    </row>
    <row r="13" spans="1:1">
      <c r="A13" s="63" t="s">
        <v>735</v>
      </c>
    </row>
    <row r="14" spans="1:1">
      <c r="A14" s="63" t="s">
        <v>736</v>
      </c>
    </row>
    <row r="15" spans="1:1">
      <c r="A15" s="63" t="s">
        <v>737</v>
      </c>
    </row>
    <row r="16" spans="1:1">
      <c r="A16" s="63" t="s">
        <v>738</v>
      </c>
    </row>
    <row r="17" spans="1:1">
      <c r="A17" s="63" t="s">
        <v>739</v>
      </c>
    </row>
    <row r="18" spans="1:1">
      <c r="A18" s="63" t="s">
        <v>740</v>
      </c>
    </row>
    <row r="19" spans="1:1">
      <c r="A19" s="63" t="s">
        <v>741</v>
      </c>
    </row>
    <row r="20" spans="1:1">
      <c r="A20" s="63" t="s">
        <v>742</v>
      </c>
    </row>
    <row r="21" spans="1:1">
      <c r="A21" s="63" t="s">
        <v>743</v>
      </c>
    </row>
    <row r="22" spans="1:1">
      <c r="A22" s="63" t="s">
        <v>744</v>
      </c>
    </row>
    <row r="23" spans="1:1">
      <c r="A23" s="63" t="s">
        <v>745</v>
      </c>
    </row>
    <row r="24" spans="1:1">
      <c r="A24" s="63" t="s">
        <v>746</v>
      </c>
    </row>
    <row r="25" spans="1:1">
      <c r="A25" s="63" t="s">
        <v>747</v>
      </c>
    </row>
    <row r="26" spans="1:1">
      <c r="A26" s="63" t="s">
        <v>748</v>
      </c>
    </row>
    <row r="27" spans="1:1">
      <c r="A27" s="63" t="s">
        <v>749</v>
      </c>
    </row>
    <row r="28" spans="1:1">
      <c r="A28" s="63" t="s">
        <v>750</v>
      </c>
    </row>
    <row r="29" spans="1:1">
      <c r="A29" s="63" t="s">
        <v>751</v>
      </c>
    </row>
    <row r="30" spans="1:1">
      <c r="A30" s="63" t="s">
        <v>752</v>
      </c>
    </row>
    <row r="31" spans="1:1">
      <c r="A31" s="63" t="s">
        <v>735</v>
      </c>
    </row>
    <row r="32" spans="1:1">
      <c r="A32" s="63" t="s">
        <v>753</v>
      </c>
    </row>
    <row r="33" spans="1:1">
      <c r="A33" s="63" t="s">
        <v>754</v>
      </c>
    </row>
    <row r="34" spans="1:1">
      <c r="A34" s="63" t="s">
        <v>755</v>
      </c>
    </row>
    <row r="35" spans="1:1">
      <c r="A35" s="63" t="s">
        <v>756</v>
      </c>
    </row>
    <row r="36" spans="1:1">
      <c r="A36" s="63" t="s">
        <v>757</v>
      </c>
    </row>
    <row r="37" spans="1:1">
      <c r="A37" s="63" t="s">
        <v>758</v>
      </c>
    </row>
    <row r="38" spans="1:1">
      <c r="A38" s="63" t="s">
        <v>759</v>
      </c>
    </row>
    <row r="39" spans="1:1">
      <c r="A39" s="63" t="s">
        <v>760</v>
      </c>
    </row>
    <row r="40" spans="1:1">
      <c r="A40" s="63" t="s">
        <v>738</v>
      </c>
    </row>
    <row r="41" spans="1:1">
      <c r="A41" s="63" t="s">
        <v>761</v>
      </c>
    </row>
    <row r="42" spans="1:1">
      <c r="A42" s="63" t="s">
        <v>762</v>
      </c>
    </row>
    <row r="43" spans="1:1">
      <c r="A43" s="63" t="s">
        <v>763</v>
      </c>
    </row>
    <row r="44" spans="1:1">
      <c r="A44" s="63" t="s">
        <v>764</v>
      </c>
    </row>
    <row r="45" spans="1:1">
      <c r="A45" s="63" t="s">
        <v>765</v>
      </c>
    </row>
    <row r="46" spans="1:1">
      <c r="A46" s="63" t="s">
        <v>766</v>
      </c>
    </row>
    <row r="47" spans="1:1">
      <c r="A47" s="63" t="s">
        <v>767</v>
      </c>
    </row>
    <row r="48" spans="1:1">
      <c r="A48" s="63" t="s">
        <v>768</v>
      </c>
    </row>
    <row r="49" spans="1:1">
      <c r="A49" s="63" t="s">
        <v>769</v>
      </c>
    </row>
    <row r="50" spans="1:1">
      <c r="A50" s="63" t="s">
        <v>770</v>
      </c>
    </row>
    <row r="51" spans="1:1">
      <c r="A51" s="63" t="s">
        <v>771</v>
      </c>
    </row>
    <row r="52" spans="1:1">
      <c r="A52" s="63" t="s">
        <v>772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Cover Page</vt:lpstr>
      <vt:lpstr>Project Scope</vt:lpstr>
      <vt:lpstr>Requirements &amp; Testing</vt:lpstr>
      <vt:lpstr>Standards_Reference</vt:lpstr>
      <vt:lpstr>Solutions_Reference</vt:lpstr>
      <vt:lpstr>Data</vt:lpstr>
      <vt:lpstr>Definitions</vt:lpstr>
      <vt:lpstr>Version</vt:lpstr>
      <vt:lpstr>Solution Generic Name</vt:lpstr>
      <vt:lpstr>Version!arcTarget</vt:lpstr>
      <vt:lpstr>arcTarget</vt:lpstr>
      <vt:lpstr>Internal</vt:lpstr>
      <vt:lpstr>'Cover Page'!Print_Titles</vt:lpstr>
      <vt:lpstr>'Requirements &amp; Testing'!Print_Titles</vt:lpstr>
      <vt:lpstr>Solutions_Reference!solutions</vt:lpstr>
      <vt:lpstr>Solutions_Reference!solutions_1</vt:lpstr>
      <vt:lpstr>Solutions_Reference!solutions_2</vt:lpstr>
      <vt:lpstr>Solutions_Reference!solutions_3</vt:lpstr>
      <vt:lpstr>Solutions_Reference!solutions_4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KASSAHUN, ANANYA</dc:creator>
  <cp:lastModifiedBy>Johnson, Ryan</cp:lastModifiedBy>
  <dcterms:created xsi:type="dcterms:W3CDTF">2017-11-03T18:31:50Z</dcterms:created>
  <dcterms:modified xsi:type="dcterms:W3CDTF">2018-03-21T19:38:34Z</dcterms:modified>
</cp:coreProperties>
</file>